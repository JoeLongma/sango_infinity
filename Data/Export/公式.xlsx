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sango_infinity\Data\Export\"/>
    </mc:Choice>
  </mc:AlternateContent>
  <xr:revisionPtr revIDLastSave="0" documentId="13_ncr:1_{2951BB66-2181-41AD-8511-580791DD1DB1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城市收入" sheetId="1" r:id="rId1"/>
    <sheet name="部队攻防" sheetId="2" r:id="rId2"/>
    <sheet name="Sheet1" sheetId="3" r:id="rId3"/>
  </sheets>
  <definedNames>
    <definedName name="_xlnm._FilterDatabase" localSheetId="2" hidden="1">Sheet1!$A$1:$G$6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3" l="1"/>
  <c r="N28" i="3" s="1"/>
  <c r="U29" i="3"/>
  <c r="U30" i="3"/>
  <c r="U28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54" i="3"/>
  <c r="E55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54" i="3"/>
  <c r="E56" i="3" s="1"/>
  <c r="E57" i="3" s="1"/>
  <c r="S29" i="3"/>
  <c r="S30" i="3"/>
  <c r="S28" i="3"/>
  <c r="T29" i="3" s="1"/>
  <c r="T30" i="3" s="1"/>
  <c r="N29" i="3"/>
  <c r="N30" i="3"/>
  <c r="L26" i="3"/>
  <c r="M29" i="3"/>
  <c r="M30" i="3"/>
  <c r="D29" i="3"/>
  <c r="D30" i="3"/>
  <c r="D28" i="3"/>
  <c r="A26" i="3"/>
  <c r="D22" i="3"/>
  <c r="D21" i="3"/>
  <c r="D20" i="3"/>
  <c r="D19" i="3"/>
  <c r="J4" i="3"/>
  <c r="J3" i="3"/>
  <c r="C12" i="3"/>
  <c r="E12" i="3"/>
  <c r="B12" i="3"/>
  <c r="D15" i="3"/>
  <c r="D12" i="3"/>
  <c r="B3" i="3"/>
  <c r="C15" i="3"/>
  <c r="G12" i="3"/>
  <c r="F12" i="3"/>
  <c r="C3" i="3"/>
  <c r="E3" i="3"/>
  <c r="D6" i="3"/>
  <c r="D3" i="3"/>
  <c r="C6" i="3"/>
  <c r="G3" i="3"/>
  <c r="F3" i="3"/>
  <c r="G3" i="2"/>
  <c r="G2" i="2"/>
  <c r="A18" i="1"/>
  <c r="A17" i="1"/>
  <c r="B6" i="1"/>
  <c r="B5" i="1"/>
  <c r="H29" i="1"/>
  <c r="H25" i="1"/>
  <c r="A9" i="1"/>
  <c r="N3" i="1"/>
  <c r="N2" i="1"/>
  <c r="K3" i="1"/>
  <c r="K2" i="1"/>
  <c r="L3" i="1"/>
  <c r="L2" i="1"/>
  <c r="A16" i="1"/>
  <c r="B4" i="1"/>
  <c r="K10" i="1"/>
  <c r="H6" i="1"/>
  <c r="G5" i="2"/>
  <c r="N12" i="2"/>
  <c r="N11" i="2"/>
  <c r="O11" i="2"/>
  <c r="H19" i="1"/>
  <c r="G6" i="2"/>
  <c r="G9" i="2"/>
  <c r="G11" i="2"/>
  <c r="K16" i="1"/>
  <c r="M17" i="1"/>
  <c r="A20" i="1"/>
  <c r="B20" i="1"/>
  <c r="A10" i="1"/>
  <c r="A7" i="1"/>
  <c r="A13" i="1"/>
  <c r="B13" i="1"/>
  <c r="G13" i="2"/>
  <c r="G15" i="2"/>
  <c r="C20" i="1"/>
  <c r="A21" i="1"/>
  <c r="A24" i="1"/>
  <c r="A25" i="1"/>
  <c r="D24" i="1"/>
  <c r="M18" i="1"/>
  <c r="M16" i="1"/>
  <c r="B25" i="1"/>
  <c r="E20" i="1"/>
  <c r="A11" i="1"/>
  <c r="A23" i="1"/>
  <c r="E58" i="3" l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O29" i="3"/>
  <c r="O30" i="3" s="1"/>
  <c r="E30" i="3"/>
  <c r="E29" i="3"/>
  <c r="E28" i="3"/>
  <c r="F29" i="3" l="1"/>
  <c r="F30" i="3" s="1"/>
</calcChain>
</file>

<file path=xl/sharedStrings.xml><?xml version="1.0" encoding="utf-8"?>
<sst xmlns="http://schemas.openxmlformats.org/spreadsheetml/2006/main" count="9342" uniqueCount="1063">
  <si>
    <t>农业</t>
    <phoneticPr fontId="1" type="noConversion"/>
  </si>
  <si>
    <t>商业</t>
    <phoneticPr fontId="1" type="noConversion"/>
  </si>
  <si>
    <t>武将数</t>
    <phoneticPr fontId="1" type="noConversion"/>
  </si>
  <si>
    <t>兵</t>
    <phoneticPr fontId="1" type="noConversion"/>
  </si>
  <si>
    <t>治安</t>
    <phoneticPr fontId="1" type="noConversion"/>
  </si>
  <si>
    <t>民心</t>
    <phoneticPr fontId="1" type="noConversion"/>
  </si>
  <si>
    <t>每回合增加量</t>
    <phoneticPr fontId="1" type="noConversion"/>
  </si>
  <si>
    <t>每兵在城里消耗粮食</t>
    <phoneticPr fontId="1" type="noConversion"/>
  </si>
  <si>
    <t>每兵在城外1个回合消耗粮食</t>
    <phoneticPr fontId="1" type="noConversion"/>
  </si>
  <si>
    <t>春季</t>
    <phoneticPr fontId="1" type="noConversion"/>
  </si>
  <si>
    <t>秋季</t>
    <phoneticPr fontId="1" type="noConversion"/>
  </si>
  <si>
    <t>兵力</t>
    <phoneticPr fontId="1" type="noConversion"/>
  </si>
  <si>
    <t>兵种攻击</t>
    <phoneticPr fontId="1" type="noConversion"/>
  </si>
  <si>
    <t>战法系数</t>
    <phoneticPr fontId="1" type="noConversion"/>
  </si>
  <si>
    <t>兵种防御</t>
    <phoneticPr fontId="1" type="noConversion"/>
  </si>
  <si>
    <t>武力</t>
    <phoneticPr fontId="1" type="noConversion"/>
  </si>
  <si>
    <t>智力</t>
    <phoneticPr fontId="1" type="noConversion"/>
  </si>
  <si>
    <t>统率</t>
    <phoneticPr fontId="1" type="noConversion"/>
  </si>
  <si>
    <t>兵攻</t>
    <phoneticPr fontId="1" type="noConversion"/>
  </si>
  <si>
    <t>兵防</t>
    <phoneticPr fontId="1" type="noConversion"/>
  </si>
  <si>
    <t>士气</t>
    <phoneticPr fontId="1" type="noConversion"/>
  </si>
  <si>
    <t>基础伤害</t>
    <phoneticPr fontId="1" type="noConversion"/>
  </si>
  <si>
    <t>基础减伤</t>
    <phoneticPr fontId="1" type="noConversion"/>
  </si>
  <si>
    <t>兵力系数</t>
    <phoneticPr fontId="1" type="noConversion"/>
  </si>
  <si>
    <t>伤害</t>
    <phoneticPr fontId="1" type="noConversion"/>
  </si>
  <si>
    <t>适应矫正</t>
    <phoneticPr fontId="1" type="noConversion"/>
  </si>
  <si>
    <t>克制矫正</t>
    <phoneticPr fontId="1" type="noConversion"/>
  </si>
  <si>
    <t>士气矫正后的伤害</t>
    <phoneticPr fontId="1" type="noConversion"/>
  </si>
  <si>
    <t>技能伤害系数</t>
    <phoneticPr fontId="1" type="noConversion"/>
  </si>
  <si>
    <t>技能伤害</t>
    <phoneticPr fontId="1" type="noConversion"/>
  </si>
  <si>
    <t>暴击系数</t>
    <phoneticPr fontId="1" type="noConversion"/>
  </si>
  <si>
    <t>暴击伤害</t>
    <phoneticPr fontId="1" type="noConversion"/>
  </si>
  <si>
    <t>多少回合能升级到最大</t>
    <phoneticPr fontId="1" type="noConversion"/>
  </si>
  <si>
    <t>回合</t>
    <phoneticPr fontId="1" type="noConversion"/>
  </si>
  <si>
    <t>兵数</t>
    <phoneticPr fontId="1" type="noConversion"/>
  </si>
  <si>
    <t>N兵出城N个回合所需粮食</t>
    <phoneticPr fontId="1" type="noConversion"/>
  </si>
  <si>
    <t>农场</t>
    <phoneticPr fontId="1" type="noConversion"/>
  </si>
  <si>
    <t>村庄</t>
    <phoneticPr fontId="1" type="noConversion"/>
  </si>
  <si>
    <t>市场</t>
    <phoneticPr fontId="1" type="noConversion"/>
  </si>
  <si>
    <t>码头</t>
    <phoneticPr fontId="1" type="noConversion"/>
  </si>
  <si>
    <t>粮食</t>
    <phoneticPr fontId="1" type="noConversion"/>
  </si>
  <si>
    <t>金币</t>
    <phoneticPr fontId="1" type="noConversion"/>
  </si>
  <si>
    <t>粮食百分比</t>
    <phoneticPr fontId="1" type="noConversion"/>
  </si>
  <si>
    <t>金币百分比</t>
    <phoneticPr fontId="1" type="noConversion"/>
  </si>
  <si>
    <t>建筑粮食收入</t>
    <phoneticPr fontId="1" type="noConversion"/>
  </si>
  <si>
    <t>建筑金币收入</t>
    <phoneticPr fontId="1" type="noConversion"/>
  </si>
  <si>
    <t>每兵每个月消耗金币</t>
    <phoneticPr fontId="1" type="noConversion"/>
  </si>
  <si>
    <t>每个武将每个月平均俸禄</t>
    <phoneticPr fontId="1" type="noConversion"/>
  </si>
  <si>
    <t>每点商业对应金币</t>
    <phoneticPr fontId="1" type="noConversion"/>
  </si>
  <si>
    <t>治安80民心80影响</t>
    <phoneticPr fontId="1" type="noConversion"/>
  </si>
  <si>
    <t>每月维护费</t>
    <phoneticPr fontId="1" type="noConversion"/>
  </si>
  <si>
    <t>满点商业每月收入</t>
    <phoneticPr fontId="1" type="noConversion"/>
  </si>
  <si>
    <t>城池基础收入</t>
    <phoneticPr fontId="1" type="noConversion"/>
  </si>
  <si>
    <t>每月商业金币收入</t>
    <phoneticPr fontId="1" type="noConversion"/>
  </si>
  <si>
    <t>城池维护</t>
    <phoneticPr fontId="1" type="noConversion"/>
  </si>
  <si>
    <t>城建维护</t>
    <phoneticPr fontId="1" type="noConversion"/>
  </si>
  <si>
    <t>每月供给城外N回合</t>
    <phoneticPr fontId="1" type="noConversion"/>
  </si>
  <si>
    <t>每月粮食所需</t>
    <phoneticPr fontId="1" type="noConversion"/>
  </si>
  <si>
    <t>魅力</t>
    <phoneticPr fontId="1" type="noConversion"/>
  </si>
  <si>
    <t>政治</t>
    <phoneticPr fontId="1" type="noConversion"/>
  </si>
  <si>
    <t>商业影响</t>
    <phoneticPr fontId="1" type="noConversion"/>
  </si>
  <si>
    <t>农业影响</t>
    <phoneticPr fontId="1" type="noConversion"/>
  </si>
  <si>
    <t>攻城攻击</t>
    <phoneticPr fontId="1" type="noConversion"/>
  </si>
  <si>
    <t>最大减伤</t>
    <phoneticPr fontId="1" type="noConversion"/>
  </si>
  <si>
    <t>基准兵力</t>
    <phoneticPr fontId="1" type="noConversion"/>
  </si>
  <si>
    <t>基准武力</t>
    <phoneticPr fontId="1" type="noConversion"/>
  </si>
  <si>
    <t>基准智力</t>
    <phoneticPr fontId="1" type="noConversion"/>
  </si>
  <si>
    <t>基准统率</t>
    <phoneticPr fontId="1" type="noConversion"/>
  </si>
  <si>
    <t>兵力基数</t>
    <phoneticPr fontId="1" type="noConversion"/>
  </si>
  <si>
    <t>基础攻城伤害</t>
    <phoneticPr fontId="1" type="noConversion"/>
  </si>
  <si>
    <t>适应克制伤害</t>
    <phoneticPr fontId="1" type="noConversion"/>
  </si>
  <si>
    <t>士气基准值</t>
    <phoneticPr fontId="1" type="noConversion"/>
  </si>
  <si>
    <t>每多基准值多少</t>
    <phoneticPr fontId="1" type="noConversion"/>
  </si>
  <si>
    <t>士气矫正加成</t>
    <phoneticPr fontId="1" type="noConversion"/>
  </si>
  <si>
    <t>士气最多影响比例</t>
    <phoneticPr fontId="1" type="noConversion"/>
  </si>
  <si>
    <t>攻击方</t>
    <phoneticPr fontId="1" type="noConversion"/>
  </si>
  <si>
    <t>防御方</t>
    <phoneticPr fontId="1" type="noConversion"/>
  </si>
  <si>
    <t>兵种</t>
    <phoneticPr fontId="1" type="noConversion"/>
  </si>
  <si>
    <t>剑</t>
  </si>
  <si>
    <t>枪</t>
  </si>
  <si>
    <t>戟</t>
  </si>
  <si>
    <t>弩</t>
  </si>
  <si>
    <t>军马</t>
  </si>
  <si>
    <t>冲车</t>
  </si>
  <si>
    <t>井阑</t>
  </si>
  <si>
    <t>投石</t>
  </si>
  <si>
    <t>木兽</t>
  </si>
  <si>
    <t>走舸</t>
  </si>
  <si>
    <t>楼船</t>
  </si>
  <si>
    <t>斗舰</t>
    <phoneticPr fontId="1" type="noConversion"/>
  </si>
  <si>
    <t>攻击力</t>
  </si>
  <si>
    <t>防御力</t>
  </si>
  <si>
    <t>建设</t>
    <phoneticPr fontId="1" type="noConversion"/>
  </si>
  <si>
    <t>移动</t>
    <phoneticPr fontId="1" type="noConversion"/>
  </si>
  <si>
    <t>阿会喃</t>
  </si>
  <si>
    <t>韦昭</t>
  </si>
  <si>
    <t>伊籍</t>
  </si>
  <si>
    <t>尹赏</t>
  </si>
  <si>
    <t>尹大目</t>
  </si>
  <si>
    <t>尹默</t>
  </si>
  <si>
    <t>于禁</t>
  </si>
  <si>
    <t>于诠</t>
  </si>
  <si>
    <t>卫瓘</t>
  </si>
  <si>
    <t>袁遗</t>
  </si>
  <si>
    <t>袁胤</t>
  </si>
  <si>
    <t>阎宇</t>
  </si>
  <si>
    <t>袁涣</t>
  </si>
  <si>
    <t>袁熙</t>
  </si>
  <si>
    <t>阎行</t>
  </si>
  <si>
    <t>阎柔</t>
  </si>
  <si>
    <t>袁术</t>
  </si>
  <si>
    <t>袁尚</t>
  </si>
  <si>
    <t>袁绍</t>
  </si>
  <si>
    <t>阎象</t>
  </si>
  <si>
    <t>袁谭</t>
  </si>
  <si>
    <t>阎圃</t>
  </si>
  <si>
    <t>袁耀</t>
    <phoneticPr fontId="1" type="noConversion"/>
  </si>
  <si>
    <t>王威</t>
  </si>
  <si>
    <t>王异</t>
    <phoneticPr fontId="1" type="noConversion"/>
  </si>
  <si>
    <t>王允</t>
  </si>
  <si>
    <t>王基</t>
  </si>
  <si>
    <t>王颀</t>
  </si>
  <si>
    <t>王匡</t>
  </si>
  <si>
    <t>王业</t>
  </si>
  <si>
    <t>王经</t>
  </si>
  <si>
    <t>王伉</t>
  </si>
  <si>
    <t>王浑</t>
  </si>
  <si>
    <t>王粲</t>
  </si>
  <si>
    <t>王修</t>
  </si>
  <si>
    <t>王戎</t>
  </si>
  <si>
    <t>王肃</t>
  </si>
  <si>
    <t>王浚</t>
    <phoneticPr fontId="1" type="noConversion"/>
  </si>
  <si>
    <t>王祥</t>
  </si>
  <si>
    <t>区星</t>
  </si>
  <si>
    <t>王双</t>
  </si>
  <si>
    <t>王忠</t>
  </si>
  <si>
    <t>王昶</t>
  </si>
  <si>
    <t>王韬</t>
  </si>
  <si>
    <t>王惇</t>
  </si>
  <si>
    <t>王平</t>
  </si>
  <si>
    <t>王甫</t>
  </si>
  <si>
    <t>王门</t>
  </si>
  <si>
    <t>王凌</t>
    <phoneticPr fontId="1" type="noConversion"/>
  </si>
  <si>
    <t>王累</t>
  </si>
  <si>
    <t>王朗</t>
  </si>
  <si>
    <t>温恢</t>
  </si>
  <si>
    <t>何晏</t>
  </si>
  <si>
    <t>蒯越</t>
  </si>
  <si>
    <t>蒯良</t>
  </si>
  <si>
    <t>贾华</t>
  </si>
  <si>
    <t>华核</t>
    <phoneticPr fontId="1" type="noConversion"/>
  </si>
  <si>
    <t>贾逵</t>
  </si>
  <si>
    <t>何仪</t>
  </si>
  <si>
    <t>华歆</t>
  </si>
  <si>
    <t>贾诩</t>
  </si>
  <si>
    <t>郭奕</t>
  </si>
  <si>
    <t>郭援</t>
  </si>
  <si>
    <t>郭嘉</t>
  </si>
  <si>
    <t>鄂焕</t>
  </si>
  <si>
    <t>郭汜</t>
  </si>
  <si>
    <t>乐就</t>
  </si>
  <si>
    <t>霍峻</t>
  </si>
  <si>
    <t>郝昭</t>
  </si>
  <si>
    <t>乐进</t>
  </si>
  <si>
    <t>乐綝</t>
  </si>
  <si>
    <t>郭图</t>
  </si>
  <si>
    <t>郭马</t>
  </si>
  <si>
    <t>郝萌</t>
  </si>
  <si>
    <t>郭攸之</t>
  </si>
  <si>
    <t>霍弋</t>
  </si>
  <si>
    <t>郭淮</t>
  </si>
  <si>
    <t>夏侯威</t>
  </si>
  <si>
    <t>夏侯渊</t>
  </si>
  <si>
    <t>夏侯恩</t>
  </si>
  <si>
    <t>夏侯和</t>
  </si>
  <si>
    <t>夏侯惠</t>
  </si>
  <si>
    <t>夏侯玄</t>
  </si>
  <si>
    <t>夏侯尚</t>
  </si>
  <si>
    <t>夏侯德</t>
  </si>
  <si>
    <t>夏侯惇</t>
  </si>
  <si>
    <t>夏侯霸</t>
  </si>
  <si>
    <t>夏侯楙</t>
  </si>
  <si>
    <t>夏侯令女</t>
  </si>
  <si>
    <t>贾充</t>
  </si>
  <si>
    <t>何植</t>
  </si>
  <si>
    <t>何进</t>
  </si>
  <si>
    <t>贺齐</t>
  </si>
  <si>
    <t>贾范</t>
    <phoneticPr fontId="1" type="noConversion"/>
  </si>
  <si>
    <t>花鬘</t>
  </si>
  <si>
    <t>华雄</t>
  </si>
  <si>
    <t>关彝</t>
  </si>
  <si>
    <t>韩胤</t>
  </si>
  <si>
    <t>关羽</t>
  </si>
  <si>
    <t>桓阶</t>
  </si>
  <si>
    <t>管亥</t>
  </si>
  <si>
    <t>毌丘俭</t>
  </si>
  <si>
    <t>毌丘秀</t>
  </si>
  <si>
    <t>毌丘甸</t>
  </si>
  <si>
    <t>韩莒子</t>
  </si>
  <si>
    <t>韩玄</t>
  </si>
  <si>
    <t>韩浩</t>
  </si>
  <si>
    <t>关兴</t>
  </si>
  <si>
    <t>关索</t>
  </si>
  <si>
    <t>韩遂</t>
  </si>
  <si>
    <t>韩嵩</t>
  </si>
  <si>
    <t>关靖</t>
  </si>
  <si>
    <t>韩暹</t>
  </si>
  <si>
    <t>阚泽</t>
  </si>
  <si>
    <t>韩忠</t>
  </si>
  <si>
    <t>关统</t>
  </si>
  <si>
    <t>韩当</t>
  </si>
  <si>
    <t>韩德</t>
  </si>
  <si>
    <t>甘宁</t>
    <phoneticPr fontId="1" type="noConversion"/>
  </si>
  <si>
    <t>桓范</t>
    <phoneticPr fontId="1" type="noConversion"/>
  </si>
  <si>
    <t>韩馥</t>
  </si>
  <si>
    <t>关平</t>
  </si>
  <si>
    <t>简雍</t>
  </si>
  <si>
    <t>颜良</t>
  </si>
  <si>
    <t>魏延</t>
  </si>
  <si>
    <t>曲义</t>
    <phoneticPr fontId="1" type="noConversion"/>
  </si>
  <si>
    <t>戏志才</t>
  </si>
  <si>
    <t>魏续</t>
  </si>
  <si>
    <t>魏邈</t>
  </si>
  <si>
    <t>魏讽</t>
  </si>
  <si>
    <t>魏攸</t>
  </si>
  <si>
    <t>牛金</t>
  </si>
  <si>
    <t>丘建</t>
  </si>
  <si>
    <t>牛辅</t>
  </si>
  <si>
    <t>丘本</t>
  </si>
  <si>
    <t>季雍</t>
  </si>
  <si>
    <t>姜维</t>
  </si>
  <si>
    <t>巩志</t>
  </si>
  <si>
    <t>桥蕤</t>
  </si>
  <si>
    <t>龚都</t>
  </si>
  <si>
    <t>桥瑁</t>
  </si>
  <si>
    <t>许仪</t>
  </si>
  <si>
    <t>许贡</t>
  </si>
  <si>
    <t>许靖</t>
  </si>
  <si>
    <t>许褚</t>
  </si>
  <si>
    <t>许攸</t>
  </si>
  <si>
    <t>纪灵</t>
  </si>
  <si>
    <t>金祎</t>
    <phoneticPr fontId="1" type="noConversion"/>
  </si>
  <si>
    <t>金环三结</t>
  </si>
  <si>
    <t>金旋</t>
  </si>
  <si>
    <t>虞汜</t>
  </si>
  <si>
    <t>虞翻</t>
  </si>
  <si>
    <t>邢道荣</t>
  </si>
  <si>
    <t>郄正</t>
    <phoneticPr fontId="1" type="noConversion"/>
  </si>
  <si>
    <t>严颜</t>
  </si>
  <si>
    <t>牵弘</t>
  </si>
  <si>
    <t>严纲</t>
  </si>
  <si>
    <t>严畯</t>
  </si>
  <si>
    <t>牵招</t>
  </si>
  <si>
    <t>严政</t>
  </si>
  <si>
    <t>严白虎</t>
  </si>
  <si>
    <t>吴懿</t>
  </si>
  <si>
    <t>黄盖</t>
  </si>
  <si>
    <t>高干</t>
    <phoneticPr fontId="1" type="noConversion"/>
  </si>
  <si>
    <t>黄月英</t>
  </si>
  <si>
    <t>黄权</t>
  </si>
  <si>
    <t>黄皓</t>
  </si>
  <si>
    <t>高柔</t>
  </si>
  <si>
    <t>高顺</t>
  </si>
  <si>
    <t>高翔</t>
  </si>
  <si>
    <t>高升</t>
    <phoneticPr fontId="1" type="noConversion"/>
  </si>
  <si>
    <t>黄崇</t>
  </si>
  <si>
    <t>侯成</t>
  </si>
  <si>
    <t>侯选</t>
  </si>
  <si>
    <t>黄祖</t>
  </si>
  <si>
    <t>公孙越</t>
  </si>
  <si>
    <t>公孙渊</t>
  </si>
  <si>
    <t>公孙恭</t>
  </si>
  <si>
    <t>公孙康</t>
  </si>
  <si>
    <t>公孙瓒</t>
  </si>
  <si>
    <t>公孙续</t>
  </si>
  <si>
    <t>公孙度</t>
  </si>
  <si>
    <t>公孙范</t>
    <phoneticPr fontId="1" type="noConversion"/>
  </si>
  <si>
    <t>孔胄</t>
  </si>
  <si>
    <t>黄忠</t>
  </si>
  <si>
    <t>高定</t>
  </si>
  <si>
    <t>高堂隆</t>
  </si>
  <si>
    <t>高沛</t>
  </si>
  <si>
    <t>皇甫嵩</t>
  </si>
  <si>
    <t>孔融</t>
  </si>
  <si>
    <t>高览</t>
  </si>
  <si>
    <t>伍延</t>
  </si>
  <si>
    <t>吴巨</t>
  </si>
  <si>
    <t>国渊</t>
  </si>
  <si>
    <t>吴景</t>
  </si>
  <si>
    <t>吾彦</t>
  </si>
  <si>
    <t>吴纲</t>
  </si>
  <si>
    <t>吴国太</t>
  </si>
  <si>
    <t>胡济</t>
  </si>
  <si>
    <t>吾粲</t>
  </si>
  <si>
    <t>胡质</t>
  </si>
  <si>
    <t>吴质</t>
  </si>
  <si>
    <t>胡车儿</t>
    <phoneticPr fontId="1" type="noConversion"/>
  </si>
  <si>
    <t>胡遵</t>
  </si>
  <si>
    <t>胡轸</t>
  </si>
  <si>
    <t>顾谭</t>
  </si>
  <si>
    <t>兀突骨</t>
  </si>
  <si>
    <t>胡班</t>
  </si>
  <si>
    <t>吴班</t>
  </si>
  <si>
    <t>胡奋</t>
  </si>
  <si>
    <t>顾雍</t>
  </si>
  <si>
    <t>吴兰</t>
  </si>
  <si>
    <t>胡烈</t>
  </si>
  <si>
    <t>崔琰</t>
  </si>
  <si>
    <t>蔡琰</t>
  </si>
  <si>
    <t>蔡和</t>
  </si>
  <si>
    <t>蔡氏</t>
  </si>
  <si>
    <t>蔡中</t>
  </si>
  <si>
    <t>蔡瑁</t>
  </si>
  <si>
    <t>崔林</t>
  </si>
  <si>
    <t>左奕</t>
  </si>
  <si>
    <t>笮融</t>
  </si>
  <si>
    <t>施朔</t>
  </si>
  <si>
    <t>师纂</t>
  </si>
  <si>
    <t>司马懿</t>
  </si>
  <si>
    <t>司马炎</t>
  </si>
  <si>
    <t>司马师</t>
  </si>
  <si>
    <t>司马昭</t>
  </si>
  <si>
    <t>司马胄</t>
  </si>
  <si>
    <t>司马孚</t>
  </si>
  <si>
    <t>司马望</t>
  </si>
  <si>
    <t>司马攸</t>
  </si>
  <si>
    <t>司马朗</t>
  </si>
  <si>
    <t>谢旌</t>
  </si>
  <si>
    <t>车冑</t>
  </si>
  <si>
    <t>沙摩柯</t>
  </si>
  <si>
    <t>朱异</t>
    <phoneticPr fontId="1" type="noConversion"/>
  </si>
  <si>
    <t>周昕</t>
  </si>
  <si>
    <t>周昂</t>
  </si>
  <si>
    <t>周旨</t>
  </si>
  <si>
    <t>周仓</t>
  </si>
  <si>
    <t>周泰</t>
  </si>
  <si>
    <t>州泰</t>
  </si>
  <si>
    <t>周鲂</t>
  </si>
  <si>
    <t>周瑜</t>
  </si>
  <si>
    <t>朱桓</t>
  </si>
  <si>
    <t>朱据</t>
  </si>
  <si>
    <t>祝融</t>
  </si>
  <si>
    <t>朱儁</t>
  </si>
  <si>
    <t>朱然</t>
  </si>
  <si>
    <t>朱治</t>
  </si>
  <si>
    <t>朱褒</t>
  </si>
  <si>
    <t>朱灵</t>
  </si>
  <si>
    <t>荀彧</t>
  </si>
  <si>
    <t>淳于琼</t>
  </si>
  <si>
    <t>荀顗</t>
  </si>
  <si>
    <t>荀勖</t>
    <phoneticPr fontId="1" type="noConversion"/>
  </si>
  <si>
    <t>荀谌</t>
  </si>
  <si>
    <t>荀攸</t>
  </si>
  <si>
    <t>焦彝</t>
  </si>
  <si>
    <t>锺毓</t>
  </si>
  <si>
    <t>蒋琬</t>
  </si>
  <si>
    <t>锺会</t>
  </si>
  <si>
    <t>蒋干</t>
    <phoneticPr fontId="1" type="noConversion"/>
  </si>
  <si>
    <t>蒋义渠</t>
  </si>
  <si>
    <t>小乔</t>
  </si>
  <si>
    <t>蒋钦</t>
  </si>
  <si>
    <t>蒋济</t>
  </si>
  <si>
    <t>谯周</t>
  </si>
  <si>
    <t>蒋舒</t>
  </si>
  <si>
    <t>焦触</t>
  </si>
  <si>
    <t>向宠</t>
  </si>
  <si>
    <t>邵悌</t>
  </si>
  <si>
    <t>蒋班</t>
  </si>
  <si>
    <t>蒋斌</t>
  </si>
  <si>
    <t>锺繇</t>
  </si>
  <si>
    <t>锺离牧</t>
    <phoneticPr fontId="1" type="noConversion"/>
  </si>
  <si>
    <t>向朗</t>
  </si>
  <si>
    <t>徐荣</t>
  </si>
  <si>
    <t>诸葛恪</t>
  </si>
  <si>
    <t>诸葛乔</t>
  </si>
  <si>
    <t>诸葛瑾</t>
  </si>
  <si>
    <t>诸葛均</t>
  </si>
  <si>
    <t>诸葛绪</t>
  </si>
  <si>
    <t>诸葛尚</t>
  </si>
  <si>
    <t>诸葛靓</t>
  </si>
  <si>
    <t>诸葛瞻</t>
  </si>
  <si>
    <t>诸葛诞</t>
  </si>
  <si>
    <t>诸葛亮</t>
  </si>
  <si>
    <t>徐晃</t>
  </si>
  <si>
    <t>徐氏</t>
  </si>
  <si>
    <t>徐质</t>
  </si>
  <si>
    <t>徐庶</t>
  </si>
  <si>
    <t>徐盛</t>
  </si>
  <si>
    <t>徐邈</t>
  </si>
  <si>
    <t>沈莹</t>
  </si>
  <si>
    <t>申仪</t>
  </si>
  <si>
    <t>辛宪英</t>
  </si>
  <si>
    <t>岑昏</t>
  </si>
  <si>
    <t>甄氏</t>
  </si>
  <si>
    <t>辛敞</t>
  </si>
  <si>
    <t>申耽</t>
  </si>
  <si>
    <t>审配</t>
  </si>
  <si>
    <t>辛毘</t>
  </si>
  <si>
    <t>辛评</t>
  </si>
  <si>
    <t>秦宓</t>
  </si>
  <si>
    <t>秦朗</t>
  </si>
  <si>
    <t>眭元进</t>
  </si>
  <si>
    <t>眭固</t>
  </si>
  <si>
    <t>邹氏</t>
  </si>
  <si>
    <t>邹靖</t>
  </si>
  <si>
    <t>邹丹</t>
  </si>
  <si>
    <t>成宜</t>
  </si>
  <si>
    <t>成公英</t>
  </si>
  <si>
    <t>盛曼</t>
  </si>
  <si>
    <t>石苞</t>
  </si>
  <si>
    <t>薛莹</t>
  </si>
  <si>
    <t>薛珝</t>
  </si>
  <si>
    <t>薛综</t>
  </si>
  <si>
    <t>全祎</t>
    <phoneticPr fontId="1" type="noConversion"/>
  </si>
  <si>
    <t>全怿</t>
  </si>
  <si>
    <t>全纪</t>
  </si>
  <si>
    <t>单经</t>
  </si>
  <si>
    <t>全尚</t>
  </si>
  <si>
    <t>全琮</t>
  </si>
  <si>
    <t>全端</t>
  </si>
  <si>
    <t>曹宇</t>
  </si>
  <si>
    <t>曹叡</t>
  </si>
  <si>
    <t>曹奂</t>
  </si>
  <si>
    <t>曹羲</t>
  </si>
  <si>
    <t>曹休</t>
  </si>
  <si>
    <t>曹训</t>
  </si>
  <si>
    <t>宋宪</t>
  </si>
  <si>
    <t>宋谦</t>
  </si>
  <si>
    <t>曹昂</t>
  </si>
  <si>
    <t>曹洪</t>
  </si>
  <si>
    <t>曹纯</t>
  </si>
  <si>
    <t>曹彰</t>
  </si>
  <si>
    <t>曹植</t>
  </si>
  <si>
    <t>曹真</t>
  </si>
  <si>
    <t>曹仁</t>
  </si>
  <si>
    <t>曹性</t>
  </si>
  <si>
    <t>曹操</t>
  </si>
  <si>
    <t>曹爽</t>
  </si>
  <si>
    <t>曹冲</t>
  </si>
  <si>
    <t>臧霸</t>
  </si>
  <si>
    <t>曹丕</t>
  </si>
  <si>
    <t>曹豹</t>
  </si>
  <si>
    <t>曹芳</t>
  </si>
  <si>
    <t>曹髦</t>
  </si>
  <si>
    <t>曹熊</t>
  </si>
  <si>
    <t>沮鹄</t>
  </si>
  <si>
    <t>沮授</t>
  </si>
  <si>
    <t>苏飞</t>
  </si>
  <si>
    <t>祖茂</t>
  </si>
  <si>
    <t>苏由</t>
  </si>
  <si>
    <t>孙异</t>
    <phoneticPr fontId="1" type="noConversion"/>
  </si>
  <si>
    <t>孙和</t>
  </si>
  <si>
    <t>孙桓</t>
  </si>
  <si>
    <t>孙观</t>
  </si>
  <si>
    <t>孙冀</t>
  </si>
  <si>
    <t>孙休</t>
  </si>
  <si>
    <t>孙匡</t>
  </si>
  <si>
    <t>孙歆</t>
  </si>
  <si>
    <t>孙坚</t>
  </si>
  <si>
    <t>孙干</t>
    <phoneticPr fontId="1" type="noConversion"/>
  </si>
  <si>
    <t>孙权</t>
  </si>
  <si>
    <t>孙皓</t>
  </si>
  <si>
    <t>孙皎</t>
  </si>
  <si>
    <t>孙策</t>
  </si>
  <si>
    <t>孙氏</t>
  </si>
  <si>
    <t>孙秀</t>
  </si>
  <si>
    <t>孙峻</t>
  </si>
  <si>
    <t>孙韶</t>
  </si>
  <si>
    <t>孙尚香</t>
  </si>
  <si>
    <t>孙震</t>
  </si>
  <si>
    <t>孙静</t>
  </si>
  <si>
    <t>孙仲</t>
  </si>
  <si>
    <t>孙綝</t>
  </si>
  <si>
    <t>孙登</t>
  </si>
  <si>
    <t>孙瑜</t>
  </si>
  <si>
    <t>孙翊</t>
  </si>
  <si>
    <t>孙亮</t>
  </si>
  <si>
    <t>孙礼</t>
  </si>
  <si>
    <t>孙朗</t>
  </si>
  <si>
    <t>孙鲁班</t>
  </si>
  <si>
    <t>大乔</t>
  </si>
  <si>
    <t>太史享</t>
  </si>
  <si>
    <t>太史慈</t>
  </si>
  <si>
    <t>带来洞主</t>
  </si>
  <si>
    <t>戴陵</t>
  </si>
  <si>
    <t>朵思大王</t>
  </si>
  <si>
    <t>谭雄</t>
  </si>
  <si>
    <t>张允</t>
  </si>
  <si>
    <t>赵云</t>
    <phoneticPr fontId="1" type="noConversion"/>
  </si>
  <si>
    <t>张卫</t>
  </si>
  <si>
    <t>张英</t>
  </si>
  <si>
    <t>张燕</t>
  </si>
  <si>
    <t>张横</t>
  </si>
  <si>
    <t>张温</t>
  </si>
  <si>
    <t>张华</t>
  </si>
  <si>
    <t>张闿</t>
    <phoneticPr fontId="1" type="noConversion"/>
  </si>
  <si>
    <t>张角</t>
  </si>
  <si>
    <t>张既</t>
  </si>
  <si>
    <t>张休</t>
  </si>
  <si>
    <t>张球</t>
  </si>
  <si>
    <t>张嶷</t>
  </si>
  <si>
    <t>张勋</t>
  </si>
  <si>
    <t>张虎</t>
  </si>
  <si>
    <t>张纮</t>
    <phoneticPr fontId="1" type="noConversion"/>
  </si>
  <si>
    <t>张合</t>
    <phoneticPr fontId="1" type="noConversion"/>
  </si>
  <si>
    <t>赵广</t>
  </si>
  <si>
    <t>赵弘</t>
  </si>
  <si>
    <t>张济</t>
  </si>
  <si>
    <t>张绣</t>
  </si>
  <si>
    <t>张缉</t>
  </si>
  <si>
    <t>张遵</t>
  </si>
  <si>
    <t>张春华</t>
  </si>
  <si>
    <t>张昭</t>
  </si>
  <si>
    <t>张松</t>
  </si>
  <si>
    <t>张绍</t>
  </si>
  <si>
    <t>张承</t>
  </si>
  <si>
    <t>张任</t>
  </si>
  <si>
    <t>貂蝉</t>
  </si>
  <si>
    <t>张悌</t>
  </si>
  <si>
    <t>赵统</t>
  </si>
  <si>
    <t>张特</t>
  </si>
  <si>
    <t>张南</t>
  </si>
  <si>
    <t>张邈</t>
  </si>
  <si>
    <t>赵范</t>
    <phoneticPr fontId="1" type="noConversion"/>
  </si>
  <si>
    <t>张飞</t>
  </si>
  <si>
    <t>张布</t>
  </si>
  <si>
    <t>张苞</t>
  </si>
  <si>
    <t>张宝</t>
  </si>
  <si>
    <t>张曼成</t>
  </si>
  <si>
    <t>张杨</t>
  </si>
  <si>
    <t>张翼</t>
  </si>
  <si>
    <t>张辽</t>
  </si>
  <si>
    <t>张梁</t>
  </si>
  <si>
    <t>赵累</t>
  </si>
  <si>
    <t>张鲁</t>
  </si>
  <si>
    <t>陈横</t>
  </si>
  <si>
    <t>陈应</t>
  </si>
  <si>
    <t>陈纪</t>
  </si>
  <si>
    <t>陈宫</t>
  </si>
  <si>
    <t>陈矫</t>
  </si>
  <si>
    <t>陈群</t>
  </si>
  <si>
    <t>陈珪</t>
  </si>
  <si>
    <t>陈骞</t>
  </si>
  <si>
    <t>陈寿</t>
  </si>
  <si>
    <t>陈式</t>
  </si>
  <si>
    <t>陈震</t>
  </si>
  <si>
    <t>陈泰</t>
  </si>
  <si>
    <t>陈登</t>
  </si>
  <si>
    <t>陈到</t>
  </si>
  <si>
    <t>陈表</t>
  </si>
  <si>
    <t>陈武</t>
  </si>
  <si>
    <t>陈兰</t>
  </si>
  <si>
    <t>陈琳</t>
  </si>
  <si>
    <t>程昱</t>
  </si>
  <si>
    <t>程远志</t>
  </si>
  <si>
    <t>丁仪</t>
  </si>
  <si>
    <t>程银</t>
  </si>
  <si>
    <t>丁原</t>
  </si>
  <si>
    <t>程普</t>
  </si>
  <si>
    <t>程武</t>
  </si>
  <si>
    <t>程秉</t>
  </si>
  <si>
    <t>丁奉</t>
  </si>
  <si>
    <t>丁封</t>
  </si>
  <si>
    <t>典韦</t>
  </si>
  <si>
    <t>田楷</t>
  </si>
  <si>
    <t>田续</t>
  </si>
  <si>
    <t>田畴</t>
  </si>
  <si>
    <t>田丰</t>
    <phoneticPr fontId="1" type="noConversion"/>
  </si>
  <si>
    <t>典满</t>
  </si>
  <si>
    <t>田予</t>
  </si>
  <si>
    <t>滕胤</t>
  </si>
  <si>
    <t>董允</t>
  </si>
  <si>
    <t>董和</t>
  </si>
  <si>
    <t>邓艾</t>
  </si>
  <si>
    <t>党均</t>
    <phoneticPr fontId="1" type="noConversion"/>
  </si>
  <si>
    <t>董厥</t>
  </si>
  <si>
    <t>陶谦</t>
  </si>
  <si>
    <t>邓贤</t>
  </si>
  <si>
    <t>邓芝</t>
  </si>
  <si>
    <t>唐咨</t>
  </si>
  <si>
    <t>董袭</t>
  </si>
  <si>
    <t>滕修</t>
    <phoneticPr fontId="1" type="noConversion"/>
  </si>
  <si>
    <t>陶浚</t>
    <phoneticPr fontId="1" type="noConversion"/>
  </si>
  <si>
    <t>董承</t>
  </si>
  <si>
    <t>董昭</t>
  </si>
  <si>
    <t>董卓</t>
  </si>
  <si>
    <t>邓忠</t>
  </si>
  <si>
    <t>董朝</t>
  </si>
  <si>
    <t>董荼那</t>
  </si>
  <si>
    <t>唐彬</t>
  </si>
  <si>
    <t>董旻</t>
  </si>
  <si>
    <t>邓茂</t>
  </si>
  <si>
    <t>杜畿</t>
  </si>
  <si>
    <t>杜预</t>
  </si>
  <si>
    <t>宁随</t>
    <phoneticPr fontId="1" type="noConversion"/>
  </si>
  <si>
    <t>裴元绍</t>
  </si>
  <si>
    <t>裴秀</t>
  </si>
  <si>
    <t>马云騄</t>
    <phoneticPr fontId="1" type="noConversion"/>
  </si>
  <si>
    <t>马玩</t>
  </si>
  <si>
    <t>马休</t>
  </si>
  <si>
    <t>马钧</t>
  </si>
  <si>
    <t>波才</t>
  </si>
  <si>
    <t>马遵</t>
  </si>
  <si>
    <t>马谡</t>
  </si>
  <si>
    <t>马岱</t>
  </si>
  <si>
    <t>马忠</t>
  </si>
  <si>
    <t>马超</t>
  </si>
  <si>
    <t>马铁</t>
  </si>
  <si>
    <t>马腾</t>
  </si>
  <si>
    <t>马邈</t>
  </si>
  <si>
    <t>马良</t>
  </si>
  <si>
    <t>万彧</t>
  </si>
  <si>
    <t>樊建</t>
  </si>
  <si>
    <t>樊氏</t>
  </si>
  <si>
    <t>潘浚</t>
    <phoneticPr fontId="1" type="noConversion"/>
  </si>
  <si>
    <t>潘璋</t>
  </si>
  <si>
    <t>樊稠</t>
  </si>
  <si>
    <t>樊能</t>
  </si>
  <si>
    <t>潘凤</t>
  </si>
  <si>
    <t>费祎</t>
    <phoneticPr fontId="1" type="noConversion"/>
  </si>
  <si>
    <t>卑衍</t>
  </si>
  <si>
    <t>费诗</t>
  </si>
  <si>
    <t>糜氏</t>
  </si>
  <si>
    <t>糜竺</t>
  </si>
  <si>
    <t>糜芳</t>
  </si>
  <si>
    <t>费耀</t>
  </si>
  <si>
    <t>武安国</t>
  </si>
  <si>
    <t>冯习</t>
  </si>
  <si>
    <t>傅嘏</t>
  </si>
  <si>
    <t>傅士仁</t>
  </si>
  <si>
    <t>傅佥</t>
  </si>
  <si>
    <t>傅巽</t>
  </si>
  <si>
    <t>傅彤</t>
  </si>
  <si>
    <t>文鸯</t>
  </si>
  <si>
    <t>文钦</t>
  </si>
  <si>
    <t>文虎</t>
  </si>
  <si>
    <t>文丑</t>
    <phoneticPr fontId="1" type="noConversion"/>
  </si>
  <si>
    <t>文聘</t>
  </si>
  <si>
    <t>卞喜</t>
  </si>
  <si>
    <t>卞氏</t>
  </si>
  <si>
    <t>方悦</t>
  </si>
  <si>
    <t>庞会</t>
  </si>
  <si>
    <t>忙牙长</t>
  </si>
  <si>
    <t>逢纪</t>
  </si>
  <si>
    <t>庞羲</t>
  </si>
  <si>
    <t>鲍三娘</t>
  </si>
  <si>
    <t>鲍信</t>
  </si>
  <si>
    <t>法正</t>
  </si>
  <si>
    <t>庞统</t>
  </si>
  <si>
    <t>庞德</t>
  </si>
  <si>
    <t>鲍隆</t>
  </si>
  <si>
    <t>步协</t>
  </si>
  <si>
    <t>穆顺</t>
  </si>
  <si>
    <t>濮阳兴</t>
  </si>
  <si>
    <t>木鹿大王</t>
  </si>
  <si>
    <t>步骘</t>
  </si>
  <si>
    <t>步阐</t>
  </si>
  <si>
    <t>满宠</t>
  </si>
  <si>
    <t>毛玠</t>
  </si>
  <si>
    <t>孟获</t>
  </si>
  <si>
    <t>孟宗</t>
  </si>
  <si>
    <t>孟达</t>
  </si>
  <si>
    <t>孟优</t>
    <phoneticPr fontId="1" type="noConversion"/>
  </si>
  <si>
    <t>俞涉</t>
  </si>
  <si>
    <t>杨怀</t>
    <phoneticPr fontId="1" type="noConversion"/>
  </si>
  <si>
    <t>雍闿</t>
    <phoneticPr fontId="1" type="noConversion"/>
  </si>
  <si>
    <t>杨仪</t>
  </si>
  <si>
    <t>杨欣</t>
  </si>
  <si>
    <t>羊祜</t>
  </si>
  <si>
    <t>杨弘</t>
  </si>
  <si>
    <t>杨昂</t>
  </si>
  <si>
    <t>杨济</t>
  </si>
  <si>
    <t>杨丑</t>
    <phoneticPr fontId="1" type="noConversion"/>
  </si>
  <si>
    <t>杨修</t>
  </si>
  <si>
    <t>杨秋</t>
  </si>
  <si>
    <t>杨松</t>
  </si>
  <si>
    <t>杨任</t>
  </si>
  <si>
    <t>杨祚</t>
  </si>
  <si>
    <t>杨肇</t>
  </si>
  <si>
    <t>杨柏</t>
  </si>
  <si>
    <t>杨阜</t>
  </si>
  <si>
    <t>杨奉</t>
  </si>
  <si>
    <t>杨锋</t>
  </si>
  <si>
    <t>雷铜</t>
  </si>
  <si>
    <t>雷薄</t>
  </si>
  <si>
    <t>骆统</t>
  </si>
  <si>
    <t>罗宪</t>
  </si>
  <si>
    <t>李异</t>
    <phoneticPr fontId="1" type="noConversion"/>
  </si>
  <si>
    <t>李恢</t>
  </si>
  <si>
    <t>李傕</t>
  </si>
  <si>
    <t>陆凯</t>
  </si>
  <si>
    <t>陆抗</t>
  </si>
  <si>
    <t>陆绩</t>
  </si>
  <si>
    <t>陆逊</t>
  </si>
  <si>
    <t>李严</t>
  </si>
  <si>
    <t>李儒</t>
  </si>
  <si>
    <t>李肃</t>
  </si>
  <si>
    <t>李胜</t>
    <phoneticPr fontId="1" type="noConversion"/>
  </si>
  <si>
    <t>李堪</t>
  </si>
  <si>
    <t>李通</t>
  </si>
  <si>
    <t>李典</t>
  </si>
  <si>
    <t>李孚</t>
  </si>
  <si>
    <t>李丰</t>
    <phoneticPr fontId="1" type="noConversion"/>
  </si>
  <si>
    <t>刘焉</t>
  </si>
  <si>
    <t>刘和</t>
  </si>
  <si>
    <t>刘璝</t>
  </si>
  <si>
    <t>刘琦</t>
  </si>
  <si>
    <t>刘虞</t>
  </si>
  <si>
    <t>刘勋</t>
  </si>
  <si>
    <t>刘贤</t>
  </si>
  <si>
    <t>留赞</t>
  </si>
  <si>
    <t>刘氏</t>
  </si>
  <si>
    <t>刘循</t>
  </si>
  <si>
    <t>刘璋</t>
  </si>
  <si>
    <t>刘劭</t>
  </si>
  <si>
    <t>刘丞</t>
  </si>
  <si>
    <t>刘谌</t>
  </si>
  <si>
    <t>刘璇</t>
    <phoneticPr fontId="1" type="noConversion"/>
  </si>
  <si>
    <t>刘禅</t>
  </si>
  <si>
    <t>刘琮</t>
  </si>
  <si>
    <t>刘岱</t>
  </si>
  <si>
    <t>刘度</t>
  </si>
  <si>
    <t>刘巴</t>
  </si>
  <si>
    <t>刘盘</t>
    <phoneticPr fontId="1" type="noConversion"/>
  </si>
  <si>
    <t>刘备</t>
  </si>
  <si>
    <t>刘表</t>
  </si>
  <si>
    <t>刘馥</t>
  </si>
  <si>
    <t>留平</t>
  </si>
  <si>
    <t>刘辟</t>
  </si>
  <si>
    <t>刘封</t>
  </si>
  <si>
    <t>刘晔</t>
  </si>
  <si>
    <t>刘繇</t>
  </si>
  <si>
    <t>留略</t>
  </si>
  <si>
    <t>吕威璜</t>
  </si>
  <si>
    <t>廖化</t>
  </si>
  <si>
    <t>梁兴</t>
  </si>
  <si>
    <t>梁纲</t>
  </si>
  <si>
    <t>梁习</t>
  </si>
  <si>
    <t>梁绪</t>
  </si>
  <si>
    <t>凌操</t>
  </si>
  <si>
    <t>凌统</t>
  </si>
  <si>
    <t>廖立</t>
  </si>
  <si>
    <t>吕凯</t>
  </si>
  <si>
    <t>吕据</t>
  </si>
  <si>
    <t>吕虔</t>
  </si>
  <si>
    <t>吕旷</t>
  </si>
  <si>
    <t>吕翔</t>
  </si>
  <si>
    <t>吕岱</t>
  </si>
  <si>
    <t>吕范</t>
    <phoneticPr fontId="1" type="noConversion"/>
  </si>
  <si>
    <t>吕布</t>
  </si>
  <si>
    <t>吕蒙</t>
  </si>
  <si>
    <t>吕玲绮</t>
  </si>
  <si>
    <t>伦直</t>
  </si>
  <si>
    <t>冷苞</t>
  </si>
  <si>
    <t>娄圭</t>
  </si>
  <si>
    <t>楼玄</t>
  </si>
  <si>
    <t>鲁肃</t>
  </si>
  <si>
    <t>鲁淑</t>
  </si>
  <si>
    <t>卢植</t>
  </si>
  <si>
    <t>史实０１</t>
  </si>
  <si>
    <t>史实０２</t>
  </si>
  <si>
    <t>史实０３</t>
  </si>
  <si>
    <t>史实０４</t>
  </si>
  <si>
    <t>史实０５</t>
  </si>
  <si>
    <t>史实０６</t>
  </si>
  <si>
    <t>史实０７</t>
  </si>
  <si>
    <t>史实０８</t>
  </si>
  <si>
    <t>史实０９</t>
  </si>
  <si>
    <t>史实１０</t>
  </si>
  <si>
    <t>史实１１</t>
  </si>
  <si>
    <t>史实１２</t>
  </si>
  <si>
    <t>史实１３</t>
  </si>
  <si>
    <t>史实１４</t>
  </si>
  <si>
    <t>史实１５</t>
  </si>
  <si>
    <t>史实１６</t>
  </si>
  <si>
    <t>史实１７</t>
  </si>
  <si>
    <t>史实１８</t>
  </si>
  <si>
    <t>史实１９</t>
  </si>
  <si>
    <t>史实２０</t>
  </si>
  <si>
    <t>史实２１</t>
  </si>
  <si>
    <t>史实２２</t>
  </si>
  <si>
    <t>史实２３</t>
  </si>
  <si>
    <t>史实２４</t>
  </si>
  <si>
    <t>史实２５</t>
  </si>
  <si>
    <t>史实２６</t>
  </si>
  <si>
    <t>史实２７</t>
  </si>
  <si>
    <t>史实２８</t>
  </si>
  <si>
    <t>史实２９</t>
  </si>
  <si>
    <t>刘协</t>
  </si>
  <si>
    <t>灵帝</t>
  </si>
  <si>
    <t>少帝</t>
  </si>
  <si>
    <t>献帝</t>
  </si>
  <si>
    <t>于吉</t>
  </si>
  <si>
    <t>华佗</t>
  </si>
  <si>
    <t>管辂</t>
  </si>
  <si>
    <t>许劭</t>
  </si>
  <si>
    <t>左慈</t>
  </si>
  <si>
    <t>司马徽</t>
  </si>
  <si>
    <t>祢衡</t>
    <phoneticPr fontId="1" type="noConversion"/>
  </si>
  <si>
    <t>黄承彦</t>
  </si>
  <si>
    <t>桥玄</t>
  </si>
  <si>
    <t>北斗</t>
  </si>
  <si>
    <t>南斗</t>
  </si>
  <si>
    <t>盗贼</t>
  </si>
  <si>
    <t>文官</t>
  </si>
  <si>
    <t>士兵</t>
  </si>
  <si>
    <t>男</t>
  </si>
  <si>
    <t>女</t>
  </si>
  <si>
    <t>老人</t>
  </si>
  <si>
    <t>小孩</t>
  </si>
  <si>
    <t>乌丸头目</t>
  </si>
  <si>
    <t>乌丸武将</t>
  </si>
  <si>
    <t>羌族头目</t>
  </si>
  <si>
    <t>羌族武将</t>
  </si>
  <si>
    <t>山越头目</t>
  </si>
  <si>
    <t>山越武将</t>
  </si>
  <si>
    <t>南蛮头目</t>
  </si>
  <si>
    <t>南蛮武将</t>
  </si>
  <si>
    <t>张让</t>
  </si>
  <si>
    <t>蹇硕</t>
  </si>
  <si>
    <t>婴儿</t>
    <phoneticPr fontId="1" type="noConversion"/>
  </si>
  <si>
    <t>传令</t>
  </si>
  <si>
    <t>权势者</t>
  </si>
  <si>
    <t>医生</t>
  </si>
  <si>
    <t>天文官</t>
  </si>
  <si>
    <t>皇后</t>
  </si>
  <si>
    <t>老翁</t>
  </si>
  <si>
    <t>老婆婆</t>
  </si>
  <si>
    <t>仙人</t>
  </si>
  <si>
    <t>恶臣</t>
  </si>
  <si>
    <t>宦官</t>
  </si>
  <si>
    <t>使者</t>
  </si>
  <si>
    <t>武将</t>
  </si>
  <si>
    <t>卫兵</t>
  </si>
  <si>
    <t>贼将</t>
  </si>
  <si>
    <t>黄巾党</t>
    <phoneticPr fontId="1" type="noConversion"/>
  </si>
  <si>
    <t>武艺者</t>
  </si>
  <si>
    <t>农民</t>
  </si>
  <si>
    <t>商人</t>
  </si>
  <si>
    <t>劳动者</t>
  </si>
  <si>
    <t>年轻人</t>
  </si>
  <si>
    <t>平民姑娘</t>
  </si>
  <si>
    <t>男童</t>
  </si>
  <si>
    <t>女童</t>
  </si>
  <si>
    <t>富翁</t>
  </si>
  <si>
    <t>职人</t>
  </si>
  <si>
    <t>小偷</t>
  </si>
  <si>
    <t>旅人</t>
  </si>
  <si>
    <t>酒家姑娘</t>
  </si>
  <si>
    <t>客栈姑娘</t>
  </si>
  <si>
    <t>渔夫</t>
  </si>
  <si>
    <t>学者</t>
  </si>
  <si>
    <t>事６４</t>
  </si>
  <si>
    <t>事６５</t>
  </si>
  <si>
    <t>事６６</t>
  </si>
  <si>
    <t>事６７</t>
  </si>
  <si>
    <t>事６８</t>
  </si>
  <si>
    <t>事６９</t>
  </si>
  <si>
    <t>事７０</t>
  </si>
  <si>
    <t>事７１</t>
  </si>
  <si>
    <t>事７２</t>
  </si>
  <si>
    <t>事７３</t>
  </si>
  <si>
    <t>事７４</t>
  </si>
  <si>
    <t>事７５</t>
  </si>
  <si>
    <t>事７６</t>
  </si>
  <si>
    <t>事７７</t>
  </si>
  <si>
    <t>事７８</t>
  </si>
  <si>
    <t>事７９</t>
  </si>
  <si>
    <t>事８０</t>
  </si>
  <si>
    <t>事８１</t>
  </si>
  <si>
    <t>事８２</t>
  </si>
  <si>
    <t>事８３</t>
  </si>
  <si>
    <t>事８４</t>
  </si>
  <si>
    <t>事８５</t>
  </si>
  <si>
    <t>事８６</t>
  </si>
  <si>
    <t>事８７</t>
  </si>
  <si>
    <t>事８８</t>
  </si>
  <si>
    <t>事８９</t>
  </si>
  <si>
    <t>事９０</t>
  </si>
  <si>
    <t>事９１</t>
  </si>
  <si>
    <t>事９２</t>
  </si>
  <si>
    <t>事９３</t>
  </si>
  <si>
    <t>事９４</t>
  </si>
  <si>
    <t>事９５</t>
  </si>
  <si>
    <t>事９６</t>
  </si>
  <si>
    <t>事９７</t>
  </si>
  <si>
    <t>事９８</t>
  </si>
  <si>
    <t>事９９</t>
  </si>
  <si>
    <t>事Ａ０</t>
  </si>
  <si>
    <t>孔丘</t>
  </si>
  <si>
    <t>孙膑</t>
  </si>
  <si>
    <t>张仪</t>
  </si>
  <si>
    <t>乐毅</t>
  </si>
  <si>
    <t>蔺相如</t>
  </si>
  <si>
    <t>白起</t>
  </si>
  <si>
    <t>赢政</t>
  </si>
  <si>
    <t>李斯</t>
  </si>
  <si>
    <t>王翦</t>
  </si>
  <si>
    <t>蒙恬</t>
  </si>
  <si>
    <t>项籍</t>
  </si>
  <si>
    <t>范增</t>
  </si>
  <si>
    <t>英布</t>
  </si>
  <si>
    <t>刘邦</t>
  </si>
  <si>
    <t>张良</t>
  </si>
  <si>
    <t>韩信</t>
  </si>
  <si>
    <t>彭越</t>
  </si>
  <si>
    <t>霍去病</t>
  </si>
  <si>
    <t>杨大眼</t>
  </si>
  <si>
    <t>陈庆之</t>
  </si>
  <si>
    <t>高长恭</t>
  </si>
  <si>
    <t>李绩</t>
  </si>
  <si>
    <t>秦琼</t>
  </si>
  <si>
    <t>尉迟恭</t>
  </si>
  <si>
    <t>岳飞</t>
  </si>
  <si>
    <t>秦良玉</t>
  </si>
  <si>
    <t>郑成功</t>
  </si>
  <si>
    <t>管夷吾</t>
  </si>
  <si>
    <t>鲍叔牙</t>
  </si>
  <si>
    <t>吕尚</t>
  </si>
  <si>
    <t>吴起</t>
  </si>
  <si>
    <t>萧何</t>
  </si>
  <si>
    <t>74</t>
  </si>
  <si>
    <t>33</t>
  </si>
  <si>
    <t>44</t>
  </si>
  <si>
    <t>19</t>
  </si>
  <si>
    <t>73</t>
  </si>
  <si>
    <t>70</t>
  </si>
  <si>
    <t>24</t>
  </si>
  <si>
    <t>86</t>
  </si>
  <si>
    <t>84</t>
  </si>
  <si>
    <t>66</t>
  </si>
  <si>
    <t>53</t>
  </si>
  <si>
    <t>9</t>
  </si>
  <si>
    <t>51</t>
  </si>
  <si>
    <t>48</t>
  </si>
  <si>
    <t>15</t>
  </si>
  <si>
    <t>77</t>
  </si>
  <si>
    <t>62</t>
  </si>
  <si>
    <t>78</t>
  </si>
  <si>
    <t>57</t>
  </si>
  <si>
    <t>76</t>
  </si>
  <si>
    <t>39</t>
  </si>
  <si>
    <t>67</t>
  </si>
  <si>
    <t>46</t>
  </si>
  <si>
    <t>28</t>
  </si>
  <si>
    <t>40</t>
  </si>
  <si>
    <t>14</t>
  </si>
  <si>
    <t>41</t>
  </si>
  <si>
    <t>61</t>
  </si>
  <si>
    <t>59</t>
  </si>
  <si>
    <t>20</t>
  </si>
  <si>
    <t>17</t>
  </si>
  <si>
    <t>83</t>
  </si>
  <si>
    <t>65</t>
  </si>
  <si>
    <t>64</t>
  </si>
  <si>
    <t>58</t>
  </si>
  <si>
    <t>69</t>
  </si>
  <si>
    <t>16</t>
  </si>
  <si>
    <t>71</t>
  </si>
  <si>
    <t>38</t>
  </si>
  <si>
    <t>72</t>
  </si>
  <si>
    <t>90</t>
  </si>
  <si>
    <t>27</t>
  </si>
  <si>
    <t>35</t>
  </si>
  <si>
    <t>25</t>
  </si>
  <si>
    <t>79</t>
  </si>
  <si>
    <t>50</t>
  </si>
  <si>
    <t>52</t>
  </si>
  <si>
    <t>26</t>
  </si>
  <si>
    <t>68</t>
  </si>
  <si>
    <t>6</t>
  </si>
  <si>
    <t>80</t>
  </si>
  <si>
    <t>75</t>
  </si>
  <si>
    <t>55</t>
  </si>
  <si>
    <t>49</t>
  </si>
  <si>
    <t>63</t>
  </si>
  <si>
    <t>60</t>
  </si>
  <si>
    <t>3</t>
  </si>
  <si>
    <t>56</t>
  </si>
  <si>
    <t>36</t>
  </si>
  <si>
    <t>22</t>
  </si>
  <si>
    <t>29</t>
  </si>
  <si>
    <t>88</t>
  </si>
  <si>
    <t>82</t>
  </si>
  <si>
    <t>30</t>
  </si>
  <si>
    <t>81</t>
  </si>
  <si>
    <t>8</t>
  </si>
  <si>
    <t>85</t>
  </si>
  <si>
    <t>10</t>
  </si>
  <si>
    <t>47</t>
  </si>
  <si>
    <t>21</t>
  </si>
  <si>
    <t>13</t>
  </si>
  <si>
    <t>42</t>
  </si>
  <si>
    <t>37</t>
  </si>
  <si>
    <t>54</t>
  </si>
  <si>
    <t>34</t>
  </si>
  <si>
    <t>91</t>
  </si>
  <si>
    <t>45</t>
  </si>
  <si>
    <t>92</t>
  </si>
  <si>
    <t>7</t>
  </si>
  <si>
    <t>2</t>
  </si>
  <si>
    <t>31</t>
  </si>
  <si>
    <t>97</t>
  </si>
  <si>
    <t>93</t>
  </si>
  <si>
    <t>5</t>
  </si>
  <si>
    <t>4</t>
  </si>
  <si>
    <t>1</t>
  </si>
  <si>
    <t>87</t>
  </si>
  <si>
    <t>18</t>
  </si>
  <si>
    <t>12</t>
  </si>
  <si>
    <t>23</t>
  </si>
  <si>
    <t>94</t>
  </si>
  <si>
    <t>11</t>
  </si>
  <si>
    <t>32</t>
  </si>
  <si>
    <t>89</t>
  </si>
  <si>
    <t>96</t>
  </si>
  <si>
    <t>43</t>
  </si>
  <si>
    <t>98</t>
  </si>
  <si>
    <t>95</t>
  </si>
  <si>
    <t>99</t>
  </si>
  <si>
    <t>100</t>
  </si>
  <si>
    <t>武将</t>
    <phoneticPr fontId="1" type="noConversion"/>
  </si>
  <si>
    <t>适应</t>
    <phoneticPr fontId="1" type="noConversion"/>
  </si>
  <si>
    <t>严舆</t>
    <phoneticPr fontId="1" type="noConversion"/>
  </si>
  <si>
    <t>Ｃ</t>
    <phoneticPr fontId="1" type="noConversion"/>
  </si>
  <si>
    <t>Ａ</t>
  </si>
  <si>
    <t>Ｃ</t>
  </si>
  <si>
    <t>Ｂ</t>
  </si>
  <si>
    <t>Ｓ</t>
  </si>
  <si>
    <t>枪兵适性</t>
    <phoneticPr fontId="1" type="noConversion"/>
  </si>
  <si>
    <t>戟兵适性</t>
    <phoneticPr fontId="1" type="noConversion"/>
  </si>
  <si>
    <t>弩兵适性</t>
    <phoneticPr fontId="1" type="noConversion"/>
  </si>
  <si>
    <t>骑兵适性</t>
    <phoneticPr fontId="1" type="noConversion"/>
  </si>
  <si>
    <t>兵器适性</t>
    <phoneticPr fontId="1" type="noConversion"/>
  </si>
  <si>
    <t>水军适性</t>
    <phoneticPr fontId="1" type="noConversion"/>
  </si>
  <si>
    <t>适应力</t>
    <phoneticPr fontId="1" type="noConversion"/>
  </si>
  <si>
    <t>伤害系数</t>
    <phoneticPr fontId="1" type="noConversion"/>
  </si>
  <si>
    <t>攻-防</t>
    <phoneticPr fontId="1" type="noConversion"/>
  </si>
  <si>
    <t>兵力差</t>
    <phoneticPr fontId="1" type="noConversion"/>
  </si>
  <si>
    <t>政治*2</t>
    <phoneticPr fontId="1" type="noConversion"/>
  </si>
  <si>
    <t>建造力</t>
    <phoneticPr fontId="1" type="noConversion"/>
  </si>
  <si>
    <t>治安提升</t>
    <phoneticPr fontId="1" type="noConversion"/>
  </si>
  <si>
    <t>总政治</t>
    <phoneticPr fontId="1" type="noConversion"/>
  </si>
  <si>
    <t>总统率</t>
    <phoneticPr fontId="1" type="noConversion"/>
  </si>
  <si>
    <t>最终值</t>
    <phoneticPr fontId="1" type="noConversion"/>
  </si>
  <si>
    <t>Math.Max(1, (int)(Math.Pow(统率, 0.5)) - 5)</t>
    <phoneticPr fontId="1" type="noConversion"/>
  </si>
  <si>
    <t>Math.Max(1, v / 10)</t>
    <phoneticPr fontId="1" type="noConversion"/>
  </si>
  <si>
    <t>多兵营征兵收益</t>
    <phoneticPr fontId="1" type="noConversion"/>
  </si>
  <si>
    <t xml:space="preserve"> </t>
    <phoneticPr fontId="6" type="noConversion"/>
  </si>
  <si>
    <t>兵营基础</t>
    <phoneticPr fontId="1" type="noConversion"/>
  </si>
  <si>
    <t>总魅力</t>
    <phoneticPr fontId="1" type="noConversion"/>
  </si>
  <si>
    <t>魔法数字</t>
    <phoneticPr fontId="1" type="noConversion"/>
  </si>
  <si>
    <t>废弃</t>
    <phoneticPr fontId="1" type="noConversion"/>
  </si>
  <si>
    <t>多铁匠铺打造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</si>
  <si>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</si>
  <si>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</si>
  <si>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</si>
  <si>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总智力</t>
    <phoneticPr fontId="1" type="noConversion"/>
  </si>
  <si>
    <t>铁匠铺基础</t>
    <phoneticPr fontId="1" type="noConversion"/>
  </si>
  <si>
    <t>总等级</t>
    <phoneticPr fontId="1" type="noConversion"/>
  </si>
  <si>
    <t>训练</t>
    <phoneticPr fontId="1" type="noConversion"/>
  </si>
  <si>
    <t>巡查</t>
    <phoneticPr fontId="1" type="noConversion"/>
  </si>
  <si>
    <t>最终结果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</si>
</sst>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6" borderId="2" xfId="0" applyFill="1" applyBorder="1"/>
    <xf numFmtId="0" fontId="0" fillId="7" borderId="0" xfId="0" applyFill="1"/>
    <xf numFmtId="0" fontId="0" fillId="8" borderId="0" xfId="0" applyFill="1"/>
    <xf numFmtId="0" fontId="0" fillId="5" borderId="2" xfId="0" applyFill="1" applyBorder="1"/>
    <xf numFmtId="0" fontId="0" fillId="9" borderId="2" xfId="0" applyFill="1" applyBorder="1"/>
    <xf numFmtId="0" fontId="0" fillId="4" borderId="2" xfId="0" applyFill="1" applyBorder="1"/>
    <xf numFmtId="0" fontId="3" fillId="8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/>
    <xf numFmtId="0" fontId="3" fillId="7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10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zoomScale="87" zoomScaleNormal="87" workbookViewId="0">
      <selection activeCell="A36" sqref="A36"/>
    </sheetView>
  </sheetViews>
  <sheetFormatPr defaultColWidth="9" defaultRowHeight="13.8" x14ac:dyDescent="0.25"/>
  <cols>
    <col min="1" max="1" width="15.109375" style="1" bestFit="1" customWidth="1"/>
    <col min="2" max="2" width="7.77734375" style="1" bestFit="1" customWidth="1"/>
    <col min="3" max="3" width="7.109375" style="1" bestFit="1" customWidth="1"/>
    <col min="4" max="5" width="7.44140625" style="1" bestFit="1" customWidth="1"/>
    <col min="6" max="6" width="5.21875" style="1" bestFit="1" customWidth="1"/>
    <col min="7" max="7" width="9" style="1"/>
    <col min="8" max="8" width="14.88671875" style="1" customWidth="1"/>
    <col min="9" max="9" width="16.33203125" style="1" customWidth="1"/>
    <col min="10" max="10" width="11.88671875" style="1" customWidth="1"/>
    <col min="11" max="11" width="9.44140625" style="1" customWidth="1"/>
    <col min="12" max="12" width="12.88671875" style="1" customWidth="1"/>
    <col min="13" max="13" width="11.109375" style="1" customWidth="1"/>
    <col min="14" max="14" width="10.88671875" style="1" customWidth="1"/>
    <col min="15" max="16" width="11.88671875" style="1" customWidth="1"/>
    <col min="17" max="16384" width="9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>
        <v>0.01</v>
      </c>
      <c r="I1" s="1" t="s">
        <v>46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5" x14ac:dyDescent="0.25">
      <c r="A2" s="1">
        <v>10000</v>
      </c>
      <c r="B2" s="1">
        <v>10000</v>
      </c>
      <c r="C2" s="1">
        <v>20</v>
      </c>
      <c r="D2" s="1">
        <v>50000</v>
      </c>
      <c r="E2" s="1">
        <v>80</v>
      </c>
      <c r="F2" s="1">
        <v>80</v>
      </c>
      <c r="H2" s="1">
        <v>200</v>
      </c>
      <c r="I2" s="1" t="s">
        <v>47</v>
      </c>
      <c r="K2" s="1">
        <f>K3*24</f>
        <v>28600</v>
      </c>
      <c r="L2" s="1">
        <f>L3*24</f>
        <v>8800</v>
      </c>
      <c r="M2" s="1">
        <v>0</v>
      </c>
      <c r="N2" s="1">
        <f>N3*24</f>
        <v>19800</v>
      </c>
      <c r="O2" s="1" t="s">
        <v>40</v>
      </c>
    </row>
    <row r="3" spans="1:15" x14ac:dyDescent="0.25">
      <c r="A3" s="1">
        <v>10000</v>
      </c>
      <c r="B3" s="1">
        <v>10000</v>
      </c>
      <c r="K3" s="1">
        <f>A18*0.65/3</f>
        <v>1191.6666666666667</v>
      </c>
      <c r="L3" s="1">
        <f>A18*0.2/3</f>
        <v>366.66666666666669</v>
      </c>
      <c r="M3" s="1">
        <v>0</v>
      </c>
      <c r="N3" s="1">
        <f>A18*0.15</f>
        <v>825</v>
      </c>
      <c r="O3" s="1" t="s">
        <v>41</v>
      </c>
    </row>
    <row r="4" spans="1:15" x14ac:dyDescent="0.25">
      <c r="B4" s="1">
        <f>C2*H2+D2*H1</f>
        <v>4500</v>
      </c>
      <c r="C4" s="1" t="s">
        <v>50</v>
      </c>
      <c r="K4" s="1">
        <v>0</v>
      </c>
      <c r="L4" s="1">
        <v>100</v>
      </c>
      <c r="M4" s="1">
        <v>250</v>
      </c>
      <c r="N4" s="1">
        <v>150</v>
      </c>
      <c r="O4" s="1" t="s">
        <v>42</v>
      </c>
    </row>
    <row r="5" spans="1:15" x14ac:dyDescent="0.25">
      <c r="B5" s="1">
        <f>B4*0.45</f>
        <v>2025</v>
      </c>
      <c r="C5" s="1" t="s">
        <v>54</v>
      </c>
      <c r="H5" s="1">
        <v>240</v>
      </c>
      <c r="I5" s="1" t="s">
        <v>32</v>
      </c>
      <c r="O5" s="1" t="s">
        <v>43</v>
      </c>
    </row>
    <row r="6" spans="1:15" x14ac:dyDescent="0.25">
      <c r="B6" s="1">
        <f>B4*0.55</f>
        <v>2475</v>
      </c>
      <c r="C6" s="1" t="s">
        <v>55</v>
      </c>
      <c r="H6" s="1">
        <f>10000/H5</f>
        <v>41.666666666666664</v>
      </c>
      <c r="I6" s="1" t="s">
        <v>6</v>
      </c>
      <c r="K6" s="1">
        <v>3</v>
      </c>
      <c r="L6" s="1">
        <v>3</v>
      </c>
      <c r="M6" s="1">
        <v>3</v>
      </c>
      <c r="N6" s="1">
        <v>1</v>
      </c>
    </row>
    <row r="7" spans="1:15" x14ac:dyDescent="0.25">
      <c r="A7" s="2">
        <f>A10*B3</f>
        <v>2025.0000000000002</v>
      </c>
      <c r="B7" s="1" t="s">
        <v>53</v>
      </c>
    </row>
    <row r="9" spans="1:15" x14ac:dyDescent="0.25">
      <c r="A9" s="1">
        <f>B5/B2</f>
        <v>0.20250000000000001</v>
      </c>
      <c r="B9" s="1" t="s">
        <v>48</v>
      </c>
    </row>
    <row r="10" spans="1:15" x14ac:dyDescent="0.25">
      <c r="A10" s="1">
        <f>A9*(0.4+0.2*F2/80+0.4*E2/80)</f>
        <v>0.20250000000000001</v>
      </c>
      <c r="B10" s="1" t="s">
        <v>49</v>
      </c>
      <c r="K10" s="1">
        <f>K4*K6+L4*L6+M4*M6+N4*N6</f>
        <v>1200</v>
      </c>
      <c r="L10" s="1" t="s">
        <v>45</v>
      </c>
    </row>
    <row r="11" spans="1:15" x14ac:dyDescent="0.25">
      <c r="A11" s="1">
        <f>A10*B2</f>
        <v>2025.0000000000002</v>
      </c>
      <c r="B11" s="1" t="s">
        <v>51</v>
      </c>
    </row>
    <row r="12" spans="1:15" x14ac:dyDescent="0.25">
      <c r="A12" s="2">
        <v>500</v>
      </c>
      <c r="B12" s="1" t="s">
        <v>52</v>
      </c>
    </row>
    <row r="13" spans="1:15" x14ac:dyDescent="0.25">
      <c r="A13" s="1">
        <f>A12+A7</f>
        <v>2525</v>
      </c>
      <c r="B13" s="1">
        <f>A13+K10</f>
        <v>3725</v>
      </c>
    </row>
    <row r="14" spans="1:15" s="3" customFormat="1" x14ac:dyDescent="0.25"/>
    <row r="16" spans="1:15" ht="13.5" customHeight="1" x14ac:dyDescent="0.25">
      <c r="A16" s="1">
        <f>(D2*H17*H18+H16*D2)</f>
        <v>10000</v>
      </c>
      <c r="B16" s="1" t="s">
        <v>57</v>
      </c>
      <c r="H16" s="1">
        <v>0.1</v>
      </c>
      <c r="I16" s="1" t="s">
        <v>7</v>
      </c>
      <c r="K16" s="1">
        <f>K3*K6+L3*L6+M3*M6+N3*N6</f>
        <v>5500</v>
      </c>
      <c r="L16" s="1" t="s">
        <v>44</v>
      </c>
      <c r="M16" s="1">
        <f>K16*0.5</f>
        <v>2750</v>
      </c>
      <c r="N16" s="1" t="s">
        <v>9</v>
      </c>
    </row>
    <row r="17" spans="1:14" x14ac:dyDescent="0.25">
      <c r="A17" s="1">
        <f>A16*0.45</f>
        <v>4500</v>
      </c>
      <c r="B17" s="1" t="s">
        <v>54</v>
      </c>
      <c r="H17" s="1">
        <v>1</v>
      </c>
      <c r="I17" s="1" t="s">
        <v>8</v>
      </c>
      <c r="M17" s="1">
        <f>K16*3</f>
        <v>16500</v>
      </c>
      <c r="N17" s="1" t="s">
        <v>10</v>
      </c>
    </row>
    <row r="18" spans="1:14" x14ac:dyDescent="0.25">
      <c r="A18" s="1">
        <f>A16*0.55</f>
        <v>5500</v>
      </c>
      <c r="B18" s="1" t="s">
        <v>55</v>
      </c>
      <c r="H18" s="1">
        <v>0.1</v>
      </c>
      <c r="I18" s="1" t="s">
        <v>56</v>
      </c>
      <c r="M18" s="1">
        <f>K16*18</f>
        <v>99000</v>
      </c>
    </row>
    <row r="19" spans="1:14" x14ac:dyDescent="0.25">
      <c r="H19" s="1">
        <f>H17*H21*H20</f>
        <v>60000</v>
      </c>
      <c r="I19" s="1" t="s">
        <v>35</v>
      </c>
    </row>
    <row r="20" spans="1:14" x14ac:dyDescent="0.25">
      <c r="A20" s="1">
        <f>A17</f>
        <v>4500</v>
      </c>
      <c r="B20" s="1">
        <f>A20/A2</f>
        <v>0.45</v>
      </c>
      <c r="C20" s="1">
        <f>B20*(0.4+0.3*F2/80+0.3*E2/80)</f>
        <v>0.45</v>
      </c>
      <c r="E20" s="1">
        <f>C20*A2</f>
        <v>4500</v>
      </c>
      <c r="H20" s="1">
        <v>20</v>
      </c>
      <c r="I20" s="1" t="s">
        <v>33</v>
      </c>
    </row>
    <row r="21" spans="1:14" x14ac:dyDescent="0.25">
      <c r="A21" s="1">
        <f>C20*A3</f>
        <v>4500</v>
      </c>
      <c r="H21" s="1">
        <v>3000</v>
      </c>
      <c r="I21" s="1" t="s">
        <v>34</v>
      </c>
    </row>
    <row r="22" spans="1:14" x14ac:dyDescent="0.25">
      <c r="A22" s="2">
        <v>10000</v>
      </c>
      <c r="B22" s="1" t="s">
        <v>52</v>
      </c>
    </row>
    <row r="23" spans="1:14" x14ac:dyDescent="0.25">
      <c r="A23" s="1">
        <f>A21*C23</f>
        <v>54000</v>
      </c>
      <c r="B23" s="1" t="s">
        <v>9</v>
      </c>
      <c r="C23" s="1">
        <v>12</v>
      </c>
    </row>
    <row r="24" spans="1:14" x14ac:dyDescent="0.25">
      <c r="A24" s="1">
        <f>A21*C24</f>
        <v>108000</v>
      </c>
      <c r="B24" s="1" t="s">
        <v>10</v>
      </c>
      <c r="C24" s="1">
        <v>24</v>
      </c>
      <c r="D24" s="1">
        <f>C24*B20</f>
        <v>10.8</v>
      </c>
    </row>
    <row r="25" spans="1:14" x14ac:dyDescent="0.25">
      <c r="A25" s="1">
        <f>A24+A22</f>
        <v>118000</v>
      </c>
      <c r="B25" s="1">
        <f>A25+K16</f>
        <v>123500</v>
      </c>
      <c r="H25" s="1">
        <f>H6</f>
        <v>41.666666666666664</v>
      </c>
      <c r="I25" s="1" t="s">
        <v>6</v>
      </c>
    </row>
    <row r="26" spans="1:14" x14ac:dyDescent="0.25">
      <c r="G26" s="1" t="s">
        <v>60</v>
      </c>
      <c r="H26" s="1" t="s">
        <v>58</v>
      </c>
      <c r="I26" s="1">
        <v>0.1</v>
      </c>
      <c r="J26" s="1">
        <v>60</v>
      </c>
    </row>
    <row r="27" spans="1:14" x14ac:dyDescent="0.25">
      <c r="H27" s="1" t="s">
        <v>59</v>
      </c>
      <c r="I27" s="1">
        <v>0.8</v>
      </c>
      <c r="J27" s="1">
        <v>80</v>
      </c>
    </row>
    <row r="28" spans="1:14" x14ac:dyDescent="0.25">
      <c r="H28" s="1" t="s">
        <v>16</v>
      </c>
      <c r="I28" s="1">
        <v>0.1</v>
      </c>
      <c r="J28" s="1">
        <v>60</v>
      </c>
    </row>
    <row r="29" spans="1:14" x14ac:dyDescent="0.25">
      <c r="H29" s="1">
        <f>(J26/100*I26+J27/100*I27+J28/100*I28)*H25</f>
        <v>31.666666666666675</v>
      </c>
    </row>
    <row r="30" spans="1:14" x14ac:dyDescent="0.25">
      <c r="G30" s="1" t="s">
        <v>61</v>
      </c>
      <c r="H30" s="1" t="s">
        <v>58</v>
      </c>
    </row>
    <row r="31" spans="1:14" x14ac:dyDescent="0.25">
      <c r="H31" s="1" t="s">
        <v>59</v>
      </c>
    </row>
    <row r="32" spans="1:14" x14ac:dyDescent="0.25">
      <c r="H32" s="1" t="s">
        <v>16</v>
      </c>
    </row>
    <row r="36" spans="1:1" x14ac:dyDescent="0.25">
      <c r="A36" s="1" t="s">
        <v>1052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2ACC-3A6D-463B-B81D-C4932049ADED}">
  <dimension ref="A1:X32"/>
  <sheetViews>
    <sheetView workbookViewId="0">
      <selection activeCell="F28" sqref="F28"/>
    </sheetView>
  </sheetViews>
  <sheetFormatPr defaultRowHeight="13.8" x14ac:dyDescent="0.25"/>
  <cols>
    <col min="1" max="1" width="16.21875" customWidth="1"/>
    <col min="3" max="3" width="9.44140625" bestFit="1" customWidth="1"/>
    <col min="6" max="6" width="16.44140625" customWidth="1"/>
  </cols>
  <sheetData>
    <row r="1" spans="1:24" x14ac:dyDescent="0.25">
      <c r="A1" t="s">
        <v>21</v>
      </c>
      <c r="B1">
        <v>2</v>
      </c>
      <c r="V1" t="s">
        <v>12</v>
      </c>
      <c r="W1" t="s">
        <v>13</v>
      </c>
      <c r="X1" t="s">
        <v>14</v>
      </c>
    </row>
    <row r="2" spans="1:24" x14ac:dyDescent="0.25">
      <c r="A2" t="s">
        <v>64</v>
      </c>
      <c r="B2">
        <v>3000</v>
      </c>
      <c r="C2">
        <v>3000</v>
      </c>
      <c r="F2" t="s">
        <v>21</v>
      </c>
      <c r="G2">
        <f>(B1*B5*C5+B1*B6*C6+B8-B9)*(1+((C2-B2)/B3)*B4)</f>
        <v>210</v>
      </c>
      <c r="Q2">
        <v>200</v>
      </c>
      <c r="R2">
        <v>3000</v>
      </c>
      <c r="S2">
        <v>35</v>
      </c>
      <c r="T2">
        <v>0.02</v>
      </c>
      <c r="U2">
        <v>1</v>
      </c>
      <c r="V2">
        <v>65</v>
      </c>
      <c r="W2">
        <v>100</v>
      </c>
      <c r="X2">
        <v>65</v>
      </c>
    </row>
    <row r="3" spans="1:24" x14ac:dyDescent="0.25">
      <c r="A3" t="s">
        <v>68</v>
      </c>
      <c r="B3">
        <v>200</v>
      </c>
      <c r="F3" t="s">
        <v>69</v>
      </c>
      <c r="G3">
        <f>(B5*D5+B6*D6+B10) * B2/B3*B4</f>
        <v>45</v>
      </c>
    </row>
    <row r="4" spans="1:24" x14ac:dyDescent="0.25">
      <c r="A4" t="s">
        <v>23</v>
      </c>
      <c r="B4">
        <v>0.05</v>
      </c>
    </row>
    <row r="5" spans="1:24" x14ac:dyDescent="0.25">
      <c r="A5" t="s">
        <v>65</v>
      </c>
      <c r="B5">
        <v>100</v>
      </c>
      <c r="C5">
        <v>0.8</v>
      </c>
      <c r="D5">
        <v>0.2</v>
      </c>
      <c r="F5" t="s">
        <v>22</v>
      </c>
      <c r="G5">
        <f>B16*(B7/100)</f>
        <v>0.5</v>
      </c>
      <c r="M5" t="s">
        <v>11</v>
      </c>
      <c r="N5">
        <v>10000</v>
      </c>
      <c r="P5">
        <v>10000</v>
      </c>
    </row>
    <row r="6" spans="1:24" x14ac:dyDescent="0.25">
      <c r="A6" t="s">
        <v>66</v>
      </c>
      <c r="B6">
        <v>100</v>
      </c>
      <c r="C6">
        <v>0.2</v>
      </c>
      <c r="D6">
        <v>0.2</v>
      </c>
      <c r="F6" t="s">
        <v>24</v>
      </c>
      <c r="G6">
        <f>G2 * (1-G5)</f>
        <v>105</v>
      </c>
      <c r="M6" t="s">
        <v>15</v>
      </c>
      <c r="N6">
        <v>100</v>
      </c>
      <c r="P6">
        <v>88</v>
      </c>
    </row>
    <row r="7" spans="1:24" x14ac:dyDescent="0.25">
      <c r="A7" t="s">
        <v>67</v>
      </c>
      <c r="B7">
        <v>100</v>
      </c>
      <c r="F7" t="s">
        <v>25</v>
      </c>
      <c r="G7">
        <v>1.2</v>
      </c>
      <c r="M7" t="s">
        <v>17</v>
      </c>
      <c r="N7">
        <v>80</v>
      </c>
      <c r="P7">
        <v>100</v>
      </c>
      <c r="R7">
        <v>100</v>
      </c>
      <c r="S7">
        <v>0.8</v>
      </c>
      <c r="T7">
        <v>0.05</v>
      </c>
    </row>
    <row r="8" spans="1:24" x14ac:dyDescent="0.25">
      <c r="A8" t="s">
        <v>18</v>
      </c>
      <c r="B8" s="4">
        <v>95</v>
      </c>
      <c r="F8" t="s">
        <v>26</v>
      </c>
      <c r="G8">
        <v>1.2</v>
      </c>
      <c r="M8" t="s">
        <v>16</v>
      </c>
      <c r="N8">
        <v>70</v>
      </c>
      <c r="P8">
        <v>3</v>
      </c>
    </row>
    <row r="9" spans="1:24" x14ac:dyDescent="0.25">
      <c r="A9" t="s">
        <v>19</v>
      </c>
      <c r="B9" s="4">
        <v>85</v>
      </c>
      <c r="F9" t="s">
        <v>70</v>
      </c>
      <c r="G9">
        <f>G6*G7*G8</f>
        <v>151.19999999999999</v>
      </c>
    </row>
    <row r="10" spans="1:24" x14ac:dyDescent="0.25">
      <c r="A10" t="s">
        <v>62</v>
      </c>
      <c r="B10" s="4">
        <v>20</v>
      </c>
    </row>
    <row r="11" spans="1:24" x14ac:dyDescent="0.25">
      <c r="A11" t="s">
        <v>20</v>
      </c>
      <c r="B11">
        <v>100</v>
      </c>
      <c r="F11" t="s">
        <v>27</v>
      </c>
      <c r="G11">
        <f>G9*(MAX(B11-B13, 0) /B14 * B15 +  B12 +  MIN(B11, B13)/B13 * (1-B12))</f>
        <v>173.87999999999997</v>
      </c>
      <c r="N11">
        <f>(1+((N5-R2)/100*T2))*((1+(MAX(N6-S2, 0))*T7) * R7)</f>
        <v>1020.0000000000001</v>
      </c>
      <c r="O11">
        <f>N11 * (1-P7 / 100 * S7) *U2</f>
        <v>203.99999999999997</v>
      </c>
    </row>
    <row r="12" spans="1:24" x14ac:dyDescent="0.25">
      <c r="A12" t="s">
        <v>74</v>
      </c>
      <c r="B12">
        <v>0.5</v>
      </c>
      <c r="F12" t="s">
        <v>28</v>
      </c>
      <c r="G12">
        <v>1</v>
      </c>
      <c r="N12">
        <f>MAX(N5-R2, 0)/Q2*((1+(MAX(N6-S2, 0))*T7) * R7) * W2 / 100* (1-P7 / 100 * S7*(X2/100)) *U2 *V2/100</f>
        <v>4641</v>
      </c>
    </row>
    <row r="13" spans="1:24" x14ac:dyDescent="0.25">
      <c r="A13" t="s">
        <v>71</v>
      </c>
      <c r="B13">
        <v>80</v>
      </c>
      <c r="F13" t="s">
        <v>29</v>
      </c>
      <c r="G13">
        <f>G11*G12</f>
        <v>173.87999999999997</v>
      </c>
    </row>
    <row r="14" spans="1:24" x14ac:dyDescent="0.25">
      <c r="A14" t="s">
        <v>72</v>
      </c>
      <c r="B14">
        <v>20</v>
      </c>
      <c r="F14" t="s">
        <v>30</v>
      </c>
      <c r="G14">
        <v>1.8</v>
      </c>
    </row>
    <row r="15" spans="1:24" x14ac:dyDescent="0.25">
      <c r="A15" t="s">
        <v>73</v>
      </c>
      <c r="B15">
        <v>0.15</v>
      </c>
      <c r="F15" t="s">
        <v>31</v>
      </c>
      <c r="G15">
        <f>G13*G14</f>
        <v>312.98399999999992</v>
      </c>
    </row>
    <row r="16" spans="1:24" x14ac:dyDescent="0.25">
      <c r="A16" t="s">
        <v>63</v>
      </c>
      <c r="B16">
        <v>0.5</v>
      </c>
    </row>
    <row r="32" spans="1:1" x14ac:dyDescent="0.25">
      <c r="A32" s="1" t="s">
        <v>1052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B251-0D13-4DDB-9310-3AD2D5332100}">
  <dimension ref="A1:AI833"/>
  <sheetViews>
    <sheetView tabSelected="1" topLeftCell="A10" workbookViewId="0">
      <selection activeCell="O30" sqref="O30"/>
    </sheetView>
  </sheetViews>
  <sheetFormatPr defaultRowHeight="13.8" x14ac:dyDescent="0.25"/>
  <cols>
    <col min="1" max="1" width="12.44140625" customWidth="1"/>
    <col min="5" max="5" width="13.77734375" customWidth="1"/>
    <col min="11" max="11" width="10.6640625" customWidth="1"/>
  </cols>
  <sheetData>
    <row r="1" spans="1:35" x14ac:dyDescent="0.25">
      <c r="A1" s="9" t="s">
        <v>75</v>
      </c>
      <c r="B1" s="10"/>
      <c r="C1" s="10"/>
      <c r="D1" s="10"/>
      <c r="E1" s="10"/>
      <c r="F1" s="10"/>
      <c r="G1" s="10"/>
      <c r="I1" t="s">
        <v>1036</v>
      </c>
      <c r="J1" s="7">
        <v>10</v>
      </c>
      <c r="R1" s="6" t="s">
        <v>90</v>
      </c>
      <c r="S1" s="6" t="s">
        <v>91</v>
      </c>
      <c r="T1" s="6" t="s">
        <v>93</v>
      </c>
      <c r="U1" s="6" t="s">
        <v>1035</v>
      </c>
      <c r="Y1" s="6" t="s">
        <v>17</v>
      </c>
      <c r="Z1" s="6" t="s">
        <v>15</v>
      </c>
      <c r="AA1" s="6" t="s">
        <v>16</v>
      </c>
      <c r="AB1" s="6" t="s">
        <v>59</v>
      </c>
      <c r="AC1" s="6" t="s">
        <v>58</v>
      </c>
      <c r="AD1" s="6" t="s">
        <v>1029</v>
      </c>
      <c r="AE1" s="6" t="s">
        <v>1030</v>
      </c>
      <c r="AF1" s="6" t="s">
        <v>1031</v>
      </c>
      <c r="AG1" s="6" t="s">
        <v>1032</v>
      </c>
      <c r="AH1" s="6" t="s">
        <v>1033</v>
      </c>
      <c r="AI1" s="6" t="s">
        <v>1034</v>
      </c>
    </row>
    <row r="2" spans="1:35" x14ac:dyDescent="0.25">
      <c r="A2" s="12" t="s">
        <v>1021</v>
      </c>
      <c r="B2" s="12" t="s">
        <v>1022</v>
      </c>
      <c r="C2" s="12" t="s">
        <v>17</v>
      </c>
      <c r="D2" s="12" t="s">
        <v>15</v>
      </c>
      <c r="E2" s="12" t="s">
        <v>16</v>
      </c>
      <c r="F2" s="12" t="s">
        <v>59</v>
      </c>
      <c r="G2" s="12" t="s">
        <v>58</v>
      </c>
      <c r="O2" s="8" t="s">
        <v>1028</v>
      </c>
      <c r="P2" s="5">
        <v>1.1000000000000001</v>
      </c>
      <c r="Q2" s="5" t="s">
        <v>78</v>
      </c>
      <c r="R2" s="5">
        <v>65</v>
      </c>
      <c r="S2" s="5">
        <v>65</v>
      </c>
      <c r="T2" s="7">
        <v>22</v>
      </c>
      <c r="U2" s="6">
        <v>7</v>
      </c>
      <c r="X2" s="8" t="s">
        <v>94</v>
      </c>
      <c r="Y2" s="8" t="s">
        <v>953</v>
      </c>
      <c r="Z2" s="8" t="s">
        <v>921</v>
      </c>
      <c r="AA2" s="5">
        <v>26</v>
      </c>
      <c r="AB2" s="8" t="s">
        <v>922</v>
      </c>
      <c r="AC2" s="8" t="s">
        <v>923</v>
      </c>
      <c r="AD2" s="8" t="s">
        <v>1024</v>
      </c>
      <c r="AE2" s="8" t="s">
        <v>1025</v>
      </c>
      <c r="AF2" s="8" t="s">
        <v>1026</v>
      </c>
      <c r="AG2" s="8" t="s">
        <v>1027</v>
      </c>
      <c r="AH2" s="8" t="s">
        <v>1026</v>
      </c>
      <c r="AI2" s="8" t="s">
        <v>1026</v>
      </c>
    </row>
    <row r="3" spans="1:35" x14ac:dyDescent="0.25">
      <c r="A3" s="18" t="s">
        <v>218</v>
      </c>
      <c r="B3" s="18" t="str">
        <f>VLOOKUP(A3,$X$2:$AI$833,VLOOKUP(A6,$Q$2:$U$13,5,0),0)</f>
        <v>Ｓ</v>
      </c>
      <c r="C3" s="19" t="str">
        <f>VLOOKUP(A3,X2:AC833,2,0)</f>
        <v>81</v>
      </c>
      <c r="D3" s="19" t="str">
        <f>VLOOKUP(A3,X2:AC833,3,0)</f>
        <v>92</v>
      </c>
      <c r="E3" s="19">
        <f>VLOOKUP(A3,X2:AC833,4,0)</f>
        <v>69</v>
      </c>
      <c r="F3" s="19" t="str">
        <f>VLOOKUP(A3,X2:AC833,5,0)</f>
        <v>49</v>
      </c>
      <c r="G3" s="19" t="str">
        <f>VLOOKUP(A3,X2:AC833,6,0)</f>
        <v>45</v>
      </c>
      <c r="I3" t="s">
        <v>1037</v>
      </c>
      <c r="J3">
        <f>C6-D15</f>
        <v>26</v>
      </c>
      <c r="O3" s="8" t="s">
        <v>1025</v>
      </c>
      <c r="P3" s="5">
        <v>1</v>
      </c>
      <c r="Q3" s="5" t="s">
        <v>79</v>
      </c>
      <c r="R3" s="5">
        <v>95</v>
      </c>
      <c r="S3" s="5">
        <v>85</v>
      </c>
      <c r="T3" s="7">
        <v>22</v>
      </c>
      <c r="U3" s="6">
        <v>7</v>
      </c>
      <c r="X3" s="8" t="s">
        <v>95</v>
      </c>
      <c r="Y3" s="8" t="s">
        <v>957</v>
      </c>
      <c r="Z3" s="8" t="s">
        <v>924</v>
      </c>
      <c r="AA3" s="5">
        <v>65</v>
      </c>
      <c r="AB3" s="8" t="s">
        <v>925</v>
      </c>
      <c r="AC3" s="8" t="s">
        <v>926</v>
      </c>
      <c r="AD3" s="8" t="s">
        <v>1026</v>
      </c>
      <c r="AE3" s="8" t="s">
        <v>1026</v>
      </c>
      <c r="AF3" s="8" t="s">
        <v>1026</v>
      </c>
      <c r="AG3" s="8" t="s">
        <v>1026</v>
      </c>
      <c r="AH3" s="8" t="s">
        <v>1027</v>
      </c>
      <c r="AI3" s="8" t="s">
        <v>1026</v>
      </c>
    </row>
    <row r="4" spans="1:35" x14ac:dyDescent="0.25">
      <c r="A4" s="10"/>
      <c r="B4" s="10"/>
      <c r="C4" s="10"/>
      <c r="D4" s="10"/>
      <c r="E4" s="10"/>
      <c r="F4" s="10"/>
      <c r="G4" s="10"/>
      <c r="I4" t="s">
        <v>1038</v>
      </c>
      <c r="J4">
        <f>B6-B15</f>
        <v>2000</v>
      </c>
      <c r="O4" s="8" t="s">
        <v>1027</v>
      </c>
      <c r="P4" s="5">
        <v>0.9</v>
      </c>
      <c r="Q4" s="5" t="s">
        <v>80</v>
      </c>
      <c r="R4" s="5">
        <v>92</v>
      </c>
      <c r="S4" s="5">
        <v>95</v>
      </c>
      <c r="T4" s="7">
        <v>22</v>
      </c>
      <c r="U4" s="6">
        <v>8</v>
      </c>
      <c r="X4" s="8" t="s">
        <v>96</v>
      </c>
      <c r="Y4" s="8" t="s">
        <v>981</v>
      </c>
      <c r="Z4" s="8" t="s">
        <v>927</v>
      </c>
      <c r="AA4" s="5">
        <v>80</v>
      </c>
      <c r="AB4" s="8" t="s">
        <v>928</v>
      </c>
      <c r="AC4" s="8" t="s">
        <v>929</v>
      </c>
      <c r="AD4" s="8" t="s">
        <v>1026</v>
      </c>
      <c r="AE4" s="8" t="s">
        <v>1026</v>
      </c>
      <c r="AF4" s="8" t="s">
        <v>1026</v>
      </c>
      <c r="AG4" s="8" t="s">
        <v>1026</v>
      </c>
      <c r="AH4" s="8" t="s">
        <v>1026</v>
      </c>
      <c r="AI4" s="8" t="s">
        <v>1027</v>
      </c>
    </row>
    <row r="5" spans="1:35" x14ac:dyDescent="0.25">
      <c r="A5" s="20" t="s">
        <v>77</v>
      </c>
      <c r="B5" s="24" t="s">
        <v>11</v>
      </c>
      <c r="C5" s="21" t="s">
        <v>90</v>
      </c>
      <c r="D5" s="21" t="s">
        <v>91</v>
      </c>
      <c r="E5" s="21" t="s">
        <v>16</v>
      </c>
      <c r="F5" s="21" t="s">
        <v>92</v>
      </c>
      <c r="G5" s="21" t="s">
        <v>93</v>
      </c>
      <c r="O5" s="8" t="s">
        <v>1026</v>
      </c>
      <c r="P5" s="5">
        <v>0.8</v>
      </c>
      <c r="Q5" s="5" t="s">
        <v>81</v>
      </c>
      <c r="R5" s="5">
        <v>85</v>
      </c>
      <c r="S5" s="5">
        <v>75</v>
      </c>
      <c r="T5" s="7">
        <v>22</v>
      </c>
      <c r="U5" s="6">
        <v>9</v>
      </c>
      <c r="X5" s="8" t="s">
        <v>97</v>
      </c>
      <c r="Y5" s="8" t="s">
        <v>933</v>
      </c>
      <c r="Z5" s="8" t="s">
        <v>923</v>
      </c>
      <c r="AA5" s="5">
        <v>61</v>
      </c>
      <c r="AB5" s="8" t="s">
        <v>930</v>
      </c>
      <c r="AC5" s="8" t="s">
        <v>931</v>
      </c>
      <c r="AD5" s="8" t="s">
        <v>1026</v>
      </c>
      <c r="AE5" s="8" t="s">
        <v>1026</v>
      </c>
      <c r="AF5" s="8" t="s">
        <v>1027</v>
      </c>
      <c r="AG5" s="8" t="s">
        <v>1027</v>
      </c>
      <c r="AH5" s="8" t="s">
        <v>1026</v>
      </c>
      <c r="AI5" s="8" t="s">
        <v>1026</v>
      </c>
    </row>
    <row r="6" spans="1:35" x14ac:dyDescent="0.25">
      <c r="A6" s="18" t="s">
        <v>80</v>
      </c>
      <c r="B6" s="22">
        <v>5000</v>
      </c>
      <c r="C6" s="19">
        <f>_xlfn.FLOOR.MATH((C3*0.3+D3*0.7)*VLOOKUP(A6,$Q$2:$T$13,2,0) / 100 * VLOOKUP($B$3,$O$2:$P$5,2,0)  )</f>
        <v>89</v>
      </c>
      <c r="D6" s="19">
        <f>_xlfn.FLOOR.MATH((C3 * 0.7 + E3 * 0.3)*VLOOKUP($A$6,$Q$2:$T$13,3,0) / 100 * VLOOKUP(B3,$O$2:$P$5,2,0)  )</f>
        <v>80</v>
      </c>
      <c r="E6" s="19"/>
      <c r="F6" s="19"/>
      <c r="G6" s="19"/>
      <c r="P6" s="5"/>
      <c r="Q6" s="5" t="s">
        <v>82</v>
      </c>
      <c r="R6" s="5">
        <v>105</v>
      </c>
      <c r="S6" s="5">
        <v>95</v>
      </c>
      <c r="T6" s="7">
        <v>22</v>
      </c>
      <c r="U6" s="6">
        <v>10</v>
      </c>
      <c r="X6" s="8" t="s">
        <v>98</v>
      </c>
      <c r="Y6" s="8" t="s">
        <v>1005</v>
      </c>
      <c r="Z6" s="8" t="s">
        <v>932</v>
      </c>
      <c r="AA6" s="5">
        <v>33</v>
      </c>
      <c r="AB6" s="8" t="s">
        <v>933</v>
      </c>
      <c r="AC6" s="8" t="s">
        <v>934</v>
      </c>
      <c r="AD6" s="8" t="s">
        <v>1026</v>
      </c>
      <c r="AE6" s="8" t="s">
        <v>1026</v>
      </c>
      <c r="AF6" s="8" t="s">
        <v>1026</v>
      </c>
      <c r="AG6" s="8" t="s">
        <v>1026</v>
      </c>
      <c r="AH6" s="8" t="s">
        <v>1026</v>
      </c>
      <c r="AI6" s="8" t="s">
        <v>1026</v>
      </c>
    </row>
    <row r="7" spans="1:35" x14ac:dyDescent="0.25">
      <c r="P7" s="5"/>
      <c r="Q7" s="5" t="s">
        <v>83</v>
      </c>
      <c r="R7" s="5">
        <v>70</v>
      </c>
      <c r="S7" s="5">
        <v>90</v>
      </c>
      <c r="T7" s="7">
        <v>22</v>
      </c>
      <c r="U7" s="6">
        <v>11</v>
      </c>
      <c r="X7" s="8" t="s">
        <v>99</v>
      </c>
      <c r="Y7" s="8" t="s">
        <v>1012</v>
      </c>
      <c r="Z7" s="8" t="s">
        <v>935</v>
      </c>
      <c r="AA7" s="5">
        <v>65</v>
      </c>
      <c r="AB7" s="8" t="s">
        <v>936</v>
      </c>
      <c r="AC7" s="8" t="s">
        <v>937</v>
      </c>
      <c r="AD7" s="8" t="s">
        <v>1026</v>
      </c>
      <c r="AE7" s="8" t="s">
        <v>1026</v>
      </c>
      <c r="AF7" s="8" t="s">
        <v>1026</v>
      </c>
      <c r="AG7" s="8" t="s">
        <v>1026</v>
      </c>
      <c r="AH7" s="8" t="s">
        <v>1025</v>
      </c>
      <c r="AI7" s="8" t="s">
        <v>1026</v>
      </c>
    </row>
    <row r="8" spans="1:35" x14ac:dyDescent="0.25">
      <c r="P8" s="5"/>
      <c r="Q8" s="5" t="s">
        <v>84</v>
      </c>
      <c r="R8" s="5">
        <v>80</v>
      </c>
      <c r="S8" s="5">
        <v>80</v>
      </c>
      <c r="T8" s="7">
        <v>22</v>
      </c>
      <c r="U8" s="6">
        <v>11</v>
      </c>
      <c r="X8" s="8" t="s">
        <v>100</v>
      </c>
      <c r="Y8" s="8" t="s">
        <v>929</v>
      </c>
      <c r="Z8" s="8" t="s">
        <v>938</v>
      </c>
      <c r="AA8" s="5">
        <v>70</v>
      </c>
      <c r="AB8" s="8" t="s">
        <v>939</v>
      </c>
      <c r="AC8" s="8" t="s">
        <v>931</v>
      </c>
      <c r="AD8" s="8" t="s">
        <v>1025</v>
      </c>
      <c r="AE8" s="8" t="s">
        <v>1027</v>
      </c>
      <c r="AF8" s="8" t="s">
        <v>1026</v>
      </c>
      <c r="AG8" s="8" t="s">
        <v>1025</v>
      </c>
      <c r="AH8" s="8" t="s">
        <v>1026</v>
      </c>
      <c r="AI8" s="8" t="s">
        <v>1027</v>
      </c>
    </row>
    <row r="9" spans="1:35" x14ac:dyDescent="0.25">
      <c r="P9" s="5"/>
      <c r="Q9" s="5" t="s">
        <v>85</v>
      </c>
      <c r="R9" s="5">
        <v>100</v>
      </c>
      <c r="S9" s="5">
        <v>80</v>
      </c>
      <c r="T9" s="7">
        <v>22</v>
      </c>
      <c r="U9" s="6">
        <v>11</v>
      </c>
      <c r="X9" s="8" t="s">
        <v>101</v>
      </c>
      <c r="Y9" s="8" t="s">
        <v>954</v>
      </c>
      <c r="Z9" s="8" t="s">
        <v>940</v>
      </c>
      <c r="AA9" s="5">
        <v>40</v>
      </c>
      <c r="AB9" s="8" t="s">
        <v>941</v>
      </c>
      <c r="AC9" s="8" t="s">
        <v>942</v>
      </c>
      <c r="AD9" s="8" t="s">
        <v>1025</v>
      </c>
      <c r="AE9" s="8" t="s">
        <v>1027</v>
      </c>
      <c r="AF9" s="8" t="s">
        <v>1026</v>
      </c>
      <c r="AG9" s="8" t="s">
        <v>1026</v>
      </c>
      <c r="AH9" s="8" t="s">
        <v>1027</v>
      </c>
      <c r="AI9" s="8" t="s">
        <v>1026</v>
      </c>
    </row>
    <row r="10" spans="1:35" x14ac:dyDescent="0.25">
      <c r="A10" s="13" t="s">
        <v>76</v>
      </c>
      <c r="B10" s="11"/>
      <c r="C10" s="11"/>
      <c r="D10" s="11"/>
      <c r="E10" s="11"/>
      <c r="F10" s="11"/>
      <c r="G10" s="11"/>
      <c r="P10" s="5"/>
      <c r="Q10" s="5" t="s">
        <v>86</v>
      </c>
      <c r="R10" s="5">
        <v>90</v>
      </c>
      <c r="S10" s="5">
        <v>90</v>
      </c>
      <c r="T10" s="7">
        <v>22</v>
      </c>
      <c r="U10" s="6">
        <v>11</v>
      </c>
      <c r="X10" s="8" t="s">
        <v>102</v>
      </c>
      <c r="Y10" s="8" t="s">
        <v>956</v>
      </c>
      <c r="Z10" s="8" t="s">
        <v>943</v>
      </c>
      <c r="AA10" s="5">
        <v>79</v>
      </c>
      <c r="AB10" s="8" t="s">
        <v>938</v>
      </c>
      <c r="AC10" s="8" t="s">
        <v>944</v>
      </c>
      <c r="AD10" s="8" t="s">
        <v>1026</v>
      </c>
      <c r="AE10" s="8" t="s">
        <v>1027</v>
      </c>
      <c r="AF10" s="8" t="s">
        <v>1025</v>
      </c>
      <c r="AG10" s="8" t="s">
        <v>1026</v>
      </c>
      <c r="AH10" s="8" t="s">
        <v>1025</v>
      </c>
      <c r="AI10" s="8" t="s">
        <v>1026</v>
      </c>
    </row>
    <row r="11" spans="1:35" x14ac:dyDescent="0.25">
      <c r="A11" s="14" t="s">
        <v>1021</v>
      </c>
      <c r="B11" s="14" t="s">
        <v>1022</v>
      </c>
      <c r="C11" s="14" t="s">
        <v>17</v>
      </c>
      <c r="D11" s="14" t="s">
        <v>15</v>
      </c>
      <c r="E11" s="14" t="s">
        <v>16</v>
      </c>
      <c r="F11" s="14" t="s">
        <v>59</v>
      </c>
      <c r="G11" s="14" t="s">
        <v>58</v>
      </c>
      <c r="P11" s="5"/>
      <c r="Q11" s="5" t="s">
        <v>87</v>
      </c>
      <c r="R11" s="5">
        <v>70</v>
      </c>
      <c r="S11" s="5">
        <v>80</v>
      </c>
      <c r="T11" s="7">
        <v>16</v>
      </c>
      <c r="U11" s="6">
        <v>12</v>
      </c>
      <c r="X11" s="8" t="s">
        <v>103</v>
      </c>
      <c r="Y11" s="8" t="s">
        <v>978</v>
      </c>
      <c r="Z11" s="8" t="s">
        <v>945</v>
      </c>
      <c r="AA11" s="5">
        <v>73</v>
      </c>
      <c r="AB11" s="8" t="s">
        <v>940</v>
      </c>
      <c r="AC11" s="8" t="s">
        <v>926</v>
      </c>
      <c r="AD11" s="8" t="s">
        <v>1026</v>
      </c>
      <c r="AE11" s="8" t="s">
        <v>1027</v>
      </c>
      <c r="AF11" s="8" t="s">
        <v>1027</v>
      </c>
      <c r="AG11" s="8" t="s">
        <v>1026</v>
      </c>
      <c r="AH11" s="8" t="s">
        <v>1027</v>
      </c>
      <c r="AI11" s="8" t="s">
        <v>1026</v>
      </c>
    </row>
    <row r="12" spans="1:35" x14ac:dyDescent="0.25">
      <c r="A12" s="15" t="s">
        <v>256</v>
      </c>
      <c r="B12" s="15" t="str">
        <f>VLOOKUP(A12,$X$2:$AI$833,VLOOKUP(A15,$Q$2:$U$13,5,0),0)</f>
        <v>Ｂ</v>
      </c>
      <c r="C12" s="17" t="str">
        <f>VLOOKUP(A12,X16:AC847,2,0)</f>
        <v>79</v>
      </c>
      <c r="D12" s="17" t="str">
        <f>VLOOKUP(A12,X16:AC847,3,0)</f>
        <v>83</v>
      </c>
      <c r="E12" s="17">
        <f>VLOOKUP(A12,X16:AC847,4,0)</f>
        <v>65</v>
      </c>
      <c r="F12" s="17" t="str">
        <f>VLOOKUP(A12,X16:AC847,5,0)</f>
        <v>65</v>
      </c>
      <c r="G12" s="17" t="str">
        <f>VLOOKUP(A12,X16:AC847,6,0)</f>
        <v>81</v>
      </c>
      <c r="P12" s="5"/>
      <c r="Q12" s="5" t="s">
        <v>88</v>
      </c>
      <c r="R12" s="5">
        <v>80</v>
      </c>
      <c r="S12" s="5">
        <v>100</v>
      </c>
      <c r="T12" s="7">
        <v>16</v>
      </c>
      <c r="U12" s="6">
        <v>12</v>
      </c>
      <c r="X12" s="8" t="s">
        <v>104</v>
      </c>
      <c r="Y12" s="8" t="s">
        <v>951</v>
      </c>
      <c r="Z12" s="8" t="s">
        <v>946</v>
      </c>
      <c r="AA12" s="5">
        <v>39</v>
      </c>
      <c r="AB12" s="8" t="s">
        <v>947</v>
      </c>
      <c r="AC12" s="8" t="s">
        <v>943</v>
      </c>
      <c r="AD12" s="8" t="s">
        <v>1026</v>
      </c>
      <c r="AE12" s="8" t="s">
        <v>1026</v>
      </c>
      <c r="AF12" s="8" t="s">
        <v>1026</v>
      </c>
      <c r="AG12" s="8" t="s">
        <v>1026</v>
      </c>
      <c r="AH12" s="8" t="s">
        <v>1026</v>
      </c>
      <c r="AI12" s="8" t="s">
        <v>1026</v>
      </c>
    </row>
    <row r="13" spans="1:35" x14ac:dyDescent="0.25">
      <c r="A13" s="11"/>
      <c r="B13" s="11"/>
      <c r="C13" s="11"/>
      <c r="D13" s="11"/>
      <c r="E13" s="11"/>
      <c r="F13" s="11"/>
      <c r="G13" s="11"/>
      <c r="P13" s="5"/>
      <c r="Q13" s="5" t="s">
        <v>89</v>
      </c>
      <c r="R13" s="5">
        <v>90</v>
      </c>
      <c r="S13" s="5">
        <v>120</v>
      </c>
      <c r="T13" s="7">
        <v>16</v>
      </c>
      <c r="U13" s="6">
        <v>12</v>
      </c>
      <c r="X13" s="8" t="s">
        <v>105</v>
      </c>
      <c r="Y13" s="8" t="s">
        <v>967</v>
      </c>
      <c r="Z13" s="8" t="s">
        <v>948</v>
      </c>
      <c r="AA13" s="5">
        <v>58</v>
      </c>
      <c r="AB13" s="8" t="s">
        <v>949</v>
      </c>
      <c r="AC13" s="8" t="s">
        <v>950</v>
      </c>
      <c r="AD13" s="8" t="s">
        <v>1027</v>
      </c>
      <c r="AE13" s="8" t="s">
        <v>1027</v>
      </c>
      <c r="AF13" s="8" t="s">
        <v>1026</v>
      </c>
      <c r="AG13" s="8" t="s">
        <v>1026</v>
      </c>
      <c r="AH13" s="8" t="s">
        <v>1027</v>
      </c>
      <c r="AI13" s="8" t="s">
        <v>1026</v>
      </c>
    </row>
    <row r="14" spans="1:35" x14ac:dyDescent="0.25">
      <c r="A14" s="14" t="s">
        <v>77</v>
      </c>
      <c r="B14" s="24" t="s">
        <v>11</v>
      </c>
      <c r="C14" s="16" t="s">
        <v>90</v>
      </c>
      <c r="D14" s="16" t="s">
        <v>91</v>
      </c>
      <c r="E14" s="16" t="s">
        <v>16</v>
      </c>
      <c r="F14" s="16" t="s">
        <v>92</v>
      </c>
      <c r="G14" s="16" t="s">
        <v>93</v>
      </c>
      <c r="X14" s="8" t="s">
        <v>106</v>
      </c>
      <c r="Y14" s="8" t="s">
        <v>984</v>
      </c>
      <c r="Z14" s="8" t="s">
        <v>951</v>
      </c>
      <c r="AA14" s="5">
        <v>72</v>
      </c>
      <c r="AB14" s="8" t="s">
        <v>952</v>
      </c>
      <c r="AC14" s="8" t="s">
        <v>952</v>
      </c>
      <c r="AD14" s="8" t="s">
        <v>1026</v>
      </c>
      <c r="AE14" s="8" t="s">
        <v>1027</v>
      </c>
      <c r="AF14" s="8" t="s">
        <v>1026</v>
      </c>
      <c r="AG14" s="8" t="s">
        <v>1027</v>
      </c>
      <c r="AH14" s="8" t="s">
        <v>1026</v>
      </c>
      <c r="AI14" s="8" t="s">
        <v>1026</v>
      </c>
    </row>
    <row r="15" spans="1:35" x14ac:dyDescent="0.25">
      <c r="A15" s="15" t="s">
        <v>79</v>
      </c>
      <c r="B15" s="23">
        <v>3000</v>
      </c>
      <c r="C15" s="17">
        <f>_xlfn.FLOOR.MATH((C12*0.3+D12*0.7)*VLOOKUP(A15,$Q$2:$T$13,2,0) / 100 * VLOOKUP($B$3,$O$2:$P$5,2,0)  )</f>
        <v>85</v>
      </c>
      <c r="D15" s="17">
        <f>_xlfn.FLOOR.MATH((C12 * 0.7 + E12 * 0.3)*VLOOKUP($A$6,$Q$2:$T$13,3,0) / 100 * VLOOKUP(B12,$O$2:$P$5,2,0)  )</f>
        <v>63</v>
      </c>
      <c r="E15" s="17"/>
      <c r="F15" s="17"/>
      <c r="G15" s="17"/>
      <c r="X15" s="8" t="s">
        <v>107</v>
      </c>
      <c r="Y15" s="8" t="s">
        <v>930</v>
      </c>
      <c r="Z15" s="8" t="s">
        <v>933</v>
      </c>
      <c r="AA15" s="5">
        <v>63</v>
      </c>
      <c r="AB15" s="8" t="s">
        <v>953</v>
      </c>
      <c r="AC15" s="8" t="s">
        <v>954</v>
      </c>
      <c r="AD15" s="8" t="s">
        <v>1026</v>
      </c>
      <c r="AE15" s="8" t="s">
        <v>1026</v>
      </c>
      <c r="AF15" s="8" t="s">
        <v>1027</v>
      </c>
      <c r="AG15" s="8" t="s">
        <v>1026</v>
      </c>
      <c r="AH15" s="8" t="s">
        <v>1027</v>
      </c>
      <c r="AI15" s="8" t="s">
        <v>1026</v>
      </c>
    </row>
    <row r="16" spans="1:35" x14ac:dyDescent="0.25">
      <c r="X16" s="8" t="s">
        <v>108</v>
      </c>
      <c r="Y16" s="8" t="s">
        <v>960</v>
      </c>
      <c r="Z16" s="8" t="s">
        <v>929</v>
      </c>
      <c r="AA16" s="5">
        <v>61</v>
      </c>
      <c r="AB16" s="8" t="s">
        <v>955</v>
      </c>
      <c r="AC16" s="8" t="s">
        <v>956</v>
      </c>
      <c r="AD16" s="8" t="s">
        <v>1027</v>
      </c>
      <c r="AE16" s="8" t="s">
        <v>1027</v>
      </c>
      <c r="AF16" s="8" t="s">
        <v>1026</v>
      </c>
      <c r="AG16" s="8" t="s">
        <v>1025</v>
      </c>
      <c r="AH16" s="8" t="s">
        <v>1026</v>
      </c>
      <c r="AI16" s="8" t="s">
        <v>1026</v>
      </c>
    </row>
    <row r="17" spans="1:35" x14ac:dyDescent="0.25">
      <c r="X17" s="8" t="s">
        <v>109</v>
      </c>
      <c r="Y17" s="8" t="s">
        <v>958</v>
      </c>
      <c r="Z17" s="8" t="s">
        <v>939</v>
      </c>
      <c r="AA17" s="5">
        <v>70</v>
      </c>
      <c r="AB17" s="8" t="s">
        <v>925</v>
      </c>
      <c r="AC17" s="8" t="s">
        <v>938</v>
      </c>
      <c r="AD17" s="8" t="s">
        <v>1026</v>
      </c>
      <c r="AE17" s="8" t="s">
        <v>1026</v>
      </c>
      <c r="AF17" s="8" t="s">
        <v>1025</v>
      </c>
      <c r="AG17" s="8" t="s">
        <v>1025</v>
      </c>
      <c r="AH17" s="8" t="s">
        <v>1026</v>
      </c>
      <c r="AI17" s="8" t="s">
        <v>1026</v>
      </c>
    </row>
    <row r="18" spans="1:35" x14ac:dyDescent="0.25">
      <c r="D18" s="1" t="s">
        <v>1044</v>
      </c>
      <c r="X18" s="8" t="s">
        <v>110</v>
      </c>
      <c r="Y18" s="8" t="s">
        <v>923</v>
      </c>
      <c r="Z18" s="8" t="s">
        <v>953</v>
      </c>
      <c r="AA18" s="5">
        <v>61</v>
      </c>
      <c r="AB18" s="8" t="s">
        <v>957</v>
      </c>
      <c r="AC18" s="8" t="s">
        <v>941</v>
      </c>
      <c r="AD18" s="8" t="s">
        <v>1027</v>
      </c>
      <c r="AE18" s="8" t="s">
        <v>1026</v>
      </c>
      <c r="AF18" s="8" t="s">
        <v>1026</v>
      </c>
      <c r="AG18" s="8" t="s">
        <v>1026</v>
      </c>
      <c r="AH18" s="8" t="s">
        <v>1026</v>
      </c>
      <c r="AI18" s="8" t="s">
        <v>1026</v>
      </c>
    </row>
    <row r="19" spans="1:35" x14ac:dyDescent="0.25">
      <c r="A19" t="s">
        <v>1040</v>
      </c>
      <c r="B19" t="s">
        <v>1042</v>
      </c>
      <c r="C19">
        <v>300</v>
      </c>
      <c r="D19">
        <f>C19*2</f>
        <v>600</v>
      </c>
      <c r="E19" t="s">
        <v>1039</v>
      </c>
      <c r="X19" s="8" t="s">
        <v>111</v>
      </c>
      <c r="Y19" s="8" t="s">
        <v>975</v>
      </c>
      <c r="Z19" s="8" t="s">
        <v>958</v>
      </c>
      <c r="AA19" s="5">
        <v>42</v>
      </c>
      <c r="AB19" s="8" t="s">
        <v>959</v>
      </c>
      <c r="AC19" s="8" t="s">
        <v>960</v>
      </c>
      <c r="AD19" s="8" t="s">
        <v>1027</v>
      </c>
      <c r="AE19" s="8" t="s">
        <v>1026</v>
      </c>
      <c r="AF19" s="8" t="s">
        <v>1026</v>
      </c>
      <c r="AG19" s="8" t="s">
        <v>1027</v>
      </c>
      <c r="AH19" s="8" t="s">
        <v>1025</v>
      </c>
      <c r="AI19" s="8" t="s">
        <v>1026</v>
      </c>
    </row>
    <row r="20" spans="1:35" x14ac:dyDescent="0.25">
      <c r="A20" t="s">
        <v>1041</v>
      </c>
      <c r="B20" t="s">
        <v>1043</v>
      </c>
      <c r="C20">
        <v>300</v>
      </c>
      <c r="D20">
        <f>MAX(1, INT(C20^0.5) - 5)</f>
        <v>12</v>
      </c>
      <c r="E20" t="s">
        <v>1045</v>
      </c>
      <c r="X20" s="8" t="s">
        <v>112</v>
      </c>
      <c r="Y20" s="8" t="s">
        <v>985</v>
      </c>
      <c r="Z20" s="8" t="s">
        <v>956</v>
      </c>
      <c r="AA20" s="5">
        <v>70</v>
      </c>
      <c r="AB20" s="8" t="s">
        <v>925</v>
      </c>
      <c r="AC20" s="8" t="s">
        <v>961</v>
      </c>
      <c r="AD20" s="8" t="s">
        <v>1025</v>
      </c>
      <c r="AE20" s="8" t="s">
        <v>1026</v>
      </c>
      <c r="AF20" s="8" t="s">
        <v>1025</v>
      </c>
      <c r="AG20" s="8" t="s">
        <v>1026</v>
      </c>
      <c r="AH20" s="8" t="s">
        <v>1028</v>
      </c>
      <c r="AI20" s="8" t="s">
        <v>1026</v>
      </c>
    </row>
    <row r="21" spans="1:35" x14ac:dyDescent="0.25">
      <c r="A21" t="s">
        <v>0</v>
      </c>
      <c r="B21" t="s">
        <v>1042</v>
      </c>
      <c r="C21">
        <v>300</v>
      </c>
      <c r="D21">
        <f>MAX(1,INT(C21/10))</f>
        <v>30</v>
      </c>
      <c r="E21" t="s">
        <v>1046</v>
      </c>
      <c r="X21" s="8" t="s">
        <v>113</v>
      </c>
      <c r="Y21" s="8" t="s">
        <v>984</v>
      </c>
      <c r="Z21" s="8" t="s">
        <v>962</v>
      </c>
      <c r="AA21" s="5">
        <v>70</v>
      </c>
      <c r="AB21" s="8" t="s">
        <v>921</v>
      </c>
      <c r="AC21" s="8" t="s">
        <v>933</v>
      </c>
      <c r="AD21" s="8" t="s">
        <v>1026</v>
      </c>
      <c r="AE21" s="8" t="s">
        <v>1026</v>
      </c>
      <c r="AF21" s="8" t="s">
        <v>1026</v>
      </c>
      <c r="AG21" s="8" t="s">
        <v>1026</v>
      </c>
      <c r="AH21" s="8" t="s">
        <v>1027</v>
      </c>
      <c r="AI21" s="8" t="s">
        <v>1026</v>
      </c>
    </row>
    <row r="22" spans="1:35" x14ac:dyDescent="0.25">
      <c r="A22" t="s">
        <v>1</v>
      </c>
      <c r="B22" t="s">
        <v>1042</v>
      </c>
      <c r="C22">
        <v>300</v>
      </c>
      <c r="D22">
        <f>MAX(1,INT(C22/10))</f>
        <v>30</v>
      </c>
      <c r="E22" t="s">
        <v>1046</v>
      </c>
      <c r="X22" s="8" t="s">
        <v>114</v>
      </c>
      <c r="Y22" s="8" t="s">
        <v>976</v>
      </c>
      <c r="Z22" s="8" t="s">
        <v>956</v>
      </c>
      <c r="AA22" s="5">
        <v>30</v>
      </c>
      <c r="AB22" s="8" t="s">
        <v>963</v>
      </c>
      <c r="AC22" s="8" t="s">
        <v>949</v>
      </c>
      <c r="AD22" s="8" t="s">
        <v>1026</v>
      </c>
      <c r="AE22" s="8" t="s">
        <v>1027</v>
      </c>
      <c r="AF22" s="8" t="s">
        <v>1027</v>
      </c>
      <c r="AG22" s="8" t="s">
        <v>1026</v>
      </c>
      <c r="AH22" s="8" t="s">
        <v>1027</v>
      </c>
      <c r="AI22" s="8" t="s">
        <v>1026</v>
      </c>
    </row>
    <row r="23" spans="1:35" x14ac:dyDescent="0.25">
      <c r="X23" s="8" t="s">
        <v>115</v>
      </c>
      <c r="Y23" s="8" t="s">
        <v>981</v>
      </c>
      <c r="Z23" s="8" t="s">
        <v>964</v>
      </c>
      <c r="AA23" s="5">
        <v>82</v>
      </c>
      <c r="AB23" s="8" t="s">
        <v>965</v>
      </c>
      <c r="AC23" s="8" t="s">
        <v>926</v>
      </c>
      <c r="AD23" s="8" t="s">
        <v>1026</v>
      </c>
      <c r="AE23" s="8" t="s">
        <v>1026</v>
      </c>
      <c r="AF23" s="8" t="s">
        <v>1026</v>
      </c>
      <c r="AG23" s="8" t="s">
        <v>1026</v>
      </c>
      <c r="AH23" s="8" t="s">
        <v>1027</v>
      </c>
      <c r="AI23" s="8" t="s">
        <v>1026</v>
      </c>
    </row>
    <row r="24" spans="1:35" x14ac:dyDescent="0.25">
      <c r="A24" s="27" t="s">
        <v>1047</v>
      </c>
      <c r="G24" t="s">
        <v>1054</v>
      </c>
      <c r="H24" t="s">
        <v>1055</v>
      </c>
      <c r="I24" t="s">
        <v>1056</v>
      </c>
      <c r="L24" s="27" t="s">
        <v>1053</v>
      </c>
      <c r="X24" s="8" t="s">
        <v>116</v>
      </c>
      <c r="Y24" s="8" t="s">
        <v>947</v>
      </c>
      <c r="Z24" s="8" t="s">
        <v>966</v>
      </c>
      <c r="AA24" s="5">
        <v>41</v>
      </c>
      <c r="AB24" s="8" t="s">
        <v>933</v>
      </c>
      <c r="AC24" s="8" t="s">
        <v>931</v>
      </c>
      <c r="AD24" s="8" t="s">
        <v>1026</v>
      </c>
      <c r="AE24" s="8" t="s">
        <v>1026</v>
      </c>
      <c r="AF24" s="8" t="s">
        <v>1027</v>
      </c>
      <c r="AG24" s="8" t="s">
        <v>1026</v>
      </c>
      <c r="AH24" s="8" t="s">
        <v>1026</v>
      </c>
      <c r="AI24" s="8" t="s">
        <v>1027</v>
      </c>
    </row>
    <row r="25" spans="1:35" x14ac:dyDescent="0.25">
      <c r="A25" s="28" t="s">
        <v>1050</v>
      </c>
      <c r="B25" s="28" t="s">
        <v>1051</v>
      </c>
      <c r="G25">
        <v>81</v>
      </c>
      <c r="H25">
        <v>80</v>
      </c>
      <c r="I25">
        <v>80</v>
      </c>
      <c r="L25" s="28" t="s">
        <v>1057</v>
      </c>
      <c r="M25" s="28"/>
      <c r="X25" s="8" t="s">
        <v>117</v>
      </c>
      <c r="Y25" s="8" t="s">
        <v>976</v>
      </c>
      <c r="Z25" s="8" t="s">
        <v>926</v>
      </c>
      <c r="AA25" s="5">
        <v>59</v>
      </c>
      <c r="AB25" s="8" t="s">
        <v>967</v>
      </c>
      <c r="AC25" s="8" t="s">
        <v>930</v>
      </c>
      <c r="AD25" s="8" t="s">
        <v>1027</v>
      </c>
      <c r="AE25" s="8" t="s">
        <v>1026</v>
      </c>
      <c r="AF25" s="8" t="s">
        <v>1027</v>
      </c>
      <c r="AG25" s="8" t="s">
        <v>1026</v>
      </c>
      <c r="AH25" s="8" t="s">
        <v>1026</v>
      </c>
      <c r="AI25" s="8" t="s">
        <v>1025</v>
      </c>
    </row>
    <row r="26" spans="1:35" ht="14.4" x14ac:dyDescent="0.25">
      <c r="A26" s="25">
        <f>G25+H25*0.5+I25*0.5</f>
        <v>161</v>
      </c>
      <c r="B26" s="26">
        <v>85</v>
      </c>
      <c r="C26" s="26"/>
      <c r="D26" s="25" t="s">
        <v>1048</v>
      </c>
      <c r="E26" s="25"/>
      <c r="F26" s="25"/>
      <c r="L26" s="25">
        <f>G25+H25*0.5+I25*0.5</f>
        <v>161</v>
      </c>
      <c r="M26" s="26"/>
      <c r="S26" s="27" t="s">
        <v>1060</v>
      </c>
      <c r="X26" s="8" t="s">
        <v>118</v>
      </c>
      <c r="Y26" s="8" t="s">
        <v>955</v>
      </c>
      <c r="Z26" s="8" t="s">
        <v>968</v>
      </c>
      <c r="AA26" s="5">
        <v>82</v>
      </c>
      <c r="AB26" s="8" t="s">
        <v>969</v>
      </c>
      <c r="AC26" s="8" t="s">
        <v>925</v>
      </c>
      <c r="AD26" s="8" t="s">
        <v>1026</v>
      </c>
      <c r="AE26" s="8" t="s">
        <v>1027</v>
      </c>
      <c r="AF26" s="8" t="s">
        <v>1027</v>
      </c>
      <c r="AG26" s="8" t="s">
        <v>1027</v>
      </c>
      <c r="AH26" s="8" t="s">
        <v>1027</v>
      </c>
      <c r="AI26" s="8" t="s">
        <v>1026</v>
      </c>
    </row>
    <row r="27" spans="1:35" ht="14.4" x14ac:dyDescent="0.25">
      <c r="A27" s="26"/>
      <c r="B27" s="26" t="s">
        <v>1049</v>
      </c>
      <c r="C27" s="26" t="s">
        <v>1059</v>
      </c>
      <c r="D27" s="25"/>
      <c r="E27" s="25"/>
      <c r="F27" t="s">
        <v>1062</v>
      </c>
      <c r="J27" s="26"/>
      <c r="K27" s="26" t="s">
        <v>1058</v>
      </c>
      <c r="L27" s="26" t="s">
        <v>1059</v>
      </c>
      <c r="M27" s="25"/>
      <c r="N27" s="25"/>
      <c r="O27" t="s">
        <v>1062</v>
      </c>
      <c r="Q27" s="26" t="s">
        <v>1059</v>
      </c>
      <c r="R27">
        <v>300</v>
      </c>
      <c r="U27" t="s">
        <v>1062</v>
      </c>
      <c r="X27" s="8" t="s">
        <v>119</v>
      </c>
      <c r="Y27" s="8" t="s">
        <v>968</v>
      </c>
      <c r="Z27" s="8" t="s">
        <v>970</v>
      </c>
      <c r="AA27" s="5">
        <v>67</v>
      </c>
      <c r="AB27" s="8" t="s">
        <v>971</v>
      </c>
      <c r="AC27" s="8" t="s">
        <v>940</v>
      </c>
      <c r="AD27" s="8" t="s">
        <v>1026</v>
      </c>
      <c r="AE27" s="8" t="s">
        <v>1026</v>
      </c>
      <c r="AF27" s="8" t="s">
        <v>1026</v>
      </c>
      <c r="AG27" s="8" t="s">
        <v>1026</v>
      </c>
      <c r="AH27" s="8" t="s">
        <v>1026</v>
      </c>
      <c r="AI27" s="8" t="s">
        <v>1026</v>
      </c>
    </row>
    <row r="28" spans="1:35" ht="14.4" x14ac:dyDescent="0.25">
      <c r="A28" s="26">
        <v>0.5</v>
      </c>
      <c r="B28" s="26">
        <v>100</v>
      </c>
      <c r="C28" s="26">
        <v>1</v>
      </c>
      <c r="D28" s="26">
        <f>INT((B28 )^ ($A$28/C28) * 60)</f>
        <v>600</v>
      </c>
      <c r="E28" s="25">
        <f>INT((($A$26*8.567-1) + 1500 ) *D28/ 1000)</f>
        <v>1726</v>
      </c>
      <c r="F28" s="25">
        <v>1726</v>
      </c>
      <c r="J28" s="26">
        <v>0.5</v>
      </c>
      <c r="K28" s="26">
        <v>100</v>
      </c>
      <c r="L28" s="26">
        <v>1</v>
      </c>
      <c r="M28" s="26">
        <f>INT((K28 )^ ($A$28/L28) * 80)</f>
        <v>800</v>
      </c>
      <c r="N28" s="25">
        <f>INT((($L$26*15) + 1500 ) *M28/ 1000)</f>
        <v>3132</v>
      </c>
      <c r="O28" s="25">
        <v>1957</v>
      </c>
      <c r="Q28" s="26">
        <v>1</v>
      </c>
      <c r="S28">
        <f>INT(($R$27^(0.5 / Q28)) )</f>
        <v>17</v>
      </c>
      <c r="T28">
        <v>17</v>
      </c>
      <c r="U28">
        <f>T28 -3</f>
        <v>14</v>
      </c>
      <c r="X28" s="8" t="s">
        <v>120</v>
      </c>
      <c r="Y28" s="8" t="s">
        <v>936</v>
      </c>
      <c r="Z28" s="8" t="s">
        <v>938</v>
      </c>
      <c r="AA28" s="5">
        <v>76</v>
      </c>
      <c r="AB28" s="8" t="s">
        <v>972</v>
      </c>
      <c r="AC28" s="8" t="s">
        <v>972</v>
      </c>
      <c r="AD28" s="8" t="s">
        <v>1028</v>
      </c>
      <c r="AE28" s="8" t="s">
        <v>1027</v>
      </c>
      <c r="AF28" s="8" t="s">
        <v>1027</v>
      </c>
      <c r="AG28" s="8" t="s">
        <v>1025</v>
      </c>
      <c r="AH28" s="8" t="s">
        <v>1028</v>
      </c>
      <c r="AI28" s="8" t="s">
        <v>1026</v>
      </c>
    </row>
    <row r="29" spans="1:35" ht="14.4" x14ac:dyDescent="0.25">
      <c r="A29" s="26"/>
      <c r="B29" s="26">
        <v>100</v>
      </c>
      <c r="C29" s="26">
        <v>2</v>
      </c>
      <c r="D29" s="26">
        <f t="shared" ref="D29:D47" si="0">INT((B29 )^ ($A$28/C29) * 60)</f>
        <v>189</v>
      </c>
      <c r="E29" s="25">
        <f t="shared" ref="E29:E47" si="1">INT((($A$26*8.567-1) + 1500 ) *D29/ 1000)</f>
        <v>543</v>
      </c>
      <c r="F29" s="25">
        <f>E28+E29</f>
        <v>2269</v>
      </c>
      <c r="J29" s="26"/>
      <c r="K29" s="26">
        <v>100</v>
      </c>
      <c r="L29" s="26">
        <v>2</v>
      </c>
      <c r="M29" s="26">
        <f t="shared" ref="M29:M47" si="2">INT((K29 )^ ($A$28/L29) * 50)</f>
        <v>158</v>
      </c>
      <c r="N29" s="25">
        <f t="shared" ref="N29:N47" si="3">INT((($L$26*15) + 1500 ) *M29/ 1000)</f>
        <v>618</v>
      </c>
      <c r="O29" s="25">
        <f>N28+N29</f>
        <v>3750</v>
      </c>
      <c r="Q29" s="26">
        <v>2</v>
      </c>
      <c r="S29">
        <f t="shared" ref="S29:S47" si="4">INT(($R$27^(0.5 / Q29)) )</f>
        <v>4</v>
      </c>
      <c r="T29">
        <f>S28+S29</f>
        <v>21</v>
      </c>
      <c r="U29">
        <f t="shared" ref="U29:U47" si="5">T29 -3</f>
        <v>18</v>
      </c>
      <c r="X29" s="8" t="s">
        <v>121</v>
      </c>
      <c r="Y29" s="8" t="s">
        <v>956</v>
      </c>
      <c r="Z29" s="8" t="s">
        <v>942</v>
      </c>
      <c r="AA29" s="5">
        <v>61</v>
      </c>
      <c r="AB29" s="8" t="s">
        <v>926</v>
      </c>
      <c r="AC29" s="8" t="s">
        <v>969</v>
      </c>
      <c r="AD29" s="8" t="s">
        <v>1027</v>
      </c>
      <c r="AE29" s="8" t="s">
        <v>1026</v>
      </c>
      <c r="AF29" s="8" t="s">
        <v>1026</v>
      </c>
      <c r="AG29" s="8" t="s">
        <v>1025</v>
      </c>
      <c r="AH29" s="8" t="s">
        <v>1025</v>
      </c>
      <c r="AI29" s="8" t="s">
        <v>1026</v>
      </c>
    </row>
    <row r="30" spans="1:35" ht="14.4" x14ac:dyDescent="0.25">
      <c r="A30" s="26"/>
      <c r="B30" s="26">
        <v>100</v>
      </c>
      <c r="C30" s="26">
        <v>3</v>
      </c>
      <c r="D30" s="26">
        <f t="shared" si="0"/>
        <v>129</v>
      </c>
      <c r="E30" s="25">
        <f t="shared" si="1"/>
        <v>371</v>
      </c>
      <c r="F30" s="25">
        <f>F29+E30</f>
        <v>2640</v>
      </c>
      <c r="J30" s="26"/>
      <c r="K30" s="26">
        <v>100</v>
      </c>
      <c r="L30" s="26">
        <v>3</v>
      </c>
      <c r="M30" s="26">
        <f t="shared" si="2"/>
        <v>107</v>
      </c>
      <c r="N30" s="25">
        <f t="shared" si="3"/>
        <v>418</v>
      </c>
      <c r="O30" s="25">
        <f>O29+N30</f>
        <v>4168</v>
      </c>
      <c r="Q30" s="26">
        <v>3</v>
      </c>
      <c r="S30">
        <f t="shared" si="4"/>
        <v>2</v>
      </c>
      <c r="T30">
        <f>T29+S30</f>
        <v>23</v>
      </c>
      <c r="U30">
        <f t="shared" si="5"/>
        <v>20</v>
      </c>
      <c r="X30" s="8" t="s">
        <v>122</v>
      </c>
      <c r="Y30" s="8" t="s">
        <v>953</v>
      </c>
      <c r="Z30" s="8" t="s">
        <v>973</v>
      </c>
      <c r="AA30" s="5">
        <v>61</v>
      </c>
      <c r="AB30" s="8" t="s">
        <v>926</v>
      </c>
      <c r="AC30" s="8" t="s">
        <v>971</v>
      </c>
      <c r="AD30" s="8" t="s">
        <v>1026</v>
      </c>
      <c r="AE30" s="8" t="s">
        <v>1027</v>
      </c>
      <c r="AF30" s="8" t="s">
        <v>1027</v>
      </c>
      <c r="AG30" s="8" t="s">
        <v>1027</v>
      </c>
      <c r="AH30" s="8" t="s">
        <v>1026</v>
      </c>
      <c r="AI30" s="8" t="s">
        <v>1026</v>
      </c>
    </row>
    <row r="31" spans="1:35" ht="14.4" x14ac:dyDescent="0.25">
      <c r="A31" s="26"/>
      <c r="B31" s="26"/>
      <c r="C31" s="26"/>
      <c r="D31" s="26"/>
      <c r="E31" s="25"/>
      <c r="F31" s="25"/>
      <c r="J31" s="26"/>
      <c r="K31" s="26"/>
      <c r="L31" s="26"/>
      <c r="M31" s="26"/>
      <c r="N31" s="25"/>
      <c r="O31" s="25"/>
      <c r="Q31" s="26"/>
      <c r="X31" s="8" t="s">
        <v>123</v>
      </c>
      <c r="Y31" s="8" t="s">
        <v>922</v>
      </c>
      <c r="Z31" s="8" t="s">
        <v>970</v>
      </c>
      <c r="AA31" s="5">
        <v>35</v>
      </c>
      <c r="AB31" s="8" t="s">
        <v>930</v>
      </c>
      <c r="AC31" s="8" t="s">
        <v>974</v>
      </c>
      <c r="AD31" s="8" t="s">
        <v>1026</v>
      </c>
      <c r="AE31" s="8" t="s">
        <v>1026</v>
      </c>
      <c r="AF31" s="8" t="s">
        <v>1026</v>
      </c>
      <c r="AG31" s="8" t="s">
        <v>1026</v>
      </c>
      <c r="AH31" s="8" t="s">
        <v>1026</v>
      </c>
      <c r="AI31" s="8" t="s">
        <v>1026</v>
      </c>
    </row>
    <row r="32" spans="1:35" ht="14.4" x14ac:dyDescent="0.25">
      <c r="A32" s="26"/>
      <c r="B32" s="26"/>
      <c r="C32" s="26"/>
      <c r="D32" s="26"/>
      <c r="E32" s="25"/>
      <c r="F32" s="25"/>
      <c r="J32" s="26"/>
      <c r="K32" s="26"/>
      <c r="L32" s="26"/>
      <c r="M32" s="26"/>
      <c r="N32" s="25"/>
      <c r="O32" s="25"/>
      <c r="Q32" s="26"/>
      <c r="X32" s="8" t="s">
        <v>124</v>
      </c>
      <c r="Y32" s="8" t="s">
        <v>942</v>
      </c>
      <c r="Z32" s="8" t="s">
        <v>975</v>
      </c>
      <c r="AA32" s="5">
        <v>66</v>
      </c>
      <c r="AB32" s="8" t="s">
        <v>972</v>
      </c>
      <c r="AC32" s="8" t="s">
        <v>940</v>
      </c>
      <c r="AD32" s="8" t="s">
        <v>1026</v>
      </c>
      <c r="AE32" s="8" t="s">
        <v>1027</v>
      </c>
      <c r="AF32" s="8" t="s">
        <v>1027</v>
      </c>
      <c r="AG32" s="8" t="s">
        <v>1027</v>
      </c>
      <c r="AH32" s="8" t="s">
        <v>1026</v>
      </c>
      <c r="AI32" s="8" t="s">
        <v>1026</v>
      </c>
    </row>
    <row r="33" spans="1:35" ht="14.4" x14ac:dyDescent="0.25">
      <c r="A33" s="26"/>
      <c r="B33" s="26"/>
      <c r="C33" s="26"/>
      <c r="D33" s="26"/>
      <c r="E33" s="25"/>
      <c r="F33" s="25"/>
      <c r="J33" s="26"/>
      <c r="K33" s="26"/>
      <c r="L33" s="26"/>
      <c r="M33" s="26"/>
      <c r="N33" s="25"/>
      <c r="O33" s="25"/>
      <c r="Q33" s="26"/>
      <c r="X33" s="8" t="s">
        <v>125</v>
      </c>
      <c r="Y33" s="8" t="s">
        <v>940</v>
      </c>
      <c r="Z33" s="8" t="s">
        <v>976</v>
      </c>
      <c r="AA33" s="5">
        <v>61</v>
      </c>
      <c r="AB33" s="8" t="s">
        <v>937</v>
      </c>
      <c r="AC33" s="8" t="s">
        <v>953</v>
      </c>
      <c r="AD33" s="8" t="s">
        <v>1026</v>
      </c>
      <c r="AE33" s="8" t="s">
        <v>1025</v>
      </c>
      <c r="AF33" s="8" t="s">
        <v>1027</v>
      </c>
      <c r="AG33" s="8" t="s">
        <v>1026</v>
      </c>
      <c r="AH33" s="8" t="s">
        <v>1027</v>
      </c>
      <c r="AI33" s="8" t="s">
        <v>1026</v>
      </c>
    </row>
    <row r="34" spans="1:35" ht="14.4" x14ac:dyDescent="0.25">
      <c r="A34" s="26"/>
      <c r="B34" s="26"/>
      <c r="C34" s="26"/>
      <c r="D34" s="26"/>
      <c r="E34" s="25"/>
      <c r="F34" s="25"/>
      <c r="J34" s="26"/>
      <c r="K34" s="26"/>
      <c r="L34" s="26"/>
      <c r="M34" s="26"/>
      <c r="N34" s="25"/>
      <c r="O34" s="25"/>
      <c r="Q34" s="26"/>
      <c r="X34" s="8" t="s">
        <v>126</v>
      </c>
      <c r="Y34" s="8" t="s">
        <v>940</v>
      </c>
      <c r="Z34" s="8" t="s">
        <v>940</v>
      </c>
      <c r="AA34" s="5">
        <v>72</v>
      </c>
      <c r="AB34" s="8" t="s">
        <v>921</v>
      </c>
      <c r="AC34" s="8" t="s">
        <v>956</v>
      </c>
      <c r="AD34" s="8" t="s">
        <v>1025</v>
      </c>
      <c r="AE34" s="8" t="s">
        <v>1027</v>
      </c>
      <c r="AF34" s="8" t="s">
        <v>1025</v>
      </c>
      <c r="AG34" s="8" t="s">
        <v>1027</v>
      </c>
      <c r="AH34" s="8" t="s">
        <v>1025</v>
      </c>
      <c r="AI34" s="8" t="s">
        <v>1028</v>
      </c>
    </row>
    <row r="35" spans="1:35" ht="14.4" x14ac:dyDescent="0.25">
      <c r="B35" s="26"/>
      <c r="C35" s="26"/>
      <c r="D35" s="26"/>
      <c r="E35" s="25"/>
      <c r="F35" s="25"/>
      <c r="K35" s="26"/>
      <c r="L35" s="26"/>
      <c r="M35" s="26"/>
      <c r="N35" s="25"/>
      <c r="O35" s="25"/>
      <c r="Q35" s="26"/>
      <c r="X35" s="8" t="s">
        <v>127</v>
      </c>
      <c r="Y35" s="8" t="s">
        <v>970</v>
      </c>
      <c r="Z35" s="8" t="s">
        <v>977</v>
      </c>
      <c r="AA35" s="5">
        <v>79</v>
      </c>
      <c r="AB35" s="8" t="s">
        <v>971</v>
      </c>
      <c r="AC35" s="8" t="s">
        <v>978</v>
      </c>
      <c r="AD35" s="8" t="s">
        <v>1026</v>
      </c>
      <c r="AE35" s="8" t="s">
        <v>1026</v>
      </c>
      <c r="AF35" s="8" t="s">
        <v>1026</v>
      </c>
      <c r="AG35" s="8" t="s">
        <v>1026</v>
      </c>
      <c r="AH35" s="8" t="s">
        <v>1026</v>
      </c>
      <c r="AI35" s="8" t="s">
        <v>1026</v>
      </c>
    </row>
    <row r="36" spans="1:35" ht="14.4" x14ac:dyDescent="0.25">
      <c r="B36" s="26"/>
      <c r="C36" s="26"/>
      <c r="D36" s="26"/>
      <c r="E36" s="25"/>
      <c r="F36" s="25"/>
      <c r="K36" s="26"/>
      <c r="L36" s="26"/>
      <c r="M36" s="26"/>
      <c r="N36" s="25"/>
      <c r="O36" s="25"/>
      <c r="Q36" s="26"/>
      <c r="X36" s="8" t="s">
        <v>128</v>
      </c>
      <c r="Y36" s="8" t="s">
        <v>994</v>
      </c>
      <c r="Z36" s="8" t="s">
        <v>962</v>
      </c>
      <c r="AA36" s="5">
        <v>76</v>
      </c>
      <c r="AB36" s="8" t="s">
        <v>938</v>
      </c>
      <c r="AC36" s="8" t="s">
        <v>975</v>
      </c>
      <c r="AD36" s="8" t="s">
        <v>1026</v>
      </c>
      <c r="AE36" s="8" t="s">
        <v>1026</v>
      </c>
      <c r="AF36" s="8" t="s">
        <v>1027</v>
      </c>
      <c r="AG36" s="8" t="s">
        <v>1026</v>
      </c>
      <c r="AH36" s="8" t="s">
        <v>1026</v>
      </c>
      <c r="AI36" s="8" t="s">
        <v>1026</v>
      </c>
    </row>
    <row r="37" spans="1:35" ht="14.4" x14ac:dyDescent="0.25">
      <c r="B37" s="26"/>
      <c r="C37" s="26"/>
      <c r="D37" s="26"/>
      <c r="E37" s="25"/>
      <c r="F37" s="25"/>
      <c r="K37" s="26"/>
      <c r="L37" s="26"/>
      <c r="M37" s="26"/>
      <c r="N37" s="25"/>
      <c r="O37" s="25"/>
      <c r="Q37" s="26"/>
      <c r="X37" s="8" t="s">
        <v>129</v>
      </c>
      <c r="Y37" s="8" t="s">
        <v>939</v>
      </c>
      <c r="Z37" s="8" t="s">
        <v>979</v>
      </c>
      <c r="AA37" s="5">
        <v>72</v>
      </c>
      <c r="AB37" s="8" t="s">
        <v>973</v>
      </c>
      <c r="AC37" s="8" t="s">
        <v>974</v>
      </c>
      <c r="AD37" s="8" t="s">
        <v>1026</v>
      </c>
      <c r="AE37" s="8" t="s">
        <v>1026</v>
      </c>
      <c r="AF37" s="8" t="s">
        <v>1026</v>
      </c>
      <c r="AG37" s="8" t="s">
        <v>1026</v>
      </c>
      <c r="AH37" s="8" t="s">
        <v>1027</v>
      </c>
      <c r="AI37" s="8" t="s">
        <v>1025</v>
      </c>
    </row>
    <row r="38" spans="1:35" ht="14.4" x14ac:dyDescent="0.25">
      <c r="B38" s="26"/>
      <c r="C38" s="26"/>
      <c r="D38" s="26"/>
      <c r="E38" s="25"/>
      <c r="F38" s="25"/>
      <c r="K38" s="26"/>
      <c r="L38" s="26"/>
      <c r="M38" s="26"/>
      <c r="N38" s="25"/>
      <c r="O38" s="25"/>
      <c r="Q38" s="26"/>
      <c r="X38" s="8" t="s">
        <v>130</v>
      </c>
      <c r="Y38" s="8" t="s">
        <v>979</v>
      </c>
      <c r="Z38" s="8" t="s">
        <v>980</v>
      </c>
      <c r="AA38" s="5">
        <v>75</v>
      </c>
      <c r="AB38" s="8" t="s">
        <v>938</v>
      </c>
      <c r="AC38" s="8" t="s">
        <v>958</v>
      </c>
      <c r="AD38" s="8" t="s">
        <v>1026</v>
      </c>
      <c r="AE38" s="8" t="s">
        <v>1026</v>
      </c>
      <c r="AF38" s="8" t="s">
        <v>1026</v>
      </c>
      <c r="AG38" s="8" t="s">
        <v>1026</v>
      </c>
      <c r="AH38" s="8" t="s">
        <v>1026</v>
      </c>
      <c r="AI38" s="8" t="s">
        <v>1026</v>
      </c>
    </row>
    <row r="39" spans="1:35" ht="14.4" x14ac:dyDescent="0.25">
      <c r="B39" s="26"/>
      <c r="C39" s="26"/>
      <c r="D39" s="26"/>
      <c r="E39" s="25"/>
      <c r="F39" s="25"/>
      <c r="K39" s="26"/>
      <c r="L39" s="26"/>
      <c r="M39" s="26"/>
      <c r="N39" s="25"/>
      <c r="O39" s="25"/>
      <c r="Q39" s="26"/>
      <c r="X39" s="8" t="s">
        <v>131</v>
      </c>
      <c r="Y39" s="8" t="s">
        <v>985</v>
      </c>
      <c r="Z39" s="8" t="s">
        <v>925</v>
      </c>
      <c r="AA39" s="5">
        <v>77</v>
      </c>
      <c r="AB39" s="8" t="s">
        <v>958</v>
      </c>
      <c r="AC39" s="8" t="s">
        <v>972</v>
      </c>
      <c r="AD39" s="8" t="s">
        <v>1025</v>
      </c>
      <c r="AE39" s="8" t="s">
        <v>1027</v>
      </c>
      <c r="AF39" s="8" t="s">
        <v>1025</v>
      </c>
      <c r="AG39" s="8" t="s">
        <v>1026</v>
      </c>
      <c r="AH39" s="8" t="s">
        <v>1028</v>
      </c>
      <c r="AI39" s="8" t="s">
        <v>1028</v>
      </c>
    </row>
    <row r="40" spans="1:35" ht="14.4" x14ac:dyDescent="0.25">
      <c r="B40" s="26"/>
      <c r="C40" s="26"/>
      <c r="D40" s="26"/>
      <c r="E40" s="25"/>
      <c r="F40" s="25"/>
      <c r="K40" s="26"/>
      <c r="L40" s="26"/>
      <c r="M40" s="26"/>
      <c r="N40" s="25"/>
      <c r="O40" s="25"/>
      <c r="Q40" s="26"/>
      <c r="X40" s="8" t="s">
        <v>132</v>
      </c>
      <c r="Y40" s="8" t="s">
        <v>1010</v>
      </c>
      <c r="Z40" s="8" t="s">
        <v>924</v>
      </c>
      <c r="AA40" s="5">
        <v>68</v>
      </c>
      <c r="AB40" s="8" t="s">
        <v>938</v>
      </c>
      <c r="AC40" s="8" t="s">
        <v>929</v>
      </c>
      <c r="AD40" s="8" t="s">
        <v>1026</v>
      </c>
      <c r="AE40" s="8" t="s">
        <v>1026</v>
      </c>
      <c r="AF40" s="8" t="s">
        <v>1026</v>
      </c>
      <c r="AG40" s="8" t="s">
        <v>1026</v>
      </c>
      <c r="AH40" s="8" t="s">
        <v>1026</v>
      </c>
      <c r="AI40" s="8" t="s">
        <v>1026</v>
      </c>
    </row>
    <row r="41" spans="1:35" ht="14.4" x14ac:dyDescent="0.25">
      <c r="B41" s="26"/>
      <c r="C41" s="26"/>
      <c r="D41" s="26"/>
      <c r="E41" s="25"/>
      <c r="F41" s="25"/>
      <c r="K41" s="26"/>
      <c r="L41" s="26"/>
      <c r="M41" s="26"/>
      <c r="N41" s="25"/>
      <c r="O41" s="25"/>
      <c r="Q41" s="26"/>
      <c r="X41" s="8" t="s">
        <v>133</v>
      </c>
      <c r="Y41" s="8" t="s">
        <v>973</v>
      </c>
      <c r="Z41" s="8" t="s">
        <v>926</v>
      </c>
      <c r="AA41" s="5">
        <v>38</v>
      </c>
      <c r="AB41" s="8" t="s">
        <v>981</v>
      </c>
      <c r="AC41" s="8" t="s">
        <v>931</v>
      </c>
      <c r="AD41" s="8" t="s">
        <v>1026</v>
      </c>
      <c r="AE41" s="8" t="s">
        <v>1025</v>
      </c>
      <c r="AF41" s="8" t="s">
        <v>1026</v>
      </c>
      <c r="AG41" s="8" t="s">
        <v>1026</v>
      </c>
      <c r="AH41" s="8" t="s">
        <v>1025</v>
      </c>
      <c r="AI41" s="8" t="s">
        <v>1026</v>
      </c>
    </row>
    <row r="42" spans="1:35" ht="14.4" x14ac:dyDescent="0.25">
      <c r="B42" s="26"/>
      <c r="C42" s="26"/>
      <c r="D42" s="26"/>
      <c r="E42" s="25"/>
      <c r="F42" s="25"/>
      <c r="K42" s="26"/>
      <c r="L42" s="26"/>
      <c r="M42" s="26"/>
      <c r="N42" s="25"/>
      <c r="O42" s="25"/>
      <c r="Q42" s="26"/>
      <c r="X42" s="8" t="s">
        <v>134</v>
      </c>
      <c r="Y42" s="8" t="s">
        <v>954</v>
      </c>
      <c r="Z42" s="8" t="s">
        <v>982</v>
      </c>
      <c r="AA42" s="5">
        <v>19</v>
      </c>
      <c r="AB42" s="8" t="s">
        <v>980</v>
      </c>
      <c r="AC42" s="8" t="s">
        <v>962</v>
      </c>
      <c r="AD42" s="8" t="s">
        <v>1027</v>
      </c>
      <c r="AE42" s="8" t="s">
        <v>1025</v>
      </c>
      <c r="AF42" s="8" t="s">
        <v>1026</v>
      </c>
      <c r="AG42" s="8" t="s">
        <v>1025</v>
      </c>
      <c r="AH42" s="8" t="s">
        <v>1026</v>
      </c>
      <c r="AI42" s="8" t="s">
        <v>1026</v>
      </c>
    </row>
    <row r="43" spans="1:35" ht="14.4" x14ac:dyDescent="0.25">
      <c r="B43" s="26"/>
      <c r="C43" s="26"/>
      <c r="D43" s="26"/>
      <c r="E43" s="25"/>
      <c r="F43" s="25"/>
      <c r="K43" s="26"/>
      <c r="L43" s="26"/>
      <c r="M43" s="26"/>
      <c r="N43" s="25"/>
      <c r="O43" s="25"/>
      <c r="Q43" s="26"/>
      <c r="X43" s="8" t="s">
        <v>135</v>
      </c>
      <c r="Y43" s="8" t="s">
        <v>941</v>
      </c>
      <c r="Z43" s="8" t="s">
        <v>939</v>
      </c>
      <c r="AA43" s="5">
        <v>21</v>
      </c>
      <c r="AB43" s="8" t="s">
        <v>962</v>
      </c>
      <c r="AC43" s="8" t="s">
        <v>974</v>
      </c>
      <c r="AD43" s="8" t="s">
        <v>1026</v>
      </c>
      <c r="AE43" s="8" t="s">
        <v>1027</v>
      </c>
      <c r="AF43" s="8" t="s">
        <v>1027</v>
      </c>
      <c r="AG43" s="8" t="s">
        <v>1026</v>
      </c>
      <c r="AH43" s="8" t="s">
        <v>1026</v>
      </c>
      <c r="AI43" s="8" t="s">
        <v>1026</v>
      </c>
    </row>
    <row r="44" spans="1:35" ht="14.4" x14ac:dyDescent="0.25">
      <c r="B44" s="26"/>
      <c r="C44" s="26"/>
      <c r="D44" s="26"/>
      <c r="E44" s="25"/>
      <c r="F44" s="25"/>
      <c r="K44" s="26"/>
      <c r="L44" s="26"/>
      <c r="M44" s="26"/>
      <c r="N44" s="25"/>
      <c r="O44" s="25"/>
      <c r="Q44" s="26"/>
      <c r="X44" s="8" t="s">
        <v>136</v>
      </c>
      <c r="Y44" s="8" t="s">
        <v>921</v>
      </c>
      <c r="Z44" s="8" t="s">
        <v>954</v>
      </c>
      <c r="AA44" s="5">
        <v>79</v>
      </c>
      <c r="AB44" s="8" t="s">
        <v>965</v>
      </c>
      <c r="AC44" s="8" t="s">
        <v>972</v>
      </c>
      <c r="AD44" s="8" t="s">
        <v>1025</v>
      </c>
      <c r="AE44" s="8" t="s">
        <v>1027</v>
      </c>
      <c r="AF44" s="8" t="s">
        <v>1025</v>
      </c>
      <c r="AG44" s="8" t="s">
        <v>1027</v>
      </c>
      <c r="AH44" s="8" t="s">
        <v>1027</v>
      </c>
      <c r="AI44" s="8" t="s">
        <v>1026</v>
      </c>
    </row>
    <row r="45" spans="1:35" ht="14.4" x14ac:dyDescent="0.25">
      <c r="B45" s="26"/>
      <c r="C45" s="26"/>
      <c r="D45" s="26"/>
      <c r="E45" s="25"/>
      <c r="F45" s="25"/>
      <c r="K45" s="26"/>
      <c r="L45" s="26"/>
      <c r="M45" s="26"/>
      <c r="N45" s="25"/>
      <c r="O45" s="25"/>
      <c r="Q45" s="26"/>
      <c r="X45" s="8" t="s">
        <v>137</v>
      </c>
      <c r="Y45" s="8" t="s">
        <v>943</v>
      </c>
      <c r="Z45" s="8" t="s">
        <v>949</v>
      </c>
      <c r="AA45" s="5">
        <v>72</v>
      </c>
      <c r="AB45" s="8" t="s">
        <v>933</v>
      </c>
      <c r="AC45" s="8" t="s">
        <v>974</v>
      </c>
      <c r="AD45" s="8" t="s">
        <v>1026</v>
      </c>
      <c r="AE45" s="8" t="s">
        <v>1027</v>
      </c>
      <c r="AF45" s="8" t="s">
        <v>1026</v>
      </c>
      <c r="AG45" s="8" t="s">
        <v>1027</v>
      </c>
      <c r="AH45" s="8" t="s">
        <v>1027</v>
      </c>
      <c r="AI45" s="8" t="s">
        <v>1026</v>
      </c>
    </row>
    <row r="46" spans="1:35" ht="14.4" x14ac:dyDescent="0.25">
      <c r="B46" s="26"/>
      <c r="C46" s="26"/>
      <c r="D46" s="26"/>
      <c r="E46" s="25"/>
      <c r="F46" s="25"/>
      <c r="K46" s="26"/>
      <c r="L46" s="26"/>
      <c r="M46" s="26"/>
      <c r="N46" s="25"/>
      <c r="O46" s="25"/>
      <c r="Q46" s="26"/>
      <c r="X46" s="8" t="s">
        <v>138</v>
      </c>
      <c r="Y46" s="8" t="s">
        <v>976</v>
      </c>
      <c r="Z46" s="8" t="s">
        <v>930</v>
      </c>
      <c r="AA46" s="5">
        <v>46</v>
      </c>
      <c r="AB46" s="8" t="s">
        <v>948</v>
      </c>
      <c r="AC46" s="8" t="s">
        <v>978</v>
      </c>
      <c r="AD46" s="8" t="s">
        <v>1026</v>
      </c>
      <c r="AE46" s="8" t="s">
        <v>1026</v>
      </c>
      <c r="AF46" s="8" t="s">
        <v>1026</v>
      </c>
      <c r="AG46" s="8" t="s">
        <v>1026</v>
      </c>
      <c r="AH46" s="8" t="s">
        <v>1026</v>
      </c>
      <c r="AI46" s="8" t="s">
        <v>1026</v>
      </c>
    </row>
    <row r="47" spans="1:35" ht="14.4" x14ac:dyDescent="0.25">
      <c r="B47" s="26"/>
      <c r="C47" s="26"/>
      <c r="D47" s="26"/>
      <c r="E47" s="25"/>
      <c r="F47" s="25"/>
      <c r="K47" s="26"/>
      <c r="L47" s="26"/>
      <c r="M47" s="26"/>
      <c r="N47" s="25"/>
      <c r="O47" s="25"/>
      <c r="Q47" s="26"/>
      <c r="X47" s="8" t="s">
        <v>139</v>
      </c>
      <c r="Y47" s="8" t="s">
        <v>952</v>
      </c>
      <c r="Z47" s="8" t="s">
        <v>965</v>
      </c>
      <c r="AA47" s="5">
        <v>76</v>
      </c>
      <c r="AB47" s="8" t="s">
        <v>955</v>
      </c>
      <c r="AC47" s="8" t="s">
        <v>933</v>
      </c>
      <c r="AD47" s="8" t="s">
        <v>1025</v>
      </c>
      <c r="AE47" s="8" t="s">
        <v>1025</v>
      </c>
      <c r="AF47" s="8" t="s">
        <v>1028</v>
      </c>
      <c r="AG47" s="8" t="s">
        <v>1027</v>
      </c>
      <c r="AH47" s="8" t="s">
        <v>1026</v>
      </c>
      <c r="AI47" s="8" t="s">
        <v>1026</v>
      </c>
    </row>
    <row r="48" spans="1:35" ht="14.4" x14ac:dyDescent="0.25">
      <c r="B48" s="26"/>
      <c r="N48" s="25"/>
      <c r="X48" s="8" t="s">
        <v>140</v>
      </c>
      <c r="Y48" s="8" t="s">
        <v>937</v>
      </c>
      <c r="Z48" s="8" t="s">
        <v>947</v>
      </c>
      <c r="AA48" s="5">
        <v>79</v>
      </c>
      <c r="AB48" s="8" t="s">
        <v>938</v>
      </c>
      <c r="AC48" s="8" t="s">
        <v>925</v>
      </c>
      <c r="AD48" s="8" t="s">
        <v>1026</v>
      </c>
      <c r="AE48" s="8" t="s">
        <v>1026</v>
      </c>
      <c r="AF48" s="8" t="s">
        <v>1027</v>
      </c>
      <c r="AG48" s="8" t="s">
        <v>1026</v>
      </c>
      <c r="AH48" s="8" t="s">
        <v>1025</v>
      </c>
      <c r="AI48" s="8" t="s">
        <v>1027</v>
      </c>
    </row>
    <row r="49" spans="2:35" x14ac:dyDescent="0.25">
      <c r="X49" s="8" t="s">
        <v>141</v>
      </c>
      <c r="Y49" s="8" t="s">
        <v>953</v>
      </c>
      <c r="Z49" s="8" t="s">
        <v>954</v>
      </c>
      <c r="AA49" s="5">
        <v>31</v>
      </c>
      <c r="AB49" s="8" t="s">
        <v>947</v>
      </c>
      <c r="AC49" s="8" t="s">
        <v>974</v>
      </c>
      <c r="AD49" s="8" t="s">
        <v>1026</v>
      </c>
      <c r="AE49" s="8" t="s">
        <v>1026</v>
      </c>
      <c r="AF49" s="8" t="s">
        <v>1026</v>
      </c>
      <c r="AG49" s="8" t="s">
        <v>1025</v>
      </c>
      <c r="AH49" s="8" t="s">
        <v>1026</v>
      </c>
      <c r="AI49" s="8" t="s">
        <v>1026</v>
      </c>
    </row>
    <row r="50" spans="2:35" x14ac:dyDescent="0.25">
      <c r="X50" s="8" t="s">
        <v>142</v>
      </c>
      <c r="Y50" s="8" t="s">
        <v>921</v>
      </c>
      <c r="Z50" s="8" t="s">
        <v>954</v>
      </c>
      <c r="AA50" s="5">
        <v>70</v>
      </c>
      <c r="AB50" s="8" t="s">
        <v>983</v>
      </c>
      <c r="AC50" s="8" t="s">
        <v>958</v>
      </c>
      <c r="AD50" s="8" t="s">
        <v>1025</v>
      </c>
      <c r="AE50" s="8" t="s">
        <v>1027</v>
      </c>
      <c r="AF50" s="8" t="s">
        <v>1025</v>
      </c>
      <c r="AG50" s="8" t="s">
        <v>1027</v>
      </c>
      <c r="AH50" s="8" t="s">
        <v>1026</v>
      </c>
      <c r="AI50" s="8" t="s">
        <v>1027</v>
      </c>
    </row>
    <row r="51" spans="2:35" x14ac:dyDescent="0.25">
      <c r="X51" s="8" t="s">
        <v>143</v>
      </c>
      <c r="Y51" s="8" t="s">
        <v>944</v>
      </c>
      <c r="Z51" s="8" t="s">
        <v>984</v>
      </c>
      <c r="AA51" s="5">
        <v>78</v>
      </c>
      <c r="AB51" s="8" t="s">
        <v>971</v>
      </c>
      <c r="AC51" s="8" t="s">
        <v>925</v>
      </c>
      <c r="AD51" s="8" t="s">
        <v>1026</v>
      </c>
      <c r="AE51" s="8" t="s">
        <v>1026</v>
      </c>
      <c r="AF51" s="8" t="s">
        <v>1026</v>
      </c>
      <c r="AG51" s="8" t="s">
        <v>1026</v>
      </c>
      <c r="AH51" s="8" t="s">
        <v>1026</v>
      </c>
      <c r="AI51" s="8" t="s">
        <v>1026</v>
      </c>
    </row>
    <row r="52" spans="2:35" x14ac:dyDescent="0.25">
      <c r="D52" s="27" t="s">
        <v>1061</v>
      </c>
      <c r="X52" s="8" t="s">
        <v>144</v>
      </c>
      <c r="Y52" s="8" t="s">
        <v>989</v>
      </c>
      <c r="Z52" s="8" t="s">
        <v>963</v>
      </c>
      <c r="AA52" s="5">
        <v>79</v>
      </c>
      <c r="AB52" s="8" t="s">
        <v>985</v>
      </c>
      <c r="AC52" s="8" t="s">
        <v>933</v>
      </c>
      <c r="AD52" s="8" t="s">
        <v>1026</v>
      </c>
      <c r="AE52" s="8" t="s">
        <v>1027</v>
      </c>
      <c r="AF52" s="8" t="s">
        <v>1026</v>
      </c>
      <c r="AG52" s="8" t="s">
        <v>1026</v>
      </c>
      <c r="AH52" s="8" t="s">
        <v>1026</v>
      </c>
      <c r="AI52" s="8" t="s">
        <v>1026</v>
      </c>
    </row>
    <row r="53" spans="2:35" x14ac:dyDescent="0.25">
      <c r="B53" s="26" t="s">
        <v>1059</v>
      </c>
      <c r="C53">
        <v>300</v>
      </c>
      <c r="F53" t="s">
        <v>1062</v>
      </c>
      <c r="X53" s="8" t="s">
        <v>145</v>
      </c>
      <c r="Y53" s="8" t="s">
        <v>937</v>
      </c>
      <c r="Z53" s="8" t="s">
        <v>979</v>
      </c>
      <c r="AA53" s="5">
        <v>73</v>
      </c>
      <c r="AB53" s="8" t="s">
        <v>928</v>
      </c>
      <c r="AC53" s="8" t="s">
        <v>940</v>
      </c>
      <c r="AD53" s="8" t="s">
        <v>1027</v>
      </c>
      <c r="AE53" s="8" t="s">
        <v>1025</v>
      </c>
      <c r="AF53" s="8" t="s">
        <v>1027</v>
      </c>
      <c r="AG53" s="8" t="s">
        <v>1027</v>
      </c>
      <c r="AH53" s="8" t="s">
        <v>1025</v>
      </c>
      <c r="AI53" s="8" t="s">
        <v>1027</v>
      </c>
    </row>
    <row r="54" spans="2:35" x14ac:dyDescent="0.25">
      <c r="B54" s="26">
        <v>1</v>
      </c>
      <c r="D54">
        <f>INT(($R$27^(0.5 / B54))  )</f>
        <v>17</v>
      </c>
      <c r="E54">
        <v>17</v>
      </c>
      <c r="F54">
        <f>E54 - 10</f>
        <v>7</v>
      </c>
      <c r="X54" s="8" t="s">
        <v>146</v>
      </c>
      <c r="Y54" s="8" t="s">
        <v>970</v>
      </c>
      <c r="Z54" s="8" t="s">
        <v>984</v>
      </c>
      <c r="AA54" s="5">
        <v>71</v>
      </c>
      <c r="AB54" s="8" t="s">
        <v>926</v>
      </c>
      <c r="AC54" s="8" t="s">
        <v>986</v>
      </c>
      <c r="AD54" s="8" t="s">
        <v>1026</v>
      </c>
      <c r="AE54" s="8" t="s">
        <v>1026</v>
      </c>
      <c r="AF54" s="8" t="s">
        <v>1026</v>
      </c>
      <c r="AG54" s="8" t="s">
        <v>1026</v>
      </c>
      <c r="AH54" s="8" t="s">
        <v>1026</v>
      </c>
      <c r="AI54" s="8" t="s">
        <v>1026</v>
      </c>
    </row>
    <row r="55" spans="2:35" x14ac:dyDescent="0.25">
      <c r="B55" s="26">
        <v>2</v>
      </c>
      <c r="D55">
        <f t="shared" ref="D55:D73" si="6">INT(($R$27^(0.5 / B55))  )</f>
        <v>4</v>
      </c>
      <c r="E55">
        <f>D54+D55</f>
        <v>21</v>
      </c>
      <c r="F55">
        <f t="shared" ref="F55:F73" si="7">E55 - 10</f>
        <v>11</v>
      </c>
      <c r="X55" s="8" t="s">
        <v>147</v>
      </c>
      <c r="Y55" s="8" t="s">
        <v>989</v>
      </c>
      <c r="Z55" s="8" t="s">
        <v>962</v>
      </c>
      <c r="AA55" s="5">
        <v>82</v>
      </c>
      <c r="AB55" s="8" t="s">
        <v>982</v>
      </c>
      <c r="AC55" s="8" t="s">
        <v>925</v>
      </c>
      <c r="AD55" s="8" t="s">
        <v>1027</v>
      </c>
      <c r="AE55" s="8" t="s">
        <v>1026</v>
      </c>
      <c r="AF55" s="8" t="s">
        <v>1027</v>
      </c>
      <c r="AG55" s="8" t="s">
        <v>1026</v>
      </c>
      <c r="AH55" s="8" t="s">
        <v>1026</v>
      </c>
      <c r="AI55" s="8" t="s">
        <v>1027</v>
      </c>
    </row>
    <row r="56" spans="2:35" x14ac:dyDescent="0.25">
      <c r="B56" s="26">
        <v>3</v>
      </c>
      <c r="D56">
        <f t="shared" si="6"/>
        <v>2</v>
      </c>
      <c r="E56">
        <f>E55+D56</f>
        <v>23</v>
      </c>
      <c r="F56">
        <f t="shared" si="7"/>
        <v>13</v>
      </c>
      <c r="X56" s="8" t="s">
        <v>148</v>
      </c>
      <c r="Y56" s="8" t="s">
        <v>969</v>
      </c>
      <c r="Z56" s="8" t="s">
        <v>922</v>
      </c>
      <c r="AA56" s="5">
        <v>88</v>
      </c>
      <c r="AB56" s="8" t="s">
        <v>983</v>
      </c>
      <c r="AC56" s="8" t="s">
        <v>958</v>
      </c>
      <c r="AD56" s="8" t="s">
        <v>1027</v>
      </c>
      <c r="AE56" s="8" t="s">
        <v>1026</v>
      </c>
      <c r="AF56" s="8" t="s">
        <v>1028</v>
      </c>
      <c r="AG56" s="8" t="s">
        <v>1026</v>
      </c>
      <c r="AH56" s="8" t="s">
        <v>1027</v>
      </c>
      <c r="AI56" s="8" t="s">
        <v>1027</v>
      </c>
    </row>
    <row r="57" spans="2:35" x14ac:dyDescent="0.25">
      <c r="B57" s="26">
        <v>4</v>
      </c>
      <c r="D57">
        <f t="shared" si="6"/>
        <v>2</v>
      </c>
      <c r="E57">
        <f t="shared" ref="E57:E73" si="8">E56+D57</f>
        <v>25</v>
      </c>
      <c r="F57">
        <f t="shared" si="7"/>
        <v>15</v>
      </c>
      <c r="X57" s="8" t="s">
        <v>149</v>
      </c>
      <c r="Y57" s="8" t="s">
        <v>974</v>
      </c>
      <c r="Z57" s="8" t="s">
        <v>953</v>
      </c>
      <c r="AA57" s="5">
        <v>41</v>
      </c>
      <c r="AB57" s="8" t="s">
        <v>981</v>
      </c>
      <c r="AC57" s="8" t="s">
        <v>967</v>
      </c>
      <c r="AD57" s="8" t="s">
        <v>1027</v>
      </c>
      <c r="AE57" s="8" t="s">
        <v>1025</v>
      </c>
      <c r="AF57" s="8" t="s">
        <v>1026</v>
      </c>
      <c r="AG57" s="8" t="s">
        <v>1026</v>
      </c>
      <c r="AH57" s="8" t="s">
        <v>1026</v>
      </c>
      <c r="AI57" s="8" t="s">
        <v>1026</v>
      </c>
    </row>
    <row r="58" spans="2:35" x14ac:dyDescent="0.25">
      <c r="B58" s="26">
        <v>5</v>
      </c>
      <c r="D58">
        <f t="shared" si="6"/>
        <v>1</v>
      </c>
      <c r="E58">
        <f t="shared" si="8"/>
        <v>26</v>
      </c>
      <c r="F58">
        <f t="shared" si="7"/>
        <v>16</v>
      </c>
      <c r="X58" s="8" t="s">
        <v>150</v>
      </c>
      <c r="Y58" s="8" t="s">
        <v>950</v>
      </c>
      <c r="Z58" s="8" t="s">
        <v>927</v>
      </c>
      <c r="AA58" s="5">
        <v>71</v>
      </c>
      <c r="AB58" s="8" t="s">
        <v>938</v>
      </c>
      <c r="AC58" s="8" t="s">
        <v>969</v>
      </c>
      <c r="AD58" s="8" t="s">
        <v>1026</v>
      </c>
      <c r="AE58" s="8" t="s">
        <v>1026</v>
      </c>
      <c r="AF58" s="8" t="s">
        <v>1026</v>
      </c>
      <c r="AG58" s="8" t="s">
        <v>1026</v>
      </c>
      <c r="AH58" s="8" t="s">
        <v>1027</v>
      </c>
      <c r="AI58" s="8" t="s">
        <v>1027</v>
      </c>
    </row>
    <row r="59" spans="2:35" x14ac:dyDescent="0.25">
      <c r="B59" s="26">
        <v>6</v>
      </c>
      <c r="D59">
        <f t="shared" si="6"/>
        <v>1</v>
      </c>
      <c r="E59">
        <f t="shared" si="8"/>
        <v>27</v>
      </c>
      <c r="F59">
        <f t="shared" si="7"/>
        <v>17</v>
      </c>
      <c r="X59" s="8" t="s">
        <v>151</v>
      </c>
      <c r="Y59" s="8" t="s">
        <v>938</v>
      </c>
      <c r="Z59" s="8" t="s">
        <v>948</v>
      </c>
      <c r="AA59" s="5">
        <v>84</v>
      </c>
      <c r="AB59" s="8" t="s">
        <v>987</v>
      </c>
      <c r="AC59" s="8" t="s">
        <v>972</v>
      </c>
      <c r="AD59" s="8" t="s">
        <v>1025</v>
      </c>
      <c r="AE59" s="8" t="s">
        <v>1027</v>
      </c>
      <c r="AF59" s="8" t="s">
        <v>1025</v>
      </c>
      <c r="AG59" s="8" t="s">
        <v>1027</v>
      </c>
      <c r="AH59" s="8" t="s">
        <v>1025</v>
      </c>
      <c r="AI59" s="8" t="s">
        <v>1027</v>
      </c>
    </row>
    <row r="60" spans="2:35" x14ac:dyDescent="0.25">
      <c r="B60" s="26">
        <v>7</v>
      </c>
      <c r="D60">
        <f t="shared" si="6"/>
        <v>1</v>
      </c>
      <c r="E60">
        <f t="shared" si="8"/>
        <v>28</v>
      </c>
      <c r="F60">
        <f t="shared" si="7"/>
        <v>18</v>
      </c>
      <c r="X60" s="8" t="s">
        <v>152</v>
      </c>
      <c r="Y60" s="8" t="s">
        <v>978</v>
      </c>
      <c r="Z60" s="8" t="s">
        <v>956</v>
      </c>
      <c r="AA60" s="5">
        <v>36</v>
      </c>
      <c r="AB60" s="8" t="s">
        <v>988</v>
      </c>
      <c r="AC60" s="8" t="s">
        <v>951</v>
      </c>
      <c r="AD60" s="8" t="s">
        <v>1027</v>
      </c>
      <c r="AE60" s="8" t="s">
        <v>1025</v>
      </c>
      <c r="AF60" s="8" t="s">
        <v>1026</v>
      </c>
      <c r="AG60" s="8" t="s">
        <v>1026</v>
      </c>
      <c r="AH60" s="8" t="s">
        <v>1026</v>
      </c>
      <c r="AI60" s="8" t="s">
        <v>1026</v>
      </c>
    </row>
    <row r="61" spans="2:35" x14ac:dyDescent="0.25">
      <c r="B61" s="26">
        <v>8</v>
      </c>
      <c r="D61">
        <f t="shared" si="6"/>
        <v>1</v>
      </c>
      <c r="E61">
        <f t="shared" si="8"/>
        <v>29</v>
      </c>
      <c r="F61">
        <f t="shared" si="7"/>
        <v>19</v>
      </c>
      <c r="X61" s="8" t="s">
        <v>153</v>
      </c>
      <c r="Y61" s="8" t="s">
        <v>1008</v>
      </c>
      <c r="Z61" s="8" t="s">
        <v>922</v>
      </c>
      <c r="AA61" s="5">
        <v>82</v>
      </c>
      <c r="AB61" s="8" t="s">
        <v>952</v>
      </c>
      <c r="AC61" s="8" t="s">
        <v>951</v>
      </c>
      <c r="AD61" s="8" t="s">
        <v>1026</v>
      </c>
      <c r="AE61" s="8" t="s">
        <v>1026</v>
      </c>
      <c r="AF61" s="8" t="s">
        <v>1026</v>
      </c>
      <c r="AG61" s="8" t="s">
        <v>1026</v>
      </c>
      <c r="AH61" s="8" t="s">
        <v>1026</v>
      </c>
      <c r="AI61" s="8" t="s">
        <v>1026</v>
      </c>
    </row>
    <row r="62" spans="2:35" x14ac:dyDescent="0.25">
      <c r="B62" s="26">
        <v>9</v>
      </c>
      <c r="D62">
        <f t="shared" si="6"/>
        <v>1</v>
      </c>
      <c r="E62">
        <f t="shared" si="8"/>
        <v>30</v>
      </c>
      <c r="F62">
        <f t="shared" si="7"/>
        <v>20</v>
      </c>
      <c r="X62" s="8" t="s">
        <v>154</v>
      </c>
      <c r="Y62" s="8" t="s">
        <v>928</v>
      </c>
      <c r="Z62" s="8" t="s">
        <v>934</v>
      </c>
      <c r="AA62" s="5">
        <v>97</v>
      </c>
      <c r="AB62" s="8" t="s">
        <v>987</v>
      </c>
      <c r="AC62" s="8" t="s">
        <v>939</v>
      </c>
      <c r="AD62" s="8" t="s">
        <v>1028</v>
      </c>
      <c r="AE62" s="8" t="s">
        <v>1027</v>
      </c>
      <c r="AF62" s="8" t="s">
        <v>1025</v>
      </c>
      <c r="AG62" s="8" t="s">
        <v>1027</v>
      </c>
      <c r="AH62" s="8" t="s">
        <v>1025</v>
      </c>
      <c r="AI62" s="8" t="s">
        <v>1026</v>
      </c>
    </row>
    <row r="63" spans="2:35" x14ac:dyDescent="0.25">
      <c r="B63" s="26">
        <v>10</v>
      </c>
      <c r="D63">
        <f t="shared" si="6"/>
        <v>1</v>
      </c>
      <c r="E63">
        <f t="shared" si="8"/>
        <v>31</v>
      </c>
      <c r="F63">
        <f t="shared" si="7"/>
        <v>21</v>
      </c>
      <c r="X63" s="8" t="s">
        <v>155</v>
      </c>
      <c r="Y63" s="8" t="s">
        <v>990</v>
      </c>
      <c r="Z63" s="8" t="s">
        <v>981</v>
      </c>
      <c r="AA63" s="5">
        <v>70</v>
      </c>
      <c r="AB63" s="8" t="s">
        <v>940</v>
      </c>
      <c r="AC63" s="8" t="s">
        <v>989</v>
      </c>
      <c r="AD63" s="8" t="s">
        <v>1026</v>
      </c>
      <c r="AE63" s="8" t="s">
        <v>1026</v>
      </c>
      <c r="AF63" s="8" t="s">
        <v>1027</v>
      </c>
      <c r="AG63" s="8" t="s">
        <v>1026</v>
      </c>
      <c r="AH63" s="8" t="s">
        <v>1026</v>
      </c>
      <c r="AI63" s="8" t="s">
        <v>1026</v>
      </c>
    </row>
    <row r="64" spans="2:35" x14ac:dyDescent="0.25">
      <c r="B64" s="26">
        <v>11</v>
      </c>
      <c r="D64">
        <f t="shared" si="6"/>
        <v>1</v>
      </c>
      <c r="E64">
        <f t="shared" si="8"/>
        <v>32</v>
      </c>
      <c r="F64">
        <f t="shared" si="7"/>
        <v>22</v>
      </c>
      <c r="X64" s="8" t="s">
        <v>156</v>
      </c>
      <c r="Y64" s="8" t="s">
        <v>930</v>
      </c>
      <c r="Z64" s="8" t="s">
        <v>925</v>
      </c>
      <c r="AA64" s="5">
        <v>36</v>
      </c>
      <c r="AB64" s="8" t="s">
        <v>922</v>
      </c>
      <c r="AC64" s="8" t="s">
        <v>934</v>
      </c>
      <c r="AD64" s="8" t="s">
        <v>1027</v>
      </c>
      <c r="AE64" s="8" t="s">
        <v>1026</v>
      </c>
      <c r="AF64" s="8" t="s">
        <v>1026</v>
      </c>
      <c r="AG64" s="8" t="s">
        <v>1025</v>
      </c>
      <c r="AH64" s="8" t="s">
        <v>1027</v>
      </c>
      <c r="AI64" s="8" t="s">
        <v>1026</v>
      </c>
    </row>
    <row r="65" spans="2:35" x14ac:dyDescent="0.25">
      <c r="B65" s="26">
        <v>12</v>
      </c>
      <c r="D65">
        <f t="shared" si="6"/>
        <v>1</v>
      </c>
      <c r="E65">
        <f t="shared" si="8"/>
        <v>33</v>
      </c>
      <c r="F65">
        <f t="shared" si="7"/>
        <v>23</v>
      </c>
      <c r="X65" s="8" t="s">
        <v>157</v>
      </c>
      <c r="Y65" s="8" t="s">
        <v>933</v>
      </c>
      <c r="Z65" s="8" t="s">
        <v>935</v>
      </c>
      <c r="AA65" s="5">
        <v>98</v>
      </c>
      <c r="AB65" s="8" t="s">
        <v>929</v>
      </c>
      <c r="AC65" s="8" t="s">
        <v>938</v>
      </c>
      <c r="AD65" s="8" t="s">
        <v>1027</v>
      </c>
      <c r="AE65" s="8" t="s">
        <v>1027</v>
      </c>
      <c r="AF65" s="8" t="s">
        <v>1027</v>
      </c>
      <c r="AG65" s="8" t="s">
        <v>1027</v>
      </c>
      <c r="AH65" s="8" t="s">
        <v>1027</v>
      </c>
      <c r="AI65" s="8" t="s">
        <v>1027</v>
      </c>
    </row>
    <row r="66" spans="2:35" x14ac:dyDescent="0.25">
      <c r="B66" s="26">
        <v>13</v>
      </c>
      <c r="D66">
        <f t="shared" si="6"/>
        <v>1</v>
      </c>
      <c r="E66">
        <f t="shared" si="8"/>
        <v>34</v>
      </c>
      <c r="F66">
        <f t="shared" si="7"/>
        <v>24</v>
      </c>
      <c r="X66" s="8" t="s">
        <v>158</v>
      </c>
      <c r="Y66" s="8" t="s">
        <v>976</v>
      </c>
      <c r="Z66" s="8" t="s">
        <v>983</v>
      </c>
      <c r="AA66" s="5">
        <v>42</v>
      </c>
      <c r="AB66" s="8" t="s">
        <v>990</v>
      </c>
      <c r="AC66" s="8" t="s">
        <v>947</v>
      </c>
      <c r="AD66" s="8" t="s">
        <v>1026</v>
      </c>
      <c r="AE66" s="8" t="s">
        <v>1025</v>
      </c>
      <c r="AF66" s="8" t="s">
        <v>1026</v>
      </c>
      <c r="AG66" s="8" t="s">
        <v>1027</v>
      </c>
      <c r="AH66" s="8" t="s">
        <v>1026</v>
      </c>
      <c r="AI66" s="8" t="s">
        <v>1026</v>
      </c>
    </row>
    <row r="67" spans="2:35" x14ac:dyDescent="0.25">
      <c r="B67" s="26">
        <v>14</v>
      </c>
      <c r="D67">
        <f t="shared" si="6"/>
        <v>1</v>
      </c>
      <c r="E67">
        <f t="shared" si="8"/>
        <v>35</v>
      </c>
      <c r="F67">
        <f t="shared" si="7"/>
        <v>25</v>
      </c>
      <c r="X67" s="8" t="s">
        <v>159</v>
      </c>
      <c r="Y67" s="8" t="s">
        <v>954</v>
      </c>
      <c r="Z67" s="8" t="s">
        <v>940</v>
      </c>
      <c r="AA67" s="5">
        <v>13</v>
      </c>
      <c r="AB67" s="8" t="s">
        <v>946</v>
      </c>
      <c r="AC67" s="8" t="s">
        <v>991</v>
      </c>
      <c r="AD67" s="8" t="s">
        <v>1027</v>
      </c>
      <c r="AE67" s="8" t="s">
        <v>1027</v>
      </c>
      <c r="AF67" s="8" t="s">
        <v>1026</v>
      </c>
      <c r="AG67" s="8" t="s">
        <v>1025</v>
      </c>
      <c r="AH67" s="8" t="s">
        <v>1026</v>
      </c>
      <c r="AI67" s="8" t="s">
        <v>1026</v>
      </c>
    </row>
    <row r="68" spans="2:35" x14ac:dyDescent="0.25">
      <c r="B68" s="26">
        <v>15</v>
      </c>
      <c r="D68">
        <f t="shared" si="6"/>
        <v>1</v>
      </c>
      <c r="E68">
        <f t="shared" si="8"/>
        <v>36</v>
      </c>
      <c r="F68">
        <f t="shared" si="7"/>
        <v>26</v>
      </c>
      <c r="X68" s="8" t="s">
        <v>160</v>
      </c>
      <c r="Y68" s="8" t="s">
        <v>931</v>
      </c>
      <c r="Z68" s="8" t="s">
        <v>930</v>
      </c>
      <c r="AA68" s="5">
        <v>58</v>
      </c>
      <c r="AB68" s="8" t="s">
        <v>992</v>
      </c>
      <c r="AC68" s="8" t="s">
        <v>931</v>
      </c>
      <c r="AD68" s="8" t="s">
        <v>1026</v>
      </c>
      <c r="AE68" s="8" t="s">
        <v>1027</v>
      </c>
      <c r="AF68" s="8" t="s">
        <v>1027</v>
      </c>
      <c r="AG68" s="8" t="s">
        <v>1026</v>
      </c>
      <c r="AH68" s="8" t="s">
        <v>1026</v>
      </c>
      <c r="AI68" s="8" t="s">
        <v>1026</v>
      </c>
    </row>
    <row r="69" spans="2:35" x14ac:dyDescent="0.25">
      <c r="B69" s="26">
        <v>16</v>
      </c>
      <c r="D69">
        <f t="shared" si="6"/>
        <v>1</v>
      </c>
      <c r="E69">
        <f t="shared" si="8"/>
        <v>37</v>
      </c>
      <c r="F69">
        <f t="shared" si="7"/>
        <v>27</v>
      </c>
      <c r="X69" s="8" t="s">
        <v>161</v>
      </c>
      <c r="Y69" s="8" t="s">
        <v>971</v>
      </c>
      <c r="Z69" s="8" t="s">
        <v>930</v>
      </c>
      <c r="AA69" s="5">
        <v>73</v>
      </c>
      <c r="AB69" s="8" t="s">
        <v>937</v>
      </c>
      <c r="AC69" s="8" t="s">
        <v>926</v>
      </c>
      <c r="AD69" s="8" t="s">
        <v>1027</v>
      </c>
      <c r="AE69" s="8" t="s">
        <v>1025</v>
      </c>
      <c r="AF69" s="8" t="s">
        <v>1025</v>
      </c>
      <c r="AG69" s="8" t="s">
        <v>1026</v>
      </c>
      <c r="AH69" s="8" t="s">
        <v>1027</v>
      </c>
      <c r="AI69" s="8" t="s">
        <v>1026</v>
      </c>
    </row>
    <row r="70" spans="2:35" x14ac:dyDescent="0.25">
      <c r="B70" s="26">
        <v>17</v>
      </c>
      <c r="D70">
        <f t="shared" si="6"/>
        <v>1</v>
      </c>
      <c r="E70">
        <f t="shared" si="8"/>
        <v>38</v>
      </c>
      <c r="F70">
        <f t="shared" si="7"/>
        <v>28</v>
      </c>
      <c r="X70" s="8" t="s">
        <v>162</v>
      </c>
      <c r="Y70" s="8" t="s">
        <v>1014</v>
      </c>
      <c r="Z70" s="8" t="s">
        <v>965</v>
      </c>
      <c r="AA70" s="5">
        <v>78</v>
      </c>
      <c r="AB70" s="8" t="s">
        <v>937</v>
      </c>
      <c r="AC70" s="8" t="s">
        <v>960</v>
      </c>
      <c r="AD70" s="8" t="s">
        <v>1027</v>
      </c>
      <c r="AE70" s="8" t="s">
        <v>1028</v>
      </c>
      <c r="AF70" s="8" t="s">
        <v>1027</v>
      </c>
      <c r="AG70" s="8" t="s">
        <v>1025</v>
      </c>
      <c r="AH70" s="8" t="s">
        <v>1028</v>
      </c>
      <c r="AI70" s="8" t="s">
        <v>1026</v>
      </c>
    </row>
    <row r="71" spans="2:35" x14ac:dyDescent="0.25">
      <c r="B71" s="26">
        <v>18</v>
      </c>
      <c r="D71">
        <f t="shared" si="6"/>
        <v>1</v>
      </c>
      <c r="E71">
        <f t="shared" si="8"/>
        <v>39</v>
      </c>
      <c r="F71">
        <f t="shared" si="7"/>
        <v>29</v>
      </c>
      <c r="X71" s="8" t="s">
        <v>163</v>
      </c>
      <c r="Y71" s="8" t="s">
        <v>971</v>
      </c>
      <c r="Z71" s="8" t="s">
        <v>929</v>
      </c>
      <c r="AA71" s="5">
        <v>52</v>
      </c>
      <c r="AB71" s="8" t="s">
        <v>933</v>
      </c>
      <c r="AC71" s="8" t="s">
        <v>953</v>
      </c>
      <c r="AD71" s="8" t="s">
        <v>1028</v>
      </c>
      <c r="AE71" s="8" t="s">
        <v>1027</v>
      </c>
      <c r="AF71" s="8" t="s">
        <v>1027</v>
      </c>
      <c r="AG71" s="8" t="s">
        <v>1025</v>
      </c>
      <c r="AH71" s="8" t="s">
        <v>1028</v>
      </c>
      <c r="AI71" s="8" t="s">
        <v>1026</v>
      </c>
    </row>
    <row r="72" spans="2:35" x14ac:dyDescent="0.25">
      <c r="B72" s="26">
        <v>19</v>
      </c>
      <c r="D72">
        <f t="shared" si="6"/>
        <v>1</v>
      </c>
      <c r="E72">
        <f t="shared" si="8"/>
        <v>40</v>
      </c>
      <c r="F72">
        <f t="shared" si="7"/>
        <v>30</v>
      </c>
      <c r="X72" s="8" t="s">
        <v>164</v>
      </c>
      <c r="Y72" s="8" t="s">
        <v>925</v>
      </c>
      <c r="Z72" s="8" t="s">
        <v>972</v>
      </c>
      <c r="AA72" s="5">
        <v>43</v>
      </c>
      <c r="AB72" s="8" t="s">
        <v>947</v>
      </c>
      <c r="AC72" s="8" t="s">
        <v>975</v>
      </c>
      <c r="AD72" s="8" t="s">
        <v>1025</v>
      </c>
      <c r="AE72" s="8" t="s">
        <v>1026</v>
      </c>
      <c r="AF72" s="8" t="s">
        <v>1026</v>
      </c>
      <c r="AG72" s="8" t="s">
        <v>1025</v>
      </c>
      <c r="AH72" s="8" t="s">
        <v>1027</v>
      </c>
      <c r="AI72" s="8" t="s">
        <v>1026</v>
      </c>
    </row>
    <row r="73" spans="2:35" x14ac:dyDescent="0.25">
      <c r="B73" s="26">
        <v>20</v>
      </c>
      <c r="D73">
        <f t="shared" si="6"/>
        <v>1</v>
      </c>
      <c r="E73">
        <f t="shared" si="8"/>
        <v>41</v>
      </c>
      <c r="F73">
        <f t="shared" si="7"/>
        <v>31</v>
      </c>
      <c r="X73" s="8" t="s">
        <v>165</v>
      </c>
      <c r="Y73" s="8" t="s">
        <v>967</v>
      </c>
      <c r="Z73" s="8" t="s">
        <v>966</v>
      </c>
      <c r="AA73" s="5">
        <v>82</v>
      </c>
      <c r="AB73" s="8" t="s">
        <v>969</v>
      </c>
      <c r="AC73" s="8" t="s">
        <v>993</v>
      </c>
      <c r="AD73" s="8" t="s">
        <v>1026</v>
      </c>
      <c r="AE73" s="8" t="s">
        <v>1026</v>
      </c>
      <c r="AF73" s="8" t="s">
        <v>1026</v>
      </c>
      <c r="AG73" s="8" t="s">
        <v>1027</v>
      </c>
      <c r="AH73" s="8" t="s">
        <v>1027</v>
      </c>
      <c r="AI73" s="8" t="s">
        <v>1026</v>
      </c>
    </row>
    <row r="74" spans="2:35" x14ac:dyDescent="0.25">
      <c r="X74" s="8" t="s">
        <v>166</v>
      </c>
      <c r="Y74" s="8" t="s">
        <v>969</v>
      </c>
      <c r="Z74" s="8" t="s">
        <v>958</v>
      </c>
      <c r="AA74" s="5">
        <v>47</v>
      </c>
      <c r="AB74" s="8" t="s">
        <v>990</v>
      </c>
      <c r="AC74" s="8" t="s">
        <v>994</v>
      </c>
      <c r="AD74" s="8" t="s">
        <v>1027</v>
      </c>
      <c r="AE74" s="8" t="s">
        <v>1025</v>
      </c>
      <c r="AF74" s="8" t="s">
        <v>1026</v>
      </c>
      <c r="AG74" s="8" t="s">
        <v>1026</v>
      </c>
      <c r="AH74" s="8" t="s">
        <v>1026</v>
      </c>
      <c r="AI74" s="8" t="s">
        <v>1026</v>
      </c>
    </row>
    <row r="75" spans="2:35" x14ac:dyDescent="0.25">
      <c r="X75" s="8" t="s">
        <v>167</v>
      </c>
      <c r="Y75" s="8" t="s">
        <v>937</v>
      </c>
      <c r="Z75" s="8" t="s">
        <v>942</v>
      </c>
      <c r="AA75" s="5">
        <v>42</v>
      </c>
      <c r="AB75" s="8" t="s">
        <v>995</v>
      </c>
      <c r="AC75" s="8" t="s">
        <v>934</v>
      </c>
      <c r="AD75" s="8" t="s">
        <v>1026</v>
      </c>
      <c r="AE75" s="8" t="s">
        <v>1027</v>
      </c>
      <c r="AF75" s="8" t="s">
        <v>1026</v>
      </c>
      <c r="AG75" s="8" t="s">
        <v>1025</v>
      </c>
      <c r="AH75" s="8" t="s">
        <v>1026</v>
      </c>
      <c r="AI75" s="8" t="s">
        <v>1026</v>
      </c>
    </row>
    <row r="76" spans="2:35" x14ac:dyDescent="0.25">
      <c r="X76" s="8" t="s">
        <v>168</v>
      </c>
      <c r="Y76" s="8" t="s">
        <v>991</v>
      </c>
      <c r="Z76" s="8" t="s">
        <v>932</v>
      </c>
      <c r="AA76" s="5">
        <v>68</v>
      </c>
      <c r="AB76" s="8" t="s">
        <v>965</v>
      </c>
      <c r="AC76" s="8" t="s">
        <v>976</v>
      </c>
      <c r="AD76" s="8" t="s">
        <v>1026</v>
      </c>
      <c r="AE76" s="8" t="s">
        <v>1026</v>
      </c>
      <c r="AF76" s="8" t="s">
        <v>1026</v>
      </c>
      <c r="AG76" s="8" t="s">
        <v>1026</v>
      </c>
      <c r="AH76" s="8" t="s">
        <v>1026</v>
      </c>
      <c r="AI76" s="8" t="s">
        <v>1026</v>
      </c>
    </row>
    <row r="77" spans="2:35" x14ac:dyDescent="0.25">
      <c r="X77" s="8" t="s">
        <v>169</v>
      </c>
      <c r="Y77" s="8" t="s">
        <v>925</v>
      </c>
      <c r="Z77" s="8" t="s">
        <v>956</v>
      </c>
      <c r="AA77" s="5">
        <v>69</v>
      </c>
      <c r="AB77" s="8" t="s">
        <v>921</v>
      </c>
      <c r="AC77" s="8" t="s">
        <v>921</v>
      </c>
      <c r="AD77" s="8" t="s">
        <v>1026</v>
      </c>
      <c r="AE77" s="8" t="s">
        <v>1025</v>
      </c>
      <c r="AF77" s="8" t="s">
        <v>1025</v>
      </c>
      <c r="AG77" s="8" t="s">
        <v>1026</v>
      </c>
      <c r="AH77" s="8" t="s">
        <v>1025</v>
      </c>
      <c r="AI77" s="8" t="s">
        <v>1027</v>
      </c>
    </row>
    <row r="78" spans="2:35" x14ac:dyDescent="0.25">
      <c r="X78" s="8" t="s">
        <v>170</v>
      </c>
      <c r="Y78" s="8" t="s">
        <v>1007</v>
      </c>
      <c r="Z78" s="8" t="s">
        <v>938</v>
      </c>
      <c r="AA78" s="5">
        <v>81</v>
      </c>
      <c r="AB78" s="8" t="s">
        <v>972</v>
      </c>
      <c r="AC78" s="8" t="s">
        <v>936</v>
      </c>
      <c r="AD78" s="8" t="s">
        <v>1025</v>
      </c>
      <c r="AE78" s="8" t="s">
        <v>1028</v>
      </c>
      <c r="AF78" s="8" t="s">
        <v>1026</v>
      </c>
      <c r="AG78" s="8" t="s">
        <v>1025</v>
      </c>
      <c r="AH78" s="8" t="s">
        <v>1027</v>
      </c>
      <c r="AI78" s="8" t="s">
        <v>1026</v>
      </c>
    </row>
    <row r="79" spans="2:35" x14ac:dyDescent="0.25">
      <c r="X79" s="8" t="s">
        <v>171</v>
      </c>
      <c r="Y79" s="8" t="s">
        <v>958</v>
      </c>
      <c r="Z79" s="8" t="s">
        <v>925</v>
      </c>
      <c r="AA79" s="5">
        <v>49</v>
      </c>
      <c r="AB79" s="8" t="s">
        <v>939</v>
      </c>
      <c r="AC79" s="8" t="s">
        <v>942</v>
      </c>
      <c r="AD79" s="8" t="s">
        <v>1027</v>
      </c>
      <c r="AE79" s="8" t="s">
        <v>1026</v>
      </c>
      <c r="AF79" s="8" t="s">
        <v>1027</v>
      </c>
      <c r="AG79" s="8" t="s">
        <v>1025</v>
      </c>
      <c r="AH79" s="8" t="s">
        <v>1026</v>
      </c>
      <c r="AI79" s="8" t="s">
        <v>1026</v>
      </c>
    </row>
    <row r="80" spans="2:35" x14ac:dyDescent="0.25">
      <c r="X80" s="8" t="s">
        <v>172</v>
      </c>
      <c r="Y80" s="8" t="s">
        <v>1007</v>
      </c>
      <c r="Z80" s="8" t="s">
        <v>996</v>
      </c>
      <c r="AA80" s="5">
        <v>54</v>
      </c>
      <c r="AB80" s="8" t="s">
        <v>948</v>
      </c>
      <c r="AC80" s="8" t="s">
        <v>971</v>
      </c>
      <c r="AD80" s="8" t="s">
        <v>1027</v>
      </c>
      <c r="AE80" s="8" t="s">
        <v>1027</v>
      </c>
      <c r="AF80" s="8" t="s">
        <v>1028</v>
      </c>
      <c r="AG80" s="8" t="s">
        <v>1028</v>
      </c>
      <c r="AH80" s="8" t="s">
        <v>1025</v>
      </c>
      <c r="AI80" s="8" t="s">
        <v>1026</v>
      </c>
    </row>
    <row r="81" spans="24:35" x14ac:dyDescent="0.25">
      <c r="X81" s="8" t="s">
        <v>173</v>
      </c>
      <c r="Y81" s="8" t="s">
        <v>975</v>
      </c>
      <c r="Z81" s="8" t="s">
        <v>960</v>
      </c>
      <c r="AA81" s="5">
        <v>52</v>
      </c>
      <c r="AB81" s="8" t="s">
        <v>997</v>
      </c>
      <c r="AC81" s="8" t="s">
        <v>958</v>
      </c>
      <c r="AD81" s="8" t="s">
        <v>1027</v>
      </c>
      <c r="AE81" s="8" t="s">
        <v>1026</v>
      </c>
      <c r="AF81" s="8" t="s">
        <v>1026</v>
      </c>
      <c r="AG81" s="8" t="s">
        <v>1027</v>
      </c>
      <c r="AH81" s="8" t="s">
        <v>1026</v>
      </c>
      <c r="AI81" s="8" t="s">
        <v>1026</v>
      </c>
    </row>
    <row r="82" spans="24:35" x14ac:dyDescent="0.25">
      <c r="X82" s="8" t="s">
        <v>174</v>
      </c>
      <c r="Y82" s="8" t="s">
        <v>934</v>
      </c>
      <c r="Z82" s="8" t="s">
        <v>933</v>
      </c>
      <c r="AA82" s="5">
        <v>70</v>
      </c>
      <c r="AB82" s="8" t="s">
        <v>940</v>
      </c>
      <c r="AC82" s="8" t="s">
        <v>954</v>
      </c>
      <c r="AD82" s="8" t="s">
        <v>1026</v>
      </c>
      <c r="AE82" s="8" t="s">
        <v>1026</v>
      </c>
      <c r="AF82" s="8" t="s">
        <v>1026</v>
      </c>
      <c r="AG82" s="8" t="s">
        <v>1027</v>
      </c>
      <c r="AH82" s="8" t="s">
        <v>1027</v>
      </c>
      <c r="AI82" s="8" t="s">
        <v>1026</v>
      </c>
    </row>
    <row r="83" spans="24:35" x14ac:dyDescent="0.25">
      <c r="X83" s="8" t="s">
        <v>175</v>
      </c>
      <c r="Y83" s="8" t="s">
        <v>966</v>
      </c>
      <c r="Z83" s="8" t="s">
        <v>923</v>
      </c>
      <c r="AA83" s="5">
        <v>75</v>
      </c>
      <c r="AB83" s="8" t="s">
        <v>925</v>
      </c>
      <c r="AC83" s="8" t="s">
        <v>930</v>
      </c>
      <c r="AD83" s="8" t="s">
        <v>1026</v>
      </c>
      <c r="AE83" s="8" t="s">
        <v>1026</v>
      </c>
      <c r="AF83" s="8" t="s">
        <v>1027</v>
      </c>
      <c r="AG83" s="8" t="s">
        <v>1027</v>
      </c>
      <c r="AH83" s="8" t="s">
        <v>1026</v>
      </c>
      <c r="AI83" s="8" t="s">
        <v>1026</v>
      </c>
    </row>
    <row r="84" spans="24:35" x14ac:dyDescent="0.25">
      <c r="X84" s="8" t="s">
        <v>176</v>
      </c>
      <c r="Y84" s="8" t="s">
        <v>994</v>
      </c>
      <c r="Z84" s="8" t="s">
        <v>941</v>
      </c>
      <c r="AA84" s="5">
        <v>75</v>
      </c>
      <c r="AB84" s="8" t="s">
        <v>998</v>
      </c>
      <c r="AC84" s="8" t="s">
        <v>930</v>
      </c>
      <c r="AD84" s="8" t="s">
        <v>1026</v>
      </c>
      <c r="AE84" s="8" t="s">
        <v>1027</v>
      </c>
      <c r="AF84" s="8" t="s">
        <v>1027</v>
      </c>
      <c r="AG84" s="8" t="s">
        <v>1026</v>
      </c>
      <c r="AH84" s="8" t="s">
        <v>1027</v>
      </c>
      <c r="AI84" s="8" t="s">
        <v>1026</v>
      </c>
    </row>
    <row r="85" spans="24:35" x14ac:dyDescent="0.25">
      <c r="X85" s="8" t="s">
        <v>177</v>
      </c>
      <c r="Y85" s="8" t="s">
        <v>965</v>
      </c>
      <c r="Z85" s="8" t="s">
        <v>960</v>
      </c>
      <c r="AA85" s="5">
        <v>74</v>
      </c>
      <c r="AB85" s="8" t="s">
        <v>953</v>
      </c>
      <c r="AC85" s="8" t="s">
        <v>948</v>
      </c>
      <c r="AD85" s="8" t="s">
        <v>1027</v>
      </c>
      <c r="AE85" s="8" t="s">
        <v>1025</v>
      </c>
      <c r="AF85" s="8" t="s">
        <v>1025</v>
      </c>
      <c r="AG85" s="8" t="s">
        <v>1027</v>
      </c>
      <c r="AH85" s="8" t="s">
        <v>1025</v>
      </c>
      <c r="AI85" s="8" t="s">
        <v>1026</v>
      </c>
    </row>
    <row r="86" spans="24:35" x14ac:dyDescent="0.25">
      <c r="X86" s="8" t="s">
        <v>178</v>
      </c>
      <c r="Y86" s="8" t="s">
        <v>956</v>
      </c>
      <c r="Z86" s="8" t="s">
        <v>925</v>
      </c>
      <c r="AA86" s="5">
        <v>32</v>
      </c>
      <c r="AB86" s="8" t="s">
        <v>945</v>
      </c>
      <c r="AC86" s="8" t="s">
        <v>967</v>
      </c>
      <c r="AD86" s="8" t="s">
        <v>1027</v>
      </c>
      <c r="AE86" s="8" t="s">
        <v>1026</v>
      </c>
      <c r="AF86" s="8" t="s">
        <v>1026</v>
      </c>
      <c r="AG86" s="8" t="s">
        <v>1025</v>
      </c>
      <c r="AH86" s="8" t="s">
        <v>1026</v>
      </c>
      <c r="AI86" s="8" t="s">
        <v>1026</v>
      </c>
    </row>
    <row r="87" spans="24:35" x14ac:dyDescent="0.25">
      <c r="X87" s="8" t="s">
        <v>179</v>
      </c>
      <c r="Y87" s="8" t="s">
        <v>1014</v>
      </c>
      <c r="Z87" s="8" t="s">
        <v>961</v>
      </c>
      <c r="AA87" s="5">
        <v>58</v>
      </c>
      <c r="AB87" s="8" t="s">
        <v>926</v>
      </c>
      <c r="AC87" s="8" t="s">
        <v>985</v>
      </c>
      <c r="AD87" s="8" t="s">
        <v>1025</v>
      </c>
      <c r="AE87" s="8" t="s">
        <v>1027</v>
      </c>
      <c r="AF87" s="8" t="s">
        <v>1026</v>
      </c>
      <c r="AG87" s="8" t="s">
        <v>1028</v>
      </c>
      <c r="AH87" s="8" t="s">
        <v>1027</v>
      </c>
      <c r="AI87" s="8" t="s">
        <v>1026</v>
      </c>
    </row>
    <row r="88" spans="24:35" x14ac:dyDescent="0.25">
      <c r="X88" s="8" t="s">
        <v>180</v>
      </c>
      <c r="Y88" s="8" t="s">
        <v>965</v>
      </c>
      <c r="Z88" s="8" t="s">
        <v>929</v>
      </c>
      <c r="AA88" s="5">
        <v>77</v>
      </c>
      <c r="AB88" s="8" t="s">
        <v>973</v>
      </c>
      <c r="AC88" s="8" t="s">
        <v>958</v>
      </c>
      <c r="AD88" s="8" t="s">
        <v>1025</v>
      </c>
      <c r="AE88" s="8" t="s">
        <v>1027</v>
      </c>
      <c r="AF88" s="8" t="s">
        <v>1027</v>
      </c>
      <c r="AG88" s="8" t="s">
        <v>1025</v>
      </c>
      <c r="AH88" s="8" t="s">
        <v>1026</v>
      </c>
      <c r="AI88" s="8" t="s">
        <v>1026</v>
      </c>
    </row>
    <row r="89" spans="24:35" x14ac:dyDescent="0.25">
      <c r="X89" s="8" t="s">
        <v>181</v>
      </c>
      <c r="Y89" s="8" t="s">
        <v>950</v>
      </c>
      <c r="Z89" s="8" t="s">
        <v>999</v>
      </c>
      <c r="AA89" s="5">
        <v>4</v>
      </c>
      <c r="AB89" s="8" t="s">
        <v>990</v>
      </c>
      <c r="AC89" s="8" t="s">
        <v>1000</v>
      </c>
      <c r="AD89" s="8" t="s">
        <v>1026</v>
      </c>
      <c r="AE89" s="8" t="s">
        <v>1026</v>
      </c>
      <c r="AF89" s="8" t="s">
        <v>1026</v>
      </c>
      <c r="AG89" s="8" t="s">
        <v>1026</v>
      </c>
      <c r="AH89" s="8" t="s">
        <v>1026</v>
      </c>
      <c r="AI89" s="8" t="s">
        <v>1026</v>
      </c>
    </row>
    <row r="90" spans="24:35" x14ac:dyDescent="0.25">
      <c r="X90" s="8" t="s">
        <v>182</v>
      </c>
      <c r="Y90" s="8" t="s">
        <v>924</v>
      </c>
      <c r="Z90" s="8" t="s">
        <v>988</v>
      </c>
      <c r="AA90" s="5">
        <v>73</v>
      </c>
      <c r="AB90" s="8" t="s">
        <v>958</v>
      </c>
      <c r="AC90" s="8" t="s">
        <v>929</v>
      </c>
      <c r="AD90" s="8" t="s">
        <v>1026</v>
      </c>
      <c r="AE90" s="8" t="s">
        <v>1026</v>
      </c>
      <c r="AF90" s="8" t="s">
        <v>1027</v>
      </c>
      <c r="AG90" s="8" t="s">
        <v>1026</v>
      </c>
      <c r="AH90" s="8" t="s">
        <v>1026</v>
      </c>
      <c r="AI90" s="8" t="s">
        <v>1026</v>
      </c>
    </row>
    <row r="91" spans="24:35" x14ac:dyDescent="0.25">
      <c r="X91" s="8" t="s">
        <v>183</v>
      </c>
      <c r="Y91" s="8" t="s">
        <v>994</v>
      </c>
      <c r="Z91" s="8" t="s">
        <v>1001</v>
      </c>
      <c r="AA91" s="5">
        <v>89</v>
      </c>
      <c r="AB91" s="8" t="s">
        <v>987</v>
      </c>
      <c r="AC91" s="8" t="s">
        <v>988</v>
      </c>
      <c r="AD91" s="8" t="s">
        <v>1026</v>
      </c>
      <c r="AE91" s="8" t="s">
        <v>1027</v>
      </c>
      <c r="AF91" s="8" t="s">
        <v>1026</v>
      </c>
      <c r="AG91" s="8" t="s">
        <v>1026</v>
      </c>
      <c r="AH91" s="8" t="s">
        <v>1026</v>
      </c>
      <c r="AI91" s="8" t="s">
        <v>1026</v>
      </c>
    </row>
    <row r="92" spans="24:35" x14ac:dyDescent="0.25">
      <c r="X92" s="8" t="s">
        <v>184</v>
      </c>
      <c r="Y92" s="8" t="s">
        <v>935</v>
      </c>
      <c r="Z92" s="8" t="s">
        <v>927</v>
      </c>
      <c r="AA92" s="5">
        <v>26</v>
      </c>
      <c r="AB92" s="8" t="s">
        <v>962</v>
      </c>
      <c r="AC92" s="8" t="s">
        <v>933</v>
      </c>
      <c r="AD92" s="8" t="s">
        <v>1026</v>
      </c>
      <c r="AE92" s="8" t="s">
        <v>1026</v>
      </c>
      <c r="AF92" s="8" t="s">
        <v>1026</v>
      </c>
      <c r="AG92" s="8" t="s">
        <v>1026</v>
      </c>
      <c r="AH92" s="8" t="s">
        <v>1026</v>
      </c>
      <c r="AI92" s="8" t="s">
        <v>1026</v>
      </c>
    </row>
    <row r="93" spans="24:35" x14ac:dyDescent="0.25">
      <c r="X93" s="8" t="s">
        <v>185</v>
      </c>
      <c r="Y93" s="8" t="s">
        <v>941</v>
      </c>
      <c r="Z93" s="8" t="s">
        <v>945</v>
      </c>
      <c r="AA93" s="5">
        <v>6</v>
      </c>
      <c r="AB93" s="8" t="s">
        <v>947</v>
      </c>
      <c r="AC93" s="8" t="s">
        <v>969</v>
      </c>
      <c r="AD93" s="8" t="s">
        <v>1026</v>
      </c>
      <c r="AE93" s="8" t="s">
        <v>1026</v>
      </c>
      <c r="AF93" s="8" t="s">
        <v>1026</v>
      </c>
      <c r="AG93" s="8" t="s">
        <v>1026</v>
      </c>
      <c r="AH93" s="8" t="s">
        <v>1026</v>
      </c>
      <c r="AI93" s="8" t="s">
        <v>1026</v>
      </c>
    </row>
    <row r="94" spans="24:35" x14ac:dyDescent="0.25">
      <c r="X94" s="8" t="s">
        <v>186</v>
      </c>
      <c r="Y94" s="8" t="s">
        <v>952</v>
      </c>
      <c r="Z94" s="8" t="s">
        <v>938</v>
      </c>
      <c r="AA94" s="5">
        <v>72</v>
      </c>
      <c r="AB94" s="8" t="s">
        <v>954</v>
      </c>
      <c r="AC94" s="8" t="s">
        <v>925</v>
      </c>
      <c r="AD94" s="8" t="s">
        <v>1025</v>
      </c>
      <c r="AE94" s="8" t="s">
        <v>1025</v>
      </c>
      <c r="AF94" s="8" t="s">
        <v>1025</v>
      </c>
      <c r="AG94" s="8" t="s">
        <v>1026</v>
      </c>
      <c r="AH94" s="8" t="s">
        <v>1025</v>
      </c>
      <c r="AI94" s="8" t="s">
        <v>1028</v>
      </c>
    </row>
    <row r="95" spans="24:35" x14ac:dyDescent="0.25">
      <c r="X95" s="8" t="s">
        <v>187</v>
      </c>
      <c r="Y95" s="8" t="s">
        <v>976</v>
      </c>
      <c r="Z95" s="8" t="s">
        <v>937</v>
      </c>
      <c r="AA95" s="5">
        <v>73</v>
      </c>
      <c r="AB95" s="8" t="s">
        <v>937</v>
      </c>
      <c r="AC95" s="8" t="s">
        <v>937</v>
      </c>
      <c r="AD95" s="8" t="s">
        <v>1026</v>
      </c>
      <c r="AE95" s="8" t="s">
        <v>1026</v>
      </c>
      <c r="AF95" s="8" t="s">
        <v>1027</v>
      </c>
      <c r="AG95" s="8" t="s">
        <v>1026</v>
      </c>
      <c r="AH95" s="8" t="s">
        <v>1027</v>
      </c>
      <c r="AI95" s="8" t="s">
        <v>1026</v>
      </c>
    </row>
    <row r="96" spans="24:35" x14ac:dyDescent="0.25">
      <c r="X96" s="8" t="s">
        <v>188</v>
      </c>
      <c r="Y96" s="8" t="s">
        <v>956</v>
      </c>
      <c r="Z96" s="8" t="s">
        <v>983</v>
      </c>
      <c r="AA96" s="5">
        <v>32</v>
      </c>
      <c r="AB96" s="8" t="s">
        <v>968</v>
      </c>
      <c r="AC96" s="8" t="s">
        <v>926</v>
      </c>
      <c r="AD96" s="8" t="s">
        <v>1025</v>
      </c>
      <c r="AE96" s="8" t="s">
        <v>1025</v>
      </c>
      <c r="AF96" s="8" t="s">
        <v>1026</v>
      </c>
      <c r="AG96" s="8" t="s">
        <v>1027</v>
      </c>
      <c r="AH96" s="8" t="s">
        <v>1026</v>
      </c>
      <c r="AI96" s="8" t="s">
        <v>1026</v>
      </c>
    </row>
    <row r="97" spans="24:35" x14ac:dyDescent="0.25">
      <c r="X97" s="8" t="s">
        <v>189</v>
      </c>
      <c r="Y97" s="8" t="s">
        <v>985</v>
      </c>
      <c r="Z97" s="8" t="s">
        <v>998</v>
      </c>
      <c r="AA97" s="5">
        <v>56</v>
      </c>
      <c r="AB97" s="8" t="s">
        <v>945</v>
      </c>
      <c r="AC97" s="8" t="s">
        <v>939</v>
      </c>
      <c r="AD97" s="8" t="s">
        <v>1027</v>
      </c>
      <c r="AE97" s="8" t="s">
        <v>1027</v>
      </c>
      <c r="AF97" s="8" t="s">
        <v>1026</v>
      </c>
      <c r="AG97" s="8" t="s">
        <v>1028</v>
      </c>
      <c r="AH97" s="8" t="s">
        <v>1026</v>
      </c>
      <c r="AI97" s="8" t="s">
        <v>1026</v>
      </c>
    </row>
    <row r="98" spans="24:35" x14ac:dyDescent="0.25">
      <c r="X98" s="8" t="s">
        <v>190</v>
      </c>
      <c r="Y98" s="8" t="s">
        <v>966</v>
      </c>
      <c r="Z98" s="8" t="s">
        <v>937</v>
      </c>
      <c r="AA98" s="5">
        <v>44</v>
      </c>
      <c r="AB98" s="8" t="s">
        <v>967</v>
      </c>
      <c r="AC98" s="8" t="s">
        <v>949</v>
      </c>
      <c r="AD98" s="8" t="s">
        <v>1026</v>
      </c>
      <c r="AE98" s="8" t="s">
        <v>1027</v>
      </c>
      <c r="AF98" s="8" t="s">
        <v>1027</v>
      </c>
      <c r="AG98" s="8" t="s">
        <v>1026</v>
      </c>
      <c r="AH98" s="8" t="s">
        <v>1026</v>
      </c>
      <c r="AI98" s="8" t="s">
        <v>1026</v>
      </c>
    </row>
    <row r="99" spans="24:35" x14ac:dyDescent="0.25">
      <c r="X99" s="8" t="s">
        <v>191</v>
      </c>
      <c r="Y99" s="8" t="s">
        <v>968</v>
      </c>
      <c r="Z99" s="8" t="s">
        <v>981</v>
      </c>
      <c r="AA99" s="5">
        <v>64</v>
      </c>
      <c r="AB99" s="8" t="s">
        <v>994</v>
      </c>
      <c r="AC99" s="8" t="s">
        <v>923</v>
      </c>
      <c r="AD99" s="8" t="s">
        <v>1026</v>
      </c>
      <c r="AE99" s="8" t="s">
        <v>1026</v>
      </c>
      <c r="AF99" s="8" t="s">
        <v>1026</v>
      </c>
      <c r="AG99" s="8" t="s">
        <v>1026</v>
      </c>
      <c r="AH99" s="8" t="s">
        <v>1026</v>
      </c>
      <c r="AI99" s="8" t="s">
        <v>1026</v>
      </c>
    </row>
    <row r="100" spans="24:35" x14ac:dyDescent="0.25">
      <c r="X100" s="8" t="s">
        <v>192</v>
      </c>
      <c r="Y100" s="8" t="s">
        <v>1018</v>
      </c>
      <c r="Z100" s="8" t="s">
        <v>1002</v>
      </c>
      <c r="AA100" s="5">
        <v>75</v>
      </c>
      <c r="AB100" s="8" t="s">
        <v>937</v>
      </c>
      <c r="AC100" s="8" t="s">
        <v>1003</v>
      </c>
      <c r="AD100" s="8" t="s">
        <v>1028</v>
      </c>
      <c r="AE100" s="8" t="s">
        <v>1028</v>
      </c>
      <c r="AF100" s="8" t="s">
        <v>1027</v>
      </c>
      <c r="AG100" s="8" t="s">
        <v>1025</v>
      </c>
      <c r="AH100" s="8" t="s">
        <v>1026</v>
      </c>
      <c r="AI100" s="8" t="s">
        <v>1025</v>
      </c>
    </row>
    <row r="101" spans="24:35" x14ac:dyDescent="0.25">
      <c r="X101" s="8" t="s">
        <v>193</v>
      </c>
      <c r="Y101" s="8" t="s">
        <v>988</v>
      </c>
      <c r="Z101" s="8" t="s">
        <v>968</v>
      </c>
      <c r="AA101" s="5">
        <v>67</v>
      </c>
      <c r="AB101" s="8" t="s">
        <v>938</v>
      </c>
      <c r="AC101" s="8" t="s">
        <v>956</v>
      </c>
      <c r="AD101" s="8" t="s">
        <v>1026</v>
      </c>
      <c r="AE101" s="8" t="s">
        <v>1026</v>
      </c>
      <c r="AF101" s="8" t="s">
        <v>1026</v>
      </c>
      <c r="AG101" s="8" t="s">
        <v>1026</v>
      </c>
      <c r="AH101" s="8" t="s">
        <v>1025</v>
      </c>
      <c r="AI101" s="8" t="s">
        <v>1026</v>
      </c>
    </row>
    <row r="102" spans="24:35" x14ac:dyDescent="0.25">
      <c r="X102" s="8" t="s">
        <v>194</v>
      </c>
      <c r="Y102" s="8" t="s">
        <v>926</v>
      </c>
      <c r="Z102" s="8" t="s">
        <v>983</v>
      </c>
      <c r="AA102" s="5">
        <v>10</v>
      </c>
      <c r="AB102" s="8" t="s">
        <v>1004</v>
      </c>
      <c r="AC102" s="8" t="s">
        <v>964</v>
      </c>
      <c r="AD102" s="8" t="s">
        <v>1027</v>
      </c>
      <c r="AE102" s="8" t="s">
        <v>1026</v>
      </c>
      <c r="AF102" s="8" t="s">
        <v>1026</v>
      </c>
      <c r="AG102" s="8" t="s">
        <v>1025</v>
      </c>
      <c r="AH102" s="8" t="s">
        <v>1027</v>
      </c>
      <c r="AI102" s="8" t="s">
        <v>1026</v>
      </c>
    </row>
    <row r="103" spans="24:35" x14ac:dyDescent="0.25">
      <c r="X103" s="8" t="s">
        <v>195</v>
      </c>
      <c r="Y103" s="8" t="s">
        <v>938</v>
      </c>
      <c r="Z103" s="8" t="s">
        <v>921</v>
      </c>
      <c r="AA103" s="5">
        <v>52</v>
      </c>
      <c r="AB103" s="8" t="s">
        <v>978</v>
      </c>
      <c r="AC103" s="8" t="s">
        <v>994</v>
      </c>
      <c r="AD103" s="8" t="s">
        <v>1025</v>
      </c>
      <c r="AE103" s="8" t="s">
        <v>1027</v>
      </c>
      <c r="AF103" s="8" t="s">
        <v>1027</v>
      </c>
      <c r="AG103" s="8" t="s">
        <v>1025</v>
      </c>
      <c r="AH103" s="8" t="s">
        <v>1025</v>
      </c>
      <c r="AI103" s="8" t="s">
        <v>1026</v>
      </c>
    </row>
    <row r="104" spans="24:35" x14ac:dyDescent="0.25">
      <c r="X104" s="8" t="s">
        <v>196</v>
      </c>
      <c r="Y104" s="8" t="s">
        <v>955</v>
      </c>
      <c r="Z104" s="8" t="s">
        <v>937</v>
      </c>
      <c r="AA104" s="5">
        <v>33</v>
      </c>
      <c r="AB104" s="8" t="s">
        <v>959</v>
      </c>
      <c r="AC104" s="8" t="s">
        <v>933</v>
      </c>
      <c r="AD104" s="8" t="s">
        <v>1026</v>
      </c>
      <c r="AE104" s="8" t="s">
        <v>1026</v>
      </c>
      <c r="AF104" s="8" t="s">
        <v>1027</v>
      </c>
      <c r="AG104" s="8" t="s">
        <v>1027</v>
      </c>
      <c r="AH104" s="8" t="s">
        <v>1026</v>
      </c>
      <c r="AI104" s="8" t="s">
        <v>1026</v>
      </c>
    </row>
    <row r="105" spans="24:35" x14ac:dyDescent="0.25">
      <c r="X105" s="8" t="s">
        <v>197</v>
      </c>
      <c r="Y105" s="8" t="s">
        <v>975</v>
      </c>
      <c r="Z105" s="8" t="s">
        <v>976</v>
      </c>
      <c r="AA105" s="5">
        <v>69</v>
      </c>
      <c r="AB105" s="8" t="s">
        <v>926</v>
      </c>
      <c r="AC105" s="8" t="s">
        <v>953</v>
      </c>
      <c r="AD105" s="8" t="s">
        <v>1026</v>
      </c>
      <c r="AE105" s="8" t="s">
        <v>1027</v>
      </c>
      <c r="AF105" s="8" t="s">
        <v>1027</v>
      </c>
      <c r="AG105" s="8" t="s">
        <v>1027</v>
      </c>
      <c r="AH105" s="8" t="s">
        <v>1027</v>
      </c>
      <c r="AI105" s="8" t="s">
        <v>1026</v>
      </c>
    </row>
    <row r="106" spans="24:35" x14ac:dyDescent="0.25">
      <c r="X106" s="8" t="s">
        <v>198</v>
      </c>
      <c r="Y106" s="8" t="s">
        <v>933</v>
      </c>
      <c r="Z106" s="8" t="s">
        <v>949</v>
      </c>
      <c r="AA106" s="5">
        <v>51</v>
      </c>
      <c r="AB106" s="8" t="s">
        <v>943</v>
      </c>
      <c r="AC106" s="8" t="s">
        <v>967</v>
      </c>
      <c r="AD106" s="8" t="s">
        <v>1026</v>
      </c>
      <c r="AE106" s="8" t="s">
        <v>1026</v>
      </c>
      <c r="AF106" s="8" t="s">
        <v>1027</v>
      </c>
      <c r="AG106" s="8" t="s">
        <v>1027</v>
      </c>
      <c r="AH106" s="8" t="s">
        <v>1026</v>
      </c>
      <c r="AI106" s="8" t="s">
        <v>1026</v>
      </c>
    </row>
    <row r="107" spans="24:35" x14ac:dyDescent="0.25">
      <c r="X107" s="8" t="s">
        <v>199</v>
      </c>
      <c r="Y107" s="8" t="s">
        <v>980</v>
      </c>
      <c r="Z107" s="8" t="s">
        <v>922</v>
      </c>
      <c r="AA107" s="5">
        <v>7</v>
      </c>
      <c r="AB107" s="8" t="s">
        <v>1005</v>
      </c>
      <c r="AC107" s="8" t="s">
        <v>1006</v>
      </c>
      <c r="AD107" s="8" t="s">
        <v>1027</v>
      </c>
      <c r="AE107" s="8" t="s">
        <v>1026</v>
      </c>
      <c r="AF107" s="8" t="s">
        <v>1026</v>
      </c>
      <c r="AG107" s="8" t="s">
        <v>1026</v>
      </c>
      <c r="AH107" s="8" t="s">
        <v>1026</v>
      </c>
      <c r="AI107" s="8" t="s">
        <v>1026</v>
      </c>
    </row>
    <row r="108" spans="24:35" x14ac:dyDescent="0.25">
      <c r="X108" s="8" t="s">
        <v>200</v>
      </c>
      <c r="Y108" s="8" t="s">
        <v>956</v>
      </c>
      <c r="Z108" s="8" t="s">
        <v>960</v>
      </c>
      <c r="AA108" s="5">
        <v>68</v>
      </c>
      <c r="AB108" s="8" t="s">
        <v>1007</v>
      </c>
      <c r="AC108" s="8" t="s">
        <v>937</v>
      </c>
      <c r="AD108" s="8" t="s">
        <v>1027</v>
      </c>
      <c r="AE108" s="8" t="s">
        <v>1026</v>
      </c>
      <c r="AF108" s="8" t="s">
        <v>1026</v>
      </c>
      <c r="AG108" s="8" t="s">
        <v>1027</v>
      </c>
      <c r="AH108" s="8" t="s">
        <v>1026</v>
      </c>
      <c r="AI108" s="8" t="s">
        <v>1026</v>
      </c>
    </row>
    <row r="109" spans="24:35" x14ac:dyDescent="0.25">
      <c r="X109" s="8" t="s">
        <v>201</v>
      </c>
      <c r="Y109" s="8" t="s">
        <v>940</v>
      </c>
      <c r="Z109" s="8" t="s">
        <v>928</v>
      </c>
      <c r="AA109" s="5">
        <v>62</v>
      </c>
      <c r="AB109" s="8" t="s">
        <v>955</v>
      </c>
      <c r="AC109" s="8" t="s">
        <v>972</v>
      </c>
      <c r="AD109" s="8" t="s">
        <v>1025</v>
      </c>
      <c r="AE109" s="8" t="s">
        <v>1028</v>
      </c>
      <c r="AF109" s="8" t="s">
        <v>1027</v>
      </c>
      <c r="AG109" s="8" t="s">
        <v>1025</v>
      </c>
      <c r="AH109" s="8" t="s">
        <v>1026</v>
      </c>
      <c r="AI109" s="8" t="s">
        <v>1027</v>
      </c>
    </row>
    <row r="110" spans="24:35" x14ac:dyDescent="0.25">
      <c r="X110" s="8" t="s">
        <v>202</v>
      </c>
      <c r="Y110" s="8" t="s">
        <v>921</v>
      </c>
      <c r="Z110" s="8" t="s">
        <v>982</v>
      </c>
      <c r="AA110" s="5">
        <v>52</v>
      </c>
      <c r="AB110" s="8" t="s">
        <v>989</v>
      </c>
      <c r="AC110" s="8" t="s">
        <v>921</v>
      </c>
      <c r="AD110" s="8" t="s">
        <v>1027</v>
      </c>
      <c r="AE110" s="8" t="s">
        <v>1025</v>
      </c>
      <c r="AF110" s="8" t="s">
        <v>1026</v>
      </c>
      <c r="AG110" s="8" t="s">
        <v>1028</v>
      </c>
      <c r="AH110" s="8" t="s">
        <v>1026</v>
      </c>
      <c r="AI110" s="8" t="s">
        <v>1025</v>
      </c>
    </row>
    <row r="111" spans="24:35" x14ac:dyDescent="0.25">
      <c r="X111" s="8" t="s">
        <v>203</v>
      </c>
      <c r="Y111" s="8" t="s">
        <v>1014</v>
      </c>
      <c r="Z111" s="8" t="s">
        <v>926</v>
      </c>
      <c r="AA111" s="5">
        <v>77</v>
      </c>
      <c r="AB111" s="8" t="s">
        <v>948</v>
      </c>
      <c r="AC111" s="8" t="s">
        <v>971</v>
      </c>
      <c r="AD111" s="8" t="s">
        <v>1025</v>
      </c>
      <c r="AE111" s="8" t="s">
        <v>1028</v>
      </c>
      <c r="AF111" s="8" t="s">
        <v>1026</v>
      </c>
      <c r="AG111" s="8" t="s">
        <v>1028</v>
      </c>
      <c r="AH111" s="8" t="s">
        <v>1025</v>
      </c>
      <c r="AI111" s="8" t="s">
        <v>1026</v>
      </c>
    </row>
    <row r="112" spans="24:35" x14ac:dyDescent="0.25">
      <c r="X112" s="8" t="s">
        <v>204</v>
      </c>
      <c r="Y112" s="8" t="s">
        <v>964</v>
      </c>
      <c r="Z112" s="8" t="s">
        <v>935</v>
      </c>
      <c r="AA112" s="5">
        <v>70</v>
      </c>
      <c r="AB112" s="8" t="s">
        <v>936</v>
      </c>
      <c r="AC112" s="8" t="s">
        <v>948</v>
      </c>
      <c r="AD112" s="8" t="s">
        <v>1026</v>
      </c>
      <c r="AE112" s="8" t="s">
        <v>1026</v>
      </c>
      <c r="AF112" s="8" t="s">
        <v>1026</v>
      </c>
      <c r="AG112" s="8" t="s">
        <v>1026</v>
      </c>
      <c r="AH112" s="8" t="s">
        <v>1027</v>
      </c>
      <c r="AI112" s="8" t="s">
        <v>1026</v>
      </c>
    </row>
    <row r="113" spans="24:35" x14ac:dyDescent="0.25">
      <c r="X113" s="8" t="s">
        <v>205</v>
      </c>
      <c r="Y113" s="8" t="s">
        <v>979</v>
      </c>
      <c r="Z113" s="8" t="s">
        <v>967</v>
      </c>
      <c r="AA113" s="5">
        <v>72</v>
      </c>
      <c r="AB113" s="8" t="s">
        <v>975</v>
      </c>
      <c r="AC113" s="8" t="s">
        <v>992</v>
      </c>
      <c r="AD113" s="8" t="s">
        <v>1026</v>
      </c>
      <c r="AE113" s="8" t="s">
        <v>1026</v>
      </c>
      <c r="AF113" s="8" t="s">
        <v>1026</v>
      </c>
      <c r="AG113" s="8" t="s">
        <v>1027</v>
      </c>
      <c r="AH113" s="8" t="s">
        <v>1026</v>
      </c>
      <c r="AI113" s="8" t="s">
        <v>1026</v>
      </c>
    </row>
    <row r="114" spans="24:35" x14ac:dyDescent="0.25">
      <c r="X114" s="8" t="s">
        <v>206</v>
      </c>
      <c r="Y114" s="8" t="s">
        <v>956</v>
      </c>
      <c r="Z114" s="8" t="s">
        <v>930</v>
      </c>
      <c r="AA114" s="5">
        <v>36</v>
      </c>
      <c r="AB114" s="8" t="s">
        <v>1008</v>
      </c>
      <c r="AC114" s="8" t="s">
        <v>933</v>
      </c>
      <c r="AD114" s="8" t="s">
        <v>1027</v>
      </c>
      <c r="AE114" s="8" t="s">
        <v>1026</v>
      </c>
      <c r="AF114" s="8" t="s">
        <v>1027</v>
      </c>
      <c r="AG114" s="8" t="s">
        <v>1026</v>
      </c>
      <c r="AH114" s="8" t="s">
        <v>1026</v>
      </c>
      <c r="AI114" s="8" t="s">
        <v>1026</v>
      </c>
    </row>
    <row r="115" spans="24:35" x14ac:dyDescent="0.25">
      <c r="X115" s="8" t="s">
        <v>207</v>
      </c>
      <c r="Y115" s="8" t="s">
        <v>1016</v>
      </c>
      <c r="Z115" s="8" t="s">
        <v>974</v>
      </c>
      <c r="AA115" s="5">
        <v>83</v>
      </c>
      <c r="AB115" s="8" t="s">
        <v>928</v>
      </c>
      <c r="AC115" s="8" t="s">
        <v>925</v>
      </c>
      <c r="AD115" s="8" t="s">
        <v>1026</v>
      </c>
      <c r="AE115" s="8" t="s">
        <v>1026</v>
      </c>
      <c r="AF115" s="8" t="s">
        <v>1027</v>
      </c>
      <c r="AG115" s="8" t="s">
        <v>1026</v>
      </c>
      <c r="AH115" s="8" t="s">
        <v>1027</v>
      </c>
      <c r="AI115" s="8" t="s">
        <v>1027</v>
      </c>
    </row>
    <row r="116" spans="24:35" x14ac:dyDescent="0.25">
      <c r="X116" s="8" t="s">
        <v>208</v>
      </c>
      <c r="Y116" s="8" t="s">
        <v>954</v>
      </c>
      <c r="Z116" s="8" t="s">
        <v>942</v>
      </c>
      <c r="AA116" s="5">
        <v>18</v>
      </c>
      <c r="AB116" s="8" t="s">
        <v>1009</v>
      </c>
      <c r="AC116" s="8" t="s">
        <v>1010</v>
      </c>
      <c r="AD116" s="8" t="s">
        <v>1027</v>
      </c>
      <c r="AE116" s="8" t="s">
        <v>1027</v>
      </c>
      <c r="AF116" s="8" t="s">
        <v>1026</v>
      </c>
      <c r="AG116" s="8" t="s">
        <v>1026</v>
      </c>
      <c r="AH116" s="8" t="s">
        <v>1026</v>
      </c>
      <c r="AI116" s="8" t="s">
        <v>1026</v>
      </c>
    </row>
    <row r="117" spans="24:35" x14ac:dyDescent="0.25">
      <c r="X117" s="8" t="s">
        <v>209</v>
      </c>
      <c r="Y117" s="8" t="s">
        <v>975</v>
      </c>
      <c r="Z117" s="8" t="s">
        <v>976</v>
      </c>
      <c r="AA117" s="5">
        <v>61</v>
      </c>
      <c r="AB117" s="8" t="s">
        <v>975</v>
      </c>
      <c r="AC117" s="8" t="s">
        <v>972</v>
      </c>
      <c r="AD117" s="8" t="s">
        <v>1026</v>
      </c>
      <c r="AE117" s="8" t="s">
        <v>1025</v>
      </c>
      <c r="AF117" s="8" t="s">
        <v>1025</v>
      </c>
      <c r="AG117" s="8" t="s">
        <v>1026</v>
      </c>
      <c r="AH117" s="8" t="s">
        <v>1026</v>
      </c>
      <c r="AI117" s="8" t="s">
        <v>1027</v>
      </c>
    </row>
    <row r="118" spans="24:35" x14ac:dyDescent="0.25">
      <c r="X118" s="8" t="s">
        <v>210</v>
      </c>
      <c r="Y118" s="8" t="s">
        <v>940</v>
      </c>
      <c r="Z118" s="8" t="s">
        <v>987</v>
      </c>
      <c r="AA118" s="5">
        <v>56</v>
      </c>
      <c r="AB118" s="8" t="s">
        <v>933</v>
      </c>
      <c r="AC118" s="8" t="s">
        <v>969</v>
      </c>
      <c r="AD118" s="8" t="s">
        <v>1025</v>
      </c>
      <c r="AE118" s="8" t="s">
        <v>1027</v>
      </c>
      <c r="AF118" s="8" t="s">
        <v>1027</v>
      </c>
      <c r="AG118" s="8" t="s">
        <v>1025</v>
      </c>
      <c r="AH118" s="8" t="s">
        <v>1026</v>
      </c>
      <c r="AI118" s="8" t="s">
        <v>1028</v>
      </c>
    </row>
    <row r="119" spans="24:35" x14ac:dyDescent="0.25">
      <c r="X119" s="8" t="s">
        <v>211</v>
      </c>
      <c r="Y119" s="8" t="s">
        <v>975</v>
      </c>
      <c r="Z119" s="8" t="s">
        <v>940</v>
      </c>
      <c r="AA119" s="5">
        <v>25</v>
      </c>
      <c r="AB119" s="8" t="s">
        <v>957</v>
      </c>
      <c r="AC119" s="8" t="s">
        <v>994</v>
      </c>
      <c r="AD119" s="8" t="s">
        <v>1026</v>
      </c>
      <c r="AE119" s="8" t="s">
        <v>1025</v>
      </c>
      <c r="AF119" s="8" t="s">
        <v>1026</v>
      </c>
      <c r="AG119" s="8" t="s">
        <v>1025</v>
      </c>
      <c r="AH119" s="8" t="s">
        <v>1026</v>
      </c>
      <c r="AI119" s="8" t="s">
        <v>1026</v>
      </c>
    </row>
    <row r="120" spans="24:35" x14ac:dyDescent="0.25">
      <c r="X120" s="8" t="s">
        <v>212</v>
      </c>
      <c r="Y120" s="8" t="s">
        <v>928</v>
      </c>
      <c r="Z120" s="8" t="s">
        <v>1011</v>
      </c>
      <c r="AA120" s="5">
        <v>76</v>
      </c>
      <c r="AB120" s="8" t="s">
        <v>1008</v>
      </c>
      <c r="AC120" s="8" t="s">
        <v>955</v>
      </c>
      <c r="AD120" s="8" t="s">
        <v>1028</v>
      </c>
      <c r="AE120" s="8" t="s">
        <v>1025</v>
      </c>
      <c r="AF120" s="8" t="s">
        <v>1025</v>
      </c>
      <c r="AG120" s="8" t="s">
        <v>1025</v>
      </c>
      <c r="AH120" s="8" t="s">
        <v>1028</v>
      </c>
      <c r="AI120" s="8" t="s">
        <v>1028</v>
      </c>
    </row>
    <row r="121" spans="24:35" x14ac:dyDescent="0.25">
      <c r="X121" s="8" t="s">
        <v>213</v>
      </c>
      <c r="Y121" s="8" t="s">
        <v>950</v>
      </c>
      <c r="Z121" s="8" t="s">
        <v>1012</v>
      </c>
      <c r="AA121" s="5">
        <v>78</v>
      </c>
      <c r="AB121" s="8" t="s">
        <v>921</v>
      </c>
      <c r="AC121" s="8" t="s">
        <v>933</v>
      </c>
      <c r="AD121" s="8" t="s">
        <v>1026</v>
      </c>
      <c r="AE121" s="8" t="s">
        <v>1026</v>
      </c>
      <c r="AF121" s="8" t="s">
        <v>1026</v>
      </c>
      <c r="AG121" s="8" t="s">
        <v>1026</v>
      </c>
      <c r="AH121" s="8" t="s">
        <v>1026</v>
      </c>
      <c r="AI121" s="8" t="s">
        <v>1026</v>
      </c>
    </row>
    <row r="122" spans="24:35" x14ac:dyDescent="0.25">
      <c r="X122" s="8" t="s">
        <v>214</v>
      </c>
      <c r="Y122" s="8" t="s">
        <v>991</v>
      </c>
      <c r="Z122" s="8" t="s">
        <v>977</v>
      </c>
      <c r="AA122" s="5">
        <v>27</v>
      </c>
      <c r="AB122" s="8" t="s">
        <v>937</v>
      </c>
      <c r="AC122" s="8" t="s">
        <v>976</v>
      </c>
      <c r="AD122" s="8" t="s">
        <v>1026</v>
      </c>
      <c r="AE122" s="8" t="s">
        <v>1026</v>
      </c>
      <c r="AF122" s="8" t="s">
        <v>1026</v>
      </c>
      <c r="AG122" s="8" t="s">
        <v>1026</v>
      </c>
      <c r="AH122" s="8" t="s">
        <v>1026</v>
      </c>
      <c r="AI122" s="8" t="s">
        <v>1026</v>
      </c>
    </row>
    <row r="123" spans="24:35" x14ac:dyDescent="0.25">
      <c r="X123" s="8" t="s">
        <v>215</v>
      </c>
      <c r="Y123" s="8" t="s">
        <v>936</v>
      </c>
      <c r="Z123" s="8" t="s">
        <v>983</v>
      </c>
      <c r="AA123" s="5">
        <v>68</v>
      </c>
      <c r="AB123" s="8" t="s">
        <v>976</v>
      </c>
      <c r="AC123" s="8" t="s">
        <v>940</v>
      </c>
      <c r="AD123" s="8" t="s">
        <v>1028</v>
      </c>
      <c r="AE123" s="8" t="s">
        <v>1025</v>
      </c>
      <c r="AF123" s="8" t="s">
        <v>1027</v>
      </c>
      <c r="AG123" s="8" t="s">
        <v>1025</v>
      </c>
      <c r="AH123" s="8" t="s">
        <v>1026</v>
      </c>
      <c r="AI123" s="8" t="s">
        <v>1027</v>
      </c>
    </row>
    <row r="124" spans="24:35" x14ac:dyDescent="0.25">
      <c r="X124" s="8" t="s">
        <v>216</v>
      </c>
      <c r="Y124" s="8" t="s">
        <v>950</v>
      </c>
      <c r="Z124" s="8" t="s">
        <v>1013</v>
      </c>
      <c r="AA124" s="5">
        <v>74</v>
      </c>
      <c r="AB124" s="8" t="s">
        <v>958</v>
      </c>
      <c r="AC124" s="8" t="s">
        <v>921</v>
      </c>
      <c r="AD124" s="8" t="s">
        <v>1026</v>
      </c>
      <c r="AE124" s="8" t="s">
        <v>1026</v>
      </c>
      <c r="AF124" s="8" t="s">
        <v>1026</v>
      </c>
      <c r="AG124" s="8" t="s">
        <v>1026</v>
      </c>
      <c r="AH124" s="8" t="s">
        <v>1027</v>
      </c>
      <c r="AI124" s="8" t="s">
        <v>1026</v>
      </c>
    </row>
    <row r="125" spans="24:35" x14ac:dyDescent="0.25">
      <c r="X125" s="8" t="s">
        <v>217</v>
      </c>
      <c r="Y125" s="8" t="s">
        <v>965</v>
      </c>
      <c r="Z125" s="8" t="s">
        <v>1003</v>
      </c>
      <c r="AA125" s="5">
        <v>42</v>
      </c>
      <c r="AB125" s="8" t="s">
        <v>1013</v>
      </c>
      <c r="AC125" s="8" t="s">
        <v>931</v>
      </c>
      <c r="AD125" s="8" t="s">
        <v>1025</v>
      </c>
      <c r="AE125" s="8" t="s">
        <v>1025</v>
      </c>
      <c r="AF125" s="8" t="s">
        <v>1026</v>
      </c>
      <c r="AG125" s="8" t="s">
        <v>1028</v>
      </c>
      <c r="AH125" s="8" t="s">
        <v>1026</v>
      </c>
      <c r="AI125" s="8" t="s">
        <v>1026</v>
      </c>
    </row>
    <row r="126" spans="24:35" x14ac:dyDescent="0.25">
      <c r="X126" s="8" t="s">
        <v>218</v>
      </c>
      <c r="Y126" s="8" t="s">
        <v>985</v>
      </c>
      <c r="Z126" s="8" t="s">
        <v>998</v>
      </c>
      <c r="AA126" s="5">
        <v>69</v>
      </c>
      <c r="AB126" s="8" t="s">
        <v>974</v>
      </c>
      <c r="AC126" s="8" t="s">
        <v>997</v>
      </c>
      <c r="AD126" s="8" t="s">
        <v>1025</v>
      </c>
      <c r="AE126" s="8" t="s">
        <v>1028</v>
      </c>
      <c r="AF126" s="8" t="s">
        <v>1027</v>
      </c>
      <c r="AG126" s="8" t="s">
        <v>1025</v>
      </c>
      <c r="AH126" s="8" t="s">
        <v>1026</v>
      </c>
      <c r="AI126" s="8" t="s">
        <v>1026</v>
      </c>
    </row>
    <row r="127" spans="24:35" x14ac:dyDescent="0.25">
      <c r="X127" s="8" t="s">
        <v>219</v>
      </c>
      <c r="Y127" s="8" t="s">
        <v>983</v>
      </c>
      <c r="Z127" s="8" t="s">
        <v>938</v>
      </c>
      <c r="AA127" s="5">
        <v>51</v>
      </c>
      <c r="AB127" s="8" t="s">
        <v>1008</v>
      </c>
      <c r="AC127" s="8" t="s">
        <v>993</v>
      </c>
      <c r="AD127" s="8" t="s">
        <v>1025</v>
      </c>
      <c r="AE127" s="8" t="s">
        <v>1026</v>
      </c>
      <c r="AF127" s="8" t="s">
        <v>1028</v>
      </c>
      <c r="AG127" s="8" t="s">
        <v>1025</v>
      </c>
      <c r="AH127" s="8" t="s">
        <v>1026</v>
      </c>
      <c r="AI127" s="8" t="s">
        <v>1026</v>
      </c>
    </row>
    <row r="128" spans="24:35" x14ac:dyDescent="0.25">
      <c r="X128" s="8" t="s">
        <v>220</v>
      </c>
      <c r="Y128" s="8" t="s">
        <v>1010</v>
      </c>
      <c r="Z128" s="8" t="s">
        <v>999</v>
      </c>
      <c r="AA128" s="5">
        <v>88</v>
      </c>
      <c r="AB128" s="8" t="s">
        <v>925</v>
      </c>
      <c r="AC128" s="8" t="s">
        <v>955</v>
      </c>
      <c r="AD128" s="8" t="s">
        <v>1026</v>
      </c>
      <c r="AE128" s="8" t="s">
        <v>1026</v>
      </c>
      <c r="AF128" s="8" t="s">
        <v>1026</v>
      </c>
      <c r="AG128" s="8" t="s">
        <v>1026</v>
      </c>
      <c r="AH128" s="8" t="s">
        <v>1027</v>
      </c>
      <c r="AI128" s="8" t="s">
        <v>1026</v>
      </c>
    </row>
    <row r="129" spans="24:35" x14ac:dyDescent="0.25">
      <c r="X129" s="8" t="s">
        <v>221</v>
      </c>
      <c r="Y129" s="8" t="s">
        <v>942</v>
      </c>
      <c r="Z129" s="8" t="s">
        <v>938</v>
      </c>
      <c r="AA129" s="5">
        <v>31</v>
      </c>
      <c r="AB129" s="8" t="s">
        <v>1013</v>
      </c>
      <c r="AC129" s="8" t="s">
        <v>941</v>
      </c>
      <c r="AD129" s="8" t="s">
        <v>1027</v>
      </c>
      <c r="AE129" s="8" t="s">
        <v>1027</v>
      </c>
      <c r="AF129" s="8" t="s">
        <v>1026</v>
      </c>
      <c r="AG129" s="8" t="s">
        <v>1025</v>
      </c>
      <c r="AH129" s="8" t="s">
        <v>1026</v>
      </c>
      <c r="AI129" s="8" t="s">
        <v>1026</v>
      </c>
    </row>
    <row r="130" spans="24:35" x14ac:dyDescent="0.25">
      <c r="X130" s="8" t="s">
        <v>222</v>
      </c>
      <c r="Y130" s="8" t="s">
        <v>939</v>
      </c>
      <c r="Z130" s="8" t="s">
        <v>937</v>
      </c>
      <c r="AA130" s="5">
        <v>59</v>
      </c>
      <c r="AB130" s="8" t="s">
        <v>994</v>
      </c>
      <c r="AC130" s="8" t="s">
        <v>953</v>
      </c>
      <c r="AD130" s="8" t="s">
        <v>1027</v>
      </c>
      <c r="AE130" s="8" t="s">
        <v>1027</v>
      </c>
      <c r="AF130" s="8" t="s">
        <v>1026</v>
      </c>
      <c r="AG130" s="8" t="s">
        <v>1026</v>
      </c>
      <c r="AH130" s="8" t="s">
        <v>1026</v>
      </c>
      <c r="AI130" s="8" t="s">
        <v>1026</v>
      </c>
    </row>
    <row r="131" spans="24:35" x14ac:dyDescent="0.25">
      <c r="X131" s="8" t="s">
        <v>223</v>
      </c>
      <c r="Y131" s="8" t="s">
        <v>967</v>
      </c>
      <c r="Z131" s="8" t="s">
        <v>1010</v>
      </c>
      <c r="AA131" s="5">
        <v>72</v>
      </c>
      <c r="AB131" s="8" t="s">
        <v>938</v>
      </c>
      <c r="AC131" s="8" t="s">
        <v>928</v>
      </c>
      <c r="AD131" s="8" t="s">
        <v>1027</v>
      </c>
      <c r="AE131" s="8" t="s">
        <v>1026</v>
      </c>
      <c r="AF131" s="8" t="s">
        <v>1026</v>
      </c>
      <c r="AG131" s="8" t="s">
        <v>1026</v>
      </c>
      <c r="AH131" s="8" t="s">
        <v>1027</v>
      </c>
      <c r="AI131" s="8" t="s">
        <v>1026</v>
      </c>
    </row>
    <row r="132" spans="24:35" x14ac:dyDescent="0.25">
      <c r="X132" s="8" t="s">
        <v>224</v>
      </c>
      <c r="Y132" s="8" t="s">
        <v>943</v>
      </c>
      <c r="Z132" s="8" t="s">
        <v>981</v>
      </c>
      <c r="AA132" s="5">
        <v>73</v>
      </c>
      <c r="AB132" s="8" t="s">
        <v>921</v>
      </c>
      <c r="AC132" s="8" t="s">
        <v>969</v>
      </c>
      <c r="AD132" s="8" t="s">
        <v>1026</v>
      </c>
      <c r="AE132" s="8" t="s">
        <v>1026</v>
      </c>
      <c r="AF132" s="8" t="s">
        <v>1027</v>
      </c>
      <c r="AG132" s="8" t="s">
        <v>1026</v>
      </c>
      <c r="AH132" s="8" t="s">
        <v>1027</v>
      </c>
      <c r="AI132" s="8" t="s">
        <v>1026</v>
      </c>
    </row>
    <row r="133" spans="24:35" x14ac:dyDescent="0.25">
      <c r="X133" s="8" t="s">
        <v>225</v>
      </c>
      <c r="Y133" s="8" t="s">
        <v>960</v>
      </c>
      <c r="Z133" s="8" t="s">
        <v>965</v>
      </c>
      <c r="AA133" s="5">
        <v>38</v>
      </c>
      <c r="AB133" s="8" t="s">
        <v>945</v>
      </c>
      <c r="AC133" s="8" t="s">
        <v>997</v>
      </c>
      <c r="AD133" s="8" t="s">
        <v>1027</v>
      </c>
      <c r="AE133" s="8" t="s">
        <v>1025</v>
      </c>
      <c r="AF133" s="8" t="s">
        <v>1026</v>
      </c>
      <c r="AG133" s="8" t="s">
        <v>1025</v>
      </c>
      <c r="AH133" s="8" t="s">
        <v>1026</v>
      </c>
      <c r="AI133" s="8" t="s">
        <v>1026</v>
      </c>
    </row>
    <row r="134" spans="24:35" x14ac:dyDescent="0.25">
      <c r="X134" s="8" t="s">
        <v>226</v>
      </c>
      <c r="Y134" s="8" t="s">
        <v>941</v>
      </c>
      <c r="Z134" s="8" t="s">
        <v>967</v>
      </c>
      <c r="AA134" s="5">
        <v>65</v>
      </c>
      <c r="AB134" s="8" t="s">
        <v>967</v>
      </c>
      <c r="AC134" s="8" t="s">
        <v>933</v>
      </c>
      <c r="AD134" s="8" t="s">
        <v>1027</v>
      </c>
      <c r="AE134" s="8" t="s">
        <v>1027</v>
      </c>
      <c r="AF134" s="8" t="s">
        <v>1026</v>
      </c>
      <c r="AG134" s="8" t="s">
        <v>1026</v>
      </c>
      <c r="AH134" s="8" t="s">
        <v>1027</v>
      </c>
      <c r="AI134" s="8" t="s">
        <v>1026</v>
      </c>
    </row>
    <row r="135" spans="24:35" x14ac:dyDescent="0.25">
      <c r="X135" s="8" t="s">
        <v>227</v>
      </c>
      <c r="Y135" s="8" t="s">
        <v>959</v>
      </c>
      <c r="Z135" s="8" t="s">
        <v>976</v>
      </c>
      <c r="AA135" s="5">
        <v>21</v>
      </c>
      <c r="AB135" s="8" t="s">
        <v>968</v>
      </c>
      <c r="AC135" s="8" t="s">
        <v>993</v>
      </c>
      <c r="AD135" s="8" t="s">
        <v>1026</v>
      </c>
      <c r="AE135" s="8" t="s">
        <v>1027</v>
      </c>
      <c r="AF135" s="8" t="s">
        <v>1026</v>
      </c>
      <c r="AG135" s="8" t="s">
        <v>1027</v>
      </c>
      <c r="AH135" s="8" t="s">
        <v>1026</v>
      </c>
      <c r="AI135" s="8" t="s">
        <v>1026</v>
      </c>
    </row>
    <row r="136" spans="24:35" x14ac:dyDescent="0.25">
      <c r="X136" s="8" t="s">
        <v>228</v>
      </c>
      <c r="Y136" s="8" t="s">
        <v>966</v>
      </c>
      <c r="Z136" s="8" t="s">
        <v>947</v>
      </c>
      <c r="AA136" s="5">
        <v>67</v>
      </c>
      <c r="AB136" s="8" t="s">
        <v>978</v>
      </c>
      <c r="AC136" s="8" t="s">
        <v>973</v>
      </c>
      <c r="AD136" s="8" t="s">
        <v>1026</v>
      </c>
      <c r="AE136" s="8" t="s">
        <v>1026</v>
      </c>
      <c r="AF136" s="8" t="s">
        <v>1027</v>
      </c>
      <c r="AG136" s="8" t="s">
        <v>1026</v>
      </c>
      <c r="AH136" s="8" t="s">
        <v>1027</v>
      </c>
      <c r="AI136" s="8" t="s">
        <v>1026</v>
      </c>
    </row>
    <row r="137" spans="24:35" x14ac:dyDescent="0.25">
      <c r="X137" s="8" t="s">
        <v>229</v>
      </c>
      <c r="Y137" s="8" t="s">
        <v>975</v>
      </c>
      <c r="Z137" s="8" t="s">
        <v>967</v>
      </c>
      <c r="AA137" s="5">
        <v>41</v>
      </c>
      <c r="AB137" s="8" t="s">
        <v>945</v>
      </c>
      <c r="AC137" s="8" t="s">
        <v>955</v>
      </c>
      <c r="AD137" s="8" t="s">
        <v>1026</v>
      </c>
      <c r="AE137" s="8" t="s">
        <v>1026</v>
      </c>
      <c r="AF137" s="8" t="s">
        <v>1026</v>
      </c>
      <c r="AG137" s="8" t="s">
        <v>1025</v>
      </c>
      <c r="AH137" s="8" t="s">
        <v>1026</v>
      </c>
      <c r="AI137" s="8" t="s">
        <v>1026</v>
      </c>
    </row>
    <row r="138" spans="24:35" x14ac:dyDescent="0.25">
      <c r="X138" s="8" t="s">
        <v>230</v>
      </c>
      <c r="Y138" s="8" t="s">
        <v>961</v>
      </c>
      <c r="Z138" s="8" t="s">
        <v>1014</v>
      </c>
      <c r="AA138" s="5">
        <v>90</v>
      </c>
      <c r="AB138" s="8" t="s">
        <v>942</v>
      </c>
      <c r="AC138" s="8" t="s">
        <v>971</v>
      </c>
      <c r="AD138" s="8" t="s">
        <v>1028</v>
      </c>
      <c r="AE138" s="8" t="s">
        <v>1027</v>
      </c>
      <c r="AF138" s="8" t="s">
        <v>1025</v>
      </c>
      <c r="AG138" s="8" t="s">
        <v>1028</v>
      </c>
      <c r="AH138" s="8" t="s">
        <v>1026</v>
      </c>
      <c r="AI138" s="8" t="s">
        <v>1026</v>
      </c>
    </row>
    <row r="139" spans="24:35" x14ac:dyDescent="0.25">
      <c r="X139" s="8" t="s">
        <v>231</v>
      </c>
      <c r="Y139" s="8" t="s">
        <v>1016</v>
      </c>
      <c r="Z139" s="8" t="s">
        <v>931</v>
      </c>
      <c r="AA139" s="5">
        <v>61</v>
      </c>
      <c r="AB139" s="8" t="s">
        <v>953</v>
      </c>
      <c r="AC139" s="8" t="s">
        <v>934</v>
      </c>
      <c r="AD139" s="8" t="s">
        <v>1026</v>
      </c>
      <c r="AE139" s="8" t="s">
        <v>1026</v>
      </c>
      <c r="AF139" s="8" t="s">
        <v>1027</v>
      </c>
      <c r="AG139" s="8" t="s">
        <v>1026</v>
      </c>
      <c r="AH139" s="8" t="s">
        <v>1026</v>
      </c>
      <c r="AI139" s="8" t="s">
        <v>1026</v>
      </c>
    </row>
    <row r="140" spans="24:35" x14ac:dyDescent="0.25">
      <c r="X140" s="8" t="s">
        <v>232</v>
      </c>
      <c r="Y140" s="8" t="s">
        <v>954</v>
      </c>
      <c r="Z140" s="8" t="s">
        <v>956</v>
      </c>
      <c r="AA140" s="5">
        <v>38</v>
      </c>
      <c r="AB140" s="8" t="s">
        <v>947</v>
      </c>
      <c r="AC140" s="8" t="s">
        <v>955</v>
      </c>
      <c r="AD140" s="8" t="s">
        <v>1025</v>
      </c>
      <c r="AE140" s="8" t="s">
        <v>1026</v>
      </c>
      <c r="AF140" s="8" t="s">
        <v>1027</v>
      </c>
      <c r="AG140" s="8" t="s">
        <v>1026</v>
      </c>
      <c r="AH140" s="8" t="s">
        <v>1026</v>
      </c>
      <c r="AI140" s="8" t="s">
        <v>1027</v>
      </c>
    </row>
    <row r="141" spans="24:35" x14ac:dyDescent="0.25">
      <c r="X141" s="8" t="s">
        <v>233</v>
      </c>
      <c r="Y141" s="8" t="s">
        <v>949</v>
      </c>
      <c r="Z141" s="8" t="s">
        <v>926</v>
      </c>
      <c r="AA141" s="5">
        <v>23</v>
      </c>
      <c r="AB141" s="8" t="s">
        <v>980</v>
      </c>
      <c r="AC141" s="8" t="s">
        <v>993</v>
      </c>
      <c r="AD141" s="8" t="s">
        <v>1027</v>
      </c>
      <c r="AE141" s="8" t="s">
        <v>1026</v>
      </c>
      <c r="AF141" s="8" t="s">
        <v>1027</v>
      </c>
      <c r="AG141" s="8" t="s">
        <v>1027</v>
      </c>
      <c r="AH141" s="8" t="s">
        <v>1026</v>
      </c>
      <c r="AI141" s="8" t="s">
        <v>1026</v>
      </c>
    </row>
    <row r="142" spans="24:35" x14ac:dyDescent="0.25">
      <c r="X142" s="8" t="s">
        <v>234</v>
      </c>
      <c r="Y142" s="8" t="s">
        <v>994</v>
      </c>
      <c r="Z142" s="8" t="s">
        <v>997</v>
      </c>
      <c r="AA142" s="5">
        <v>69</v>
      </c>
      <c r="AB142" s="8" t="s">
        <v>960</v>
      </c>
      <c r="AC142" s="8" t="s">
        <v>925</v>
      </c>
      <c r="AD142" s="8" t="s">
        <v>1027</v>
      </c>
      <c r="AE142" s="8" t="s">
        <v>1026</v>
      </c>
      <c r="AF142" s="8" t="s">
        <v>1026</v>
      </c>
      <c r="AG142" s="8" t="s">
        <v>1027</v>
      </c>
      <c r="AH142" s="8" t="s">
        <v>1026</v>
      </c>
      <c r="AI142" s="8" t="s">
        <v>1026</v>
      </c>
    </row>
    <row r="143" spans="24:35" x14ac:dyDescent="0.25">
      <c r="X143" s="8" t="s">
        <v>235</v>
      </c>
      <c r="Y143" s="8" t="s">
        <v>933</v>
      </c>
      <c r="Z143" s="8" t="s">
        <v>921</v>
      </c>
      <c r="AA143" s="5">
        <v>15</v>
      </c>
      <c r="AB143" s="8" t="s">
        <v>957</v>
      </c>
      <c r="AC143" s="8" t="s">
        <v>974</v>
      </c>
      <c r="AD143" s="8" t="s">
        <v>1027</v>
      </c>
      <c r="AE143" s="8" t="s">
        <v>1026</v>
      </c>
      <c r="AF143" s="8" t="s">
        <v>1026</v>
      </c>
      <c r="AG143" s="8" t="s">
        <v>1027</v>
      </c>
      <c r="AH143" s="8" t="s">
        <v>1026</v>
      </c>
      <c r="AI143" s="8" t="s">
        <v>1026</v>
      </c>
    </row>
    <row r="144" spans="24:35" x14ac:dyDescent="0.25">
      <c r="X144" s="8" t="s">
        <v>236</v>
      </c>
      <c r="Y144" s="8" t="s">
        <v>923</v>
      </c>
      <c r="Z144" s="8" t="s">
        <v>930</v>
      </c>
      <c r="AA144" s="5">
        <v>64</v>
      </c>
      <c r="AB144" s="8" t="s">
        <v>954</v>
      </c>
      <c r="AC144" s="8" t="s">
        <v>978</v>
      </c>
      <c r="AD144" s="8" t="s">
        <v>1026</v>
      </c>
      <c r="AE144" s="8" t="s">
        <v>1027</v>
      </c>
      <c r="AF144" s="8" t="s">
        <v>1025</v>
      </c>
      <c r="AG144" s="8" t="s">
        <v>1026</v>
      </c>
      <c r="AH144" s="8" t="s">
        <v>1026</v>
      </c>
      <c r="AI144" s="8" t="s">
        <v>1027</v>
      </c>
    </row>
    <row r="145" spans="24:35" x14ac:dyDescent="0.25">
      <c r="X145" s="8" t="s">
        <v>237</v>
      </c>
      <c r="Y145" s="8" t="s">
        <v>977</v>
      </c>
      <c r="Z145" s="8" t="s">
        <v>1004</v>
      </c>
      <c r="AA145" s="5">
        <v>67</v>
      </c>
      <c r="AB145" s="8" t="s">
        <v>965</v>
      </c>
      <c r="AC145" s="8" t="s">
        <v>969</v>
      </c>
      <c r="AD145" s="8" t="s">
        <v>1027</v>
      </c>
      <c r="AE145" s="8" t="s">
        <v>1026</v>
      </c>
      <c r="AF145" s="8" t="s">
        <v>1026</v>
      </c>
      <c r="AG145" s="8" t="s">
        <v>1026</v>
      </c>
      <c r="AH145" s="8" t="s">
        <v>1026</v>
      </c>
      <c r="AI145" s="8" t="s">
        <v>1026</v>
      </c>
    </row>
    <row r="146" spans="24:35" x14ac:dyDescent="0.25">
      <c r="X146" s="8" t="s">
        <v>238</v>
      </c>
      <c r="Y146" s="8" t="s">
        <v>953</v>
      </c>
      <c r="Z146" s="8" t="s">
        <v>1015</v>
      </c>
      <c r="AA146" s="5">
        <v>36</v>
      </c>
      <c r="AB146" s="8" t="s">
        <v>950</v>
      </c>
      <c r="AC146" s="8" t="s">
        <v>949</v>
      </c>
      <c r="AD146" s="8" t="s">
        <v>1025</v>
      </c>
      <c r="AE146" s="8" t="s">
        <v>1027</v>
      </c>
      <c r="AF146" s="8" t="s">
        <v>1026</v>
      </c>
      <c r="AG146" s="8" t="s">
        <v>1027</v>
      </c>
      <c r="AH146" s="8" t="s">
        <v>1026</v>
      </c>
      <c r="AI146" s="8" t="s">
        <v>1026</v>
      </c>
    </row>
    <row r="147" spans="24:35" x14ac:dyDescent="0.25">
      <c r="X147" s="8" t="s">
        <v>239</v>
      </c>
      <c r="Y147" s="8" t="s">
        <v>979</v>
      </c>
      <c r="Z147" s="8" t="s">
        <v>990</v>
      </c>
      <c r="AA147" s="5">
        <v>80</v>
      </c>
      <c r="AB147" s="8" t="s">
        <v>978</v>
      </c>
      <c r="AC147" s="8" t="s">
        <v>1010</v>
      </c>
      <c r="AD147" s="8" t="s">
        <v>1026</v>
      </c>
      <c r="AE147" s="8" t="s">
        <v>1026</v>
      </c>
      <c r="AF147" s="8" t="s">
        <v>1026</v>
      </c>
      <c r="AG147" s="8" t="s">
        <v>1027</v>
      </c>
      <c r="AH147" s="8" t="s">
        <v>1026</v>
      </c>
      <c r="AI147" s="8" t="s">
        <v>1026</v>
      </c>
    </row>
    <row r="148" spans="24:35" x14ac:dyDescent="0.25">
      <c r="X148" s="8" t="s">
        <v>240</v>
      </c>
      <c r="Y148" s="8" t="s">
        <v>938</v>
      </c>
      <c r="Z148" s="8" t="s">
        <v>952</v>
      </c>
      <c r="AA148" s="5">
        <v>51</v>
      </c>
      <c r="AB148" s="8" t="s">
        <v>934</v>
      </c>
      <c r="AC148" s="8" t="s">
        <v>973</v>
      </c>
      <c r="AD148" s="8" t="s">
        <v>1025</v>
      </c>
      <c r="AE148" s="8" t="s">
        <v>1025</v>
      </c>
      <c r="AF148" s="8" t="s">
        <v>1026</v>
      </c>
      <c r="AG148" s="8" t="s">
        <v>1025</v>
      </c>
      <c r="AH148" s="8" t="s">
        <v>1026</v>
      </c>
      <c r="AI148" s="8" t="s">
        <v>1026</v>
      </c>
    </row>
    <row r="149" spans="24:35" x14ac:dyDescent="0.25">
      <c r="X149" s="8" t="s">
        <v>241</v>
      </c>
      <c r="Y149" s="8" t="s">
        <v>951</v>
      </c>
      <c r="Z149" s="8" t="s">
        <v>959</v>
      </c>
      <c r="AA149" s="5">
        <v>64</v>
      </c>
      <c r="AB149" s="8" t="s">
        <v>969</v>
      </c>
      <c r="AC149" s="8" t="s">
        <v>976</v>
      </c>
      <c r="AD149" s="8" t="s">
        <v>1027</v>
      </c>
      <c r="AE149" s="8" t="s">
        <v>1026</v>
      </c>
      <c r="AF149" s="8" t="s">
        <v>1026</v>
      </c>
      <c r="AG149" s="8" t="s">
        <v>1026</v>
      </c>
      <c r="AH149" s="8" t="s">
        <v>1026</v>
      </c>
      <c r="AI149" s="8" t="s">
        <v>1026</v>
      </c>
    </row>
    <row r="150" spans="24:35" x14ac:dyDescent="0.25">
      <c r="X150" s="8" t="s">
        <v>242</v>
      </c>
      <c r="Y150" s="8" t="s">
        <v>954</v>
      </c>
      <c r="Z150" s="8" t="s">
        <v>940</v>
      </c>
      <c r="AA150" s="5">
        <v>19</v>
      </c>
      <c r="AB150" s="8" t="s">
        <v>924</v>
      </c>
      <c r="AC150" s="8" t="s">
        <v>992</v>
      </c>
      <c r="AD150" s="8" t="s">
        <v>1027</v>
      </c>
      <c r="AE150" s="8" t="s">
        <v>1025</v>
      </c>
      <c r="AF150" s="8" t="s">
        <v>1026</v>
      </c>
      <c r="AG150" s="8" t="s">
        <v>1027</v>
      </c>
      <c r="AH150" s="8" t="s">
        <v>1026</v>
      </c>
      <c r="AI150" s="8" t="s">
        <v>1026</v>
      </c>
    </row>
    <row r="151" spans="24:35" x14ac:dyDescent="0.25">
      <c r="X151" s="8" t="s">
        <v>243</v>
      </c>
      <c r="Y151" s="8" t="s">
        <v>967</v>
      </c>
      <c r="Z151" s="8" t="s">
        <v>969</v>
      </c>
      <c r="AA151" s="5">
        <v>13</v>
      </c>
      <c r="AB151" s="8" t="s">
        <v>981</v>
      </c>
      <c r="AC151" s="8" t="s">
        <v>989</v>
      </c>
      <c r="AD151" s="8" t="s">
        <v>1026</v>
      </c>
      <c r="AE151" s="8" t="s">
        <v>1027</v>
      </c>
      <c r="AF151" s="8" t="s">
        <v>1026</v>
      </c>
      <c r="AG151" s="8" t="s">
        <v>1026</v>
      </c>
      <c r="AH151" s="8" t="s">
        <v>1026</v>
      </c>
      <c r="AI151" s="8" t="s">
        <v>1026</v>
      </c>
    </row>
    <row r="152" spans="24:35" x14ac:dyDescent="0.25">
      <c r="X152" s="8" t="s">
        <v>244</v>
      </c>
      <c r="Y152" s="8" t="s">
        <v>948</v>
      </c>
      <c r="Z152" s="8" t="s">
        <v>995</v>
      </c>
      <c r="AA152" s="5">
        <v>74</v>
      </c>
      <c r="AB152" s="8" t="s">
        <v>958</v>
      </c>
      <c r="AC152" s="8" t="s">
        <v>960</v>
      </c>
      <c r="AD152" s="8" t="s">
        <v>1026</v>
      </c>
      <c r="AE152" s="8" t="s">
        <v>1026</v>
      </c>
      <c r="AF152" s="8" t="s">
        <v>1027</v>
      </c>
      <c r="AG152" s="8" t="s">
        <v>1026</v>
      </c>
      <c r="AH152" s="8" t="s">
        <v>1025</v>
      </c>
      <c r="AI152" s="8" t="s">
        <v>1025</v>
      </c>
    </row>
    <row r="153" spans="24:35" x14ac:dyDescent="0.25">
      <c r="X153" s="8" t="s">
        <v>245</v>
      </c>
      <c r="Y153" s="8" t="s">
        <v>1016</v>
      </c>
      <c r="Z153" s="8" t="s">
        <v>943</v>
      </c>
      <c r="AA153" s="5">
        <v>86</v>
      </c>
      <c r="AB153" s="8" t="s">
        <v>985</v>
      </c>
      <c r="AC153" s="8" t="s">
        <v>943</v>
      </c>
      <c r="AD153" s="8" t="s">
        <v>1026</v>
      </c>
      <c r="AE153" s="8" t="s">
        <v>1026</v>
      </c>
      <c r="AF153" s="8" t="s">
        <v>1027</v>
      </c>
      <c r="AG153" s="8" t="s">
        <v>1026</v>
      </c>
      <c r="AH153" s="8" t="s">
        <v>1027</v>
      </c>
      <c r="AI153" s="8" t="s">
        <v>1027</v>
      </c>
    </row>
    <row r="154" spans="24:35" x14ac:dyDescent="0.25">
      <c r="X154" s="8" t="s">
        <v>246</v>
      </c>
      <c r="Y154" s="8" t="s">
        <v>948</v>
      </c>
      <c r="Z154" s="8" t="s">
        <v>971</v>
      </c>
      <c r="AA154" s="5">
        <v>41</v>
      </c>
      <c r="AB154" s="8" t="s">
        <v>957</v>
      </c>
      <c r="AC154" s="8" t="s">
        <v>1009</v>
      </c>
      <c r="AD154" s="8" t="s">
        <v>1026</v>
      </c>
      <c r="AE154" s="8" t="s">
        <v>1025</v>
      </c>
      <c r="AF154" s="8" t="s">
        <v>1026</v>
      </c>
      <c r="AG154" s="8" t="s">
        <v>1027</v>
      </c>
      <c r="AH154" s="8" t="s">
        <v>1026</v>
      </c>
      <c r="AI154" s="8" t="s">
        <v>1026</v>
      </c>
    </row>
    <row r="155" spans="24:35" x14ac:dyDescent="0.25">
      <c r="X155" s="8" t="s">
        <v>247</v>
      </c>
      <c r="Y155" s="8" t="s">
        <v>988</v>
      </c>
      <c r="Z155" s="8" t="s">
        <v>1005</v>
      </c>
      <c r="AA155" s="5">
        <v>63</v>
      </c>
      <c r="AB155" s="8" t="s">
        <v>972</v>
      </c>
      <c r="AC155" s="8" t="s">
        <v>948</v>
      </c>
      <c r="AD155" s="8" t="s">
        <v>1026</v>
      </c>
      <c r="AE155" s="8" t="s">
        <v>1026</v>
      </c>
      <c r="AF155" s="8" t="s">
        <v>1026</v>
      </c>
      <c r="AG155" s="8" t="s">
        <v>1026</v>
      </c>
      <c r="AH155" s="8" t="s">
        <v>1026</v>
      </c>
      <c r="AI155" s="8" t="s">
        <v>1026</v>
      </c>
    </row>
    <row r="156" spans="24:35" x14ac:dyDescent="0.25">
      <c r="X156" s="8" t="s">
        <v>248</v>
      </c>
      <c r="Y156" s="8" t="s">
        <v>965</v>
      </c>
      <c r="Z156" s="8" t="s">
        <v>952</v>
      </c>
      <c r="AA156" s="5">
        <v>69</v>
      </c>
      <c r="AB156" s="8" t="s">
        <v>942</v>
      </c>
      <c r="AC156" s="8" t="s">
        <v>965</v>
      </c>
      <c r="AD156" s="8" t="s">
        <v>1027</v>
      </c>
      <c r="AE156" s="8" t="s">
        <v>1025</v>
      </c>
      <c r="AF156" s="8" t="s">
        <v>1028</v>
      </c>
      <c r="AG156" s="8" t="s">
        <v>1026</v>
      </c>
      <c r="AH156" s="8" t="s">
        <v>1027</v>
      </c>
      <c r="AI156" s="8" t="s">
        <v>1026</v>
      </c>
    </row>
    <row r="157" spans="24:35" x14ac:dyDescent="0.25">
      <c r="X157" s="8" t="s">
        <v>249</v>
      </c>
      <c r="Y157" s="8" t="s">
        <v>926</v>
      </c>
      <c r="Z157" s="8" t="s">
        <v>921</v>
      </c>
      <c r="AA157" s="5">
        <v>66</v>
      </c>
      <c r="AB157" s="8" t="s">
        <v>953</v>
      </c>
      <c r="AC157" s="8" t="s">
        <v>939</v>
      </c>
      <c r="AD157" s="8" t="s">
        <v>1026</v>
      </c>
      <c r="AE157" s="8" t="s">
        <v>1027</v>
      </c>
      <c r="AF157" s="8" t="s">
        <v>1026</v>
      </c>
      <c r="AG157" s="8" t="s">
        <v>1027</v>
      </c>
      <c r="AH157" s="8" t="s">
        <v>1025</v>
      </c>
      <c r="AI157" s="8" t="s">
        <v>1026</v>
      </c>
    </row>
    <row r="158" spans="24:35" x14ac:dyDescent="0.25">
      <c r="X158" s="8" t="s">
        <v>250</v>
      </c>
      <c r="Y158" s="8" t="s">
        <v>969</v>
      </c>
      <c r="Z158" s="8" t="s">
        <v>958</v>
      </c>
      <c r="AA158" s="5">
        <v>40</v>
      </c>
      <c r="AB158" s="8" t="s">
        <v>933</v>
      </c>
      <c r="AC158" s="8" t="s">
        <v>967</v>
      </c>
      <c r="AD158" s="8" t="s">
        <v>1026</v>
      </c>
      <c r="AE158" s="8" t="s">
        <v>1027</v>
      </c>
      <c r="AF158" s="8" t="s">
        <v>1026</v>
      </c>
      <c r="AG158" s="8" t="s">
        <v>1025</v>
      </c>
      <c r="AH158" s="8" t="s">
        <v>1027</v>
      </c>
      <c r="AI158" s="8" t="s">
        <v>1026</v>
      </c>
    </row>
    <row r="159" spans="24:35" x14ac:dyDescent="0.25">
      <c r="X159" s="8" t="s">
        <v>251</v>
      </c>
      <c r="Y159" s="8" t="s">
        <v>991</v>
      </c>
      <c r="Z159" s="8" t="s">
        <v>1000</v>
      </c>
      <c r="AA159" s="5">
        <v>70</v>
      </c>
      <c r="AB159" s="8" t="s">
        <v>929</v>
      </c>
      <c r="AC159" s="8" t="s">
        <v>960</v>
      </c>
      <c r="AD159" s="8" t="s">
        <v>1026</v>
      </c>
      <c r="AE159" s="8" t="s">
        <v>1026</v>
      </c>
      <c r="AF159" s="8" t="s">
        <v>1026</v>
      </c>
      <c r="AG159" s="8" t="s">
        <v>1026</v>
      </c>
      <c r="AH159" s="8" t="s">
        <v>1026</v>
      </c>
      <c r="AI159" s="8" t="s">
        <v>1026</v>
      </c>
    </row>
    <row r="160" spans="24:35" x14ac:dyDescent="0.25">
      <c r="X160" s="8" t="s">
        <v>252</v>
      </c>
      <c r="Y160" s="8" t="s">
        <v>960</v>
      </c>
      <c r="Z160" s="8" t="s">
        <v>956</v>
      </c>
      <c r="AA160" s="5">
        <v>73</v>
      </c>
      <c r="AB160" s="8" t="s">
        <v>972</v>
      </c>
      <c r="AC160" s="8" t="s">
        <v>925</v>
      </c>
      <c r="AD160" s="8" t="s">
        <v>1026</v>
      </c>
      <c r="AE160" s="8" t="s">
        <v>1027</v>
      </c>
      <c r="AF160" s="8" t="s">
        <v>1027</v>
      </c>
      <c r="AG160" s="8" t="s">
        <v>1025</v>
      </c>
      <c r="AH160" s="8" t="s">
        <v>1025</v>
      </c>
      <c r="AI160" s="8" t="s">
        <v>1026</v>
      </c>
    </row>
    <row r="161" spans="24:35" x14ac:dyDescent="0.25">
      <c r="X161" s="8" t="s">
        <v>253</v>
      </c>
      <c r="Y161" s="8" t="s">
        <v>966</v>
      </c>
      <c r="Z161" s="8" t="s">
        <v>973</v>
      </c>
      <c r="AA161" s="5">
        <v>39</v>
      </c>
      <c r="AB161" s="8" t="s">
        <v>979</v>
      </c>
      <c r="AC161" s="8" t="s">
        <v>1009</v>
      </c>
      <c r="AD161" s="8" t="s">
        <v>1027</v>
      </c>
      <c r="AE161" s="8" t="s">
        <v>1027</v>
      </c>
      <c r="AF161" s="8" t="s">
        <v>1026</v>
      </c>
      <c r="AG161" s="8" t="s">
        <v>1026</v>
      </c>
      <c r="AH161" s="8" t="s">
        <v>1026</v>
      </c>
      <c r="AI161" s="8" t="s">
        <v>1026</v>
      </c>
    </row>
    <row r="162" spans="24:35" x14ac:dyDescent="0.25">
      <c r="X162" s="8" t="s">
        <v>254</v>
      </c>
      <c r="Y162" s="8" t="s">
        <v>942</v>
      </c>
      <c r="Z162" s="8" t="s">
        <v>926</v>
      </c>
      <c r="AA162" s="5">
        <v>23</v>
      </c>
      <c r="AB162" s="8" t="s">
        <v>990</v>
      </c>
      <c r="AC162" s="8" t="s">
        <v>947</v>
      </c>
      <c r="AD162" s="8" t="s">
        <v>1027</v>
      </c>
      <c r="AE162" s="8" t="s">
        <v>1025</v>
      </c>
      <c r="AF162" s="8" t="s">
        <v>1026</v>
      </c>
      <c r="AG162" s="8" t="s">
        <v>1026</v>
      </c>
      <c r="AH162" s="8" t="s">
        <v>1026</v>
      </c>
      <c r="AI162" s="8" t="s">
        <v>1027</v>
      </c>
    </row>
    <row r="163" spans="24:35" x14ac:dyDescent="0.25">
      <c r="X163" s="8" t="s">
        <v>1023</v>
      </c>
      <c r="Y163" s="8" t="s">
        <v>948</v>
      </c>
      <c r="Z163" s="8" t="s">
        <v>938</v>
      </c>
      <c r="AA163" s="5">
        <v>44</v>
      </c>
      <c r="AB163" s="8" t="s">
        <v>950</v>
      </c>
      <c r="AC163" s="8" t="s">
        <v>981</v>
      </c>
      <c r="AD163" s="8" t="s">
        <v>1025</v>
      </c>
      <c r="AE163" s="8" t="s">
        <v>1025</v>
      </c>
      <c r="AF163" s="8" t="s">
        <v>1027</v>
      </c>
      <c r="AG163" s="8" t="s">
        <v>1026</v>
      </c>
      <c r="AH163" s="8" t="s">
        <v>1026</v>
      </c>
      <c r="AI163" s="8" t="s">
        <v>1027</v>
      </c>
    </row>
    <row r="164" spans="24:35" x14ac:dyDescent="0.25">
      <c r="X164" s="8" t="s">
        <v>255</v>
      </c>
      <c r="Y164" s="8" t="s">
        <v>952</v>
      </c>
      <c r="Z164" s="8" t="s">
        <v>925</v>
      </c>
      <c r="AA164" s="5">
        <v>68</v>
      </c>
      <c r="AB164" s="8" t="s">
        <v>926</v>
      </c>
      <c r="AC164" s="8" t="s">
        <v>936</v>
      </c>
      <c r="AD164" s="8" t="s">
        <v>1025</v>
      </c>
      <c r="AE164" s="8" t="s">
        <v>1027</v>
      </c>
      <c r="AF164" s="8" t="s">
        <v>1028</v>
      </c>
      <c r="AG164" s="8" t="s">
        <v>1027</v>
      </c>
      <c r="AH164" s="8" t="s">
        <v>1027</v>
      </c>
      <c r="AI164" s="8" t="s">
        <v>1026</v>
      </c>
    </row>
    <row r="165" spans="24:35" x14ac:dyDescent="0.25">
      <c r="X165" s="8" t="s">
        <v>256</v>
      </c>
      <c r="Y165" s="8" t="s">
        <v>965</v>
      </c>
      <c r="Z165" s="8" t="s">
        <v>952</v>
      </c>
      <c r="AA165" s="5">
        <v>65</v>
      </c>
      <c r="AB165" s="8" t="s">
        <v>953</v>
      </c>
      <c r="AC165" s="8" t="s">
        <v>985</v>
      </c>
      <c r="AD165" s="8" t="s">
        <v>1027</v>
      </c>
      <c r="AE165" s="8" t="s">
        <v>1025</v>
      </c>
      <c r="AF165" s="8" t="s">
        <v>1028</v>
      </c>
      <c r="AG165" s="8" t="s">
        <v>1026</v>
      </c>
      <c r="AH165" s="8" t="s">
        <v>1027</v>
      </c>
      <c r="AI165" s="8" t="s">
        <v>1028</v>
      </c>
    </row>
    <row r="166" spans="24:35" x14ac:dyDescent="0.25">
      <c r="X166" s="8" t="s">
        <v>257</v>
      </c>
      <c r="Y166" s="8" t="s">
        <v>921</v>
      </c>
      <c r="Z166" s="8" t="s">
        <v>978</v>
      </c>
      <c r="AA166" s="5">
        <v>48</v>
      </c>
      <c r="AB166" s="8" t="s">
        <v>949</v>
      </c>
      <c r="AC166" s="8" t="s">
        <v>930</v>
      </c>
      <c r="AD166" s="8" t="s">
        <v>1026</v>
      </c>
      <c r="AE166" s="8" t="s">
        <v>1025</v>
      </c>
      <c r="AF166" s="8" t="s">
        <v>1025</v>
      </c>
      <c r="AG166" s="8" t="s">
        <v>1026</v>
      </c>
      <c r="AH166" s="8" t="s">
        <v>1027</v>
      </c>
      <c r="AI166" s="8" t="s">
        <v>1026</v>
      </c>
    </row>
    <row r="167" spans="24:35" x14ac:dyDescent="0.25">
      <c r="X167" s="8" t="s">
        <v>258</v>
      </c>
      <c r="Y167" s="8" t="s">
        <v>933</v>
      </c>
      <c r="Z167" s="8" t="s">
        <v>1001</v>
      </c>
      <c r="AA167" s="5">
        <v>88</v>
      </c>
      <c r="AB167" s="8" t="s">
        <v>1007</v>
      </c>
      <c r="AC167" s="8" t="s">
        <v>965</v>
      </c>
      <c r="AD167" s="8" t="s">
        <v>1026</v>
      </c>
      <c r="AE167" s="8" t="s">
        <v>1026</v>
      </c>
      <c r="AF167" s="8" t="s">
        <v>1028</v>
      </c>
      <c r="AG167" s="8" t="s">
        <v>1026</v>
      </c>
      <c r="AH167" s="8" t="s">
        <v>1028</v>
      </c>
      <c r="AI167" s="8" t="s">
        <v>1025</v>
      </c>
    </row>
    <row r="168" spans="24:35" x14ac:dyDescent="0.25">
      <c r="X168" s="8" t="s">
        <v>259</v>
      </c>
      <c r="Y168" s="8" t="s">
        <v>972</v>
      </c>
      <c r="Z168" s="8" t="s">
        <v>949</v>
      </c>
      <c r="AA168" s="5">
        <v>82</v>
      </c>
      <c r="AB168" s="8" t="s">
        <v>965</v>
      </c>
      <c r="AC168" s="8" t="s">
        <v>938</v>
      </c>
      <c r="AD168" s="8" t="s">
        <v>1027</v>
      </c>
      <c r="AE168" s="8" t="s">
        <v>1027</v>
      </c>
      <c r="AF168" s="8" t="s">
        <v>1025</v>
      </c>
      <c r="AG168" s="8" t="s">
        <v>1026</v>
      </c>
      <c r="AH168" s="8" t="s">
        <v>1026</v>
      </c>
      <c r="AI168" s="8" t="s">
        <v>1025</v>
      </c>
    </row>
    <row r="169" spans="24:35" x14ac:dyDescent="0.25">
      <c r="X169" s="8" t="s">
        <v>260</v>
      </c>
      <c r="Y169" s="8" t="s">
        <v>1006</v>
      </c>
      <c r="Z169" s="8" t="s">
        <v>1006</v>
      </c>
      <c r="AA169" s="5">
        <v>30</v>
      </c>
      <c r="AB169" s="8" t="s">
        <v>988</v>
      </c>
      <c r="AC169" s="8" t="s">
        <v>1006</v>
      </c>
      <c r="AD169" s="8" t="s">
        <v>1026</v>
      </c>
      <c r="AE169" s="8" t="s">
        <v>1026</v>
      </c>
      <c r="AF169" s="8" t="s">
        <v>1026</v>
      </c>
      <c r="AG169" s="8" t="s">
        <v>1026</v>
      </c>
      <c r="AH169" s="8" t="s">
        <v>1026</v>
      </c>
      <c r="AI169" s="8" t="s">
        <v>1026</v>
      </c>
    </row>
    <row r="170" spans="24:35" x14ac:dyDescent="0.25">
      <c r="X170" s="8" t="s">
        <v>261</v>
      </c>
      <c r="Y170" s="8" t="s">
        <v>939</v>
      </c>
      <c r="Z170" s="8" t="s">
        <v>1016</v>
      </c>
      <c r="AA170" s="5">
        <v>71</v>
      </c>
      <c r="AB170" s="8" t="s">
        <v>965</v>
      </c>
      <c r="AC170" s="8" t="s">
        <v>921</v>
      </c>
      <c r="AD170" s="8" t="s">
        <v>1026</v>
      </c>
      <c r="AE170" s="8" t="s">
        <v>1027</v>
      </c>
      <c r="AF170" s="8" t="s">
        <v>1027</v>
      </c>
      <c r="AG170" s="8" t="s">
        <v>1026</v>
      </c>
      <c r="AH170" s="8" t="s">
        <v>1027</v>
      </c>
      <c r="AI170" s="8" t="s">
        <v>1026</v>
      </c>
    </row>
    <row r="171" spans="24:35" x14ac:dyDescent="0.25">
      <c r="X171" s="8" t="s">
        <v>262</v>
      </c>
      <c r="Y171" s="8" t="s">
        <v>987</v>
      </c>
      <c r="Z171" s="8" t="s">
        <v>928</v>
      </c>
      <c r="AA171" s="5">
        <v>55</v>
      </c>
      <c r="AB171" s="8" t="s">
        <v>943</v>
      </c>
      <c r="AC171" s="8" t="s">
        <v>956</v>
      </c>
      <c r="AD171" s="8" t="s">
        <v>1025</v>
      </c>
      <c r="AE171" s="8" t="s">
        <v>1027</v>
      </c>
      <c r="AF171" s="8" t="s">
        <v>1026</v>
      </c>
      <c r="AG171" s="8" t="s">
        <v>1028</v>
      </c>
      <c r="AH171" s="8" t="s">
        <v>1028</v>
      </c>
      <c r="AI171" s="8" t="s">
        <v>1026</v>
      </c>
    </row>
    <row r="172" spans="24:35" x14ac:dyDescent="0.25">
      <c r="X172" s="8" t="s">
        <v>263</v>
      </c>
      <c r="Y172" s="8" t="s">
        <v>969</v>
      </c>
      <c r="Z172" s="8" t="s">
        <v>969</v>
      </c>
      <c r="AA172" s="5">
        <v>52</v>
      </c>
      <c r="AB172" s="8" t="s">
        <v>923</v>
      </c>
      <c r="AC172" s="8" t="s">
        <v>973</v>
      </c>
      <c r="AD172" s="8" t="s">
        <v>1026</v>
      </c>
      <c r="AE172" s="8" t="s">
        <v>1026</v>
      </c>
      <c r="AF172" s="8" t="s">
        <v>1027</v>
      </c>
      <c r="AG172" s="8" t="s">
        <v>1027</v>
      </c>
      <c r="AH172" s="8" t="s">
        <v>1026</v>
      </c>
      <c r="AI172" s="8" t="s">
        <v>1026</v>
      </c>
    </row>
    <row r="173" spans="24:35" x14ac:dyDescent="0.25">
      <c r="X173" s="8" t="s">
        <v>264</v>
      </c>
      <c r="Y173" s="8" t="s">
        <v>942</v>
      </c>
      <c r="Z173" s="8" t="s">
        <v>925</v>
      </c>
      <c r="AA173" s="5">
        <v>41</v>
      </c>
      <c r="AB173" s="8" t="s">
        <v>990</v>
      </c>
      <c r="AC173" s="8" t="s">
        <v>962</v>
      </c>
      <c r="AD173" s="8" t="s">
        <v>1025</v>
      </c>
      <c r="AE173" s="8" t="s">
        <v>1026</v>
      </c>
      <c r="AF173" s="8" t="s">
        <v>1026</v>
      </c>
      <c r="AG173" s="8" t="s">
        <v>1027</v>
      </c>
      <c r="AH173" s="8" t="s">
        <v>1026</v>
      </c>
      <c r="AI173" s="8" t="s">
        <v>1026</v>
      </c>
    </row>
    <row r="174" spans="24:35" x14ac:dyDescent="0.25">
      <c r="X174" s="8" t="s">
        <v>265</v>
      </c>
      <c r="Y174" s="8" t="s">
        <v>942</v>
      </c>
      <c r="Z174" s="8" t="s">
        <v>975</v>
      </c>
      <c r="AA174" s="5">
        <v>72</v>
      </c>
      <c r="AB174" s="8" t="s">
        <v>956</v>
      </c>
      <c r="AC174" s="8" t="s">
        <v>937</v>
      </c>
      <c r="AD174" s="8" t="s">
        <v>1026</v>
      </c>
      <c r="AE174" s="8" t="s">
        <v>1027</v>
      </c>
      <c r="AF174" s="8" t="s">
        <v>1025</v>
      </c>
      <c r="AG174" s="8" t="s">
        <v>1026</v>
      </c>
      <c r="AH174" s="8" t="s">
        <v>1027</v>
      </c>
      <c r="AI174" s="8" t="s">
        <v>1027</v>
      </c>
    </row>
    <row r="175" spans="24:35" x14ac:dyDescent="0.25">
      <c r="X175" s="8" t="s">
        <v>266</v>
      </c>
      <c r="Y175" s="8" t="s">
        <v>921</v>
      </c>
      <c r="Z175" s="8" t="s">
        <v>972</v>
      </c>
      <c r="AA175" s="5">
        <v>63</v>
      </c>
      <c r="AB175" s="8" t="s">
        <v>978</v>
      </c>
      <c r="AC175" s="8" t="s">
        <v>976</v>
      </c>
      <c r="AD175" s="8" t="s">
        <v>1027</v>
      </c>
      <c r="AE175" s="8" t="s">
        <v>1027</v>
      </c>
      <c r="AF175" s="8" t="s">
        <v>1027</v>
      </c>
      <c r="AG175" s="8" t="s">
        <v>1025</v>
      </c>
      <c r="AH175" s="8" t="s">
        <v>1026</v>
      </c>
      <c r="AI175" s="8" t="s">
        <v>1026</v>
      </c>
    </row>
    <row r="176" spans="24:35" x14ac:dyDescent="0.25">
      <c r="X176" s="8" t="s">
        <v>267</v>
      </c>
      <c r="Y176" s="8" t="s">
        <v>975</v>
      </c>
      <c r="Z176" s="8" t="s">
        <v>930</v>
      </c>
      <c r="AA176" s="5">
        <v>34</v>
      </c>
      <c r="AB176" s="8" t="s">
        <v>973</v>
      </c>
      <c r="AC176" s="8" t="s">
        <v>967</v>
      </c>
      <c r="AD176" s="8" t="s">
        <v>1026</v>
      </c>
      <c r="AE176" s="8" t="s">
        <v>1026</v>
      </c>
      <c r="AF176" s="8" t="s">
        <v>1026</v>
      </c>
      <c r="AG176" s="8" t="s">
        <v>1025</v>
      </c>
      <c r="AH176" s="8" t="s">
        <v>1027</v>
      </c>
      <c r="AI176" s="8" t="s">
        <v>1026</v>
      </c>
    </row>
    <row r="177" spans="24:35" x14ac:dyDescent="0.25">
      <c r="X177" s="8" t="s">
        <v>268</v>
      </c>
      <c r="Y177" s="8" t="s">
        <v>921</v>
      </c>
      <c r="Z177" s="8" t="s">
        <v>930</v>
      </c>
      <c r="AA177" s="5">
        <v>53</v>
      </c>
      <c r="AB177" s="8" t="s">
        <v>959</v>
      </c>
      <c r="AC177" s="8" t="s">
        <v>1013</v>
      </c>
      <c r="AD177" s="8" t="s">
        <v>1027</v>
      </c>
      <c r="AE177" s="8" t="s">
        <v>1027</v>
      </c>
      <c r="AF177" s="8" t="s">
        <v>1025</v>
      </c>
      <c r="AG177" s="8" t="s">
        <v>1026</v>
      </c>
      <c r="AH177" s="8" t="s">
        <v>1027</v>
      </c>
      <c r="AI177" s="8" t="s">
        <v>1025</v>
      </c>
    </row>
    <row r="178" spans="24:35" x14ac:dyDescent="0.25">
      <c r="X178" s="8" t="s">
        <v>269</v>
      </c>
      <c r="Y178" s="8" t="s">
        <v>921</v>
      </c>
      <c r="Z178" s="8" t="s">
        <v>960</v>
      </c>
      <c r="AA178" s="5">
        <v>47</v>
      </c>
      <c r="AB178" s="8" t="s">
        <v>994</v>
      </c>
      <c r="AC178" s="8" t="s">
        <v>942</v>
      </c>
      <c r="AD178" s="8" t="s">
        <v>1027</v>
      </c>
      <c r="AE178" s="8" t="s">
        <v>1026</v>
      </c>
      <c r="AF178" s="8" t="s">
        <v>1026</v>
      </c>
      <c r="AG178" s="8" t="s">
        <v>1028</v>
      </c>
      <c r="AH178" s="8" t="s">
        <v>1027</v>
      </c>
      <c r="AI178" s="8" t="s">
        <v>1026</v>
      </c>
    </row>
    <row r="179" spans="24:35" x14ac:dyDescent="0.25">
      <c r="X179" s="8" t="s">
        <v>270</v>
      </c>
      <c r="Y179" s="8" t="s">
        <v>953</v>
      </c>
      <c r="Z179" s="8" t="s">
        <v>926</v>
      </c>
      <c r="AA179" s="5">
        <v>56</v>
      </c>
      <c r="AB179" s="8" t="s">
        <v>963</v>
      </c>
      <c r="AC179" s="8" t="s">
        <v>973</v>
      </c>
      <c r="AD179" s="8" t="s">
        <v>1027</v>
      </c>
      <c r="AE179" s="8" t="s">
        <v>1026</v>
      </c>
      <c r="AF179" s="8" t="s">
        <v>1026</v>
      </c>
      <c r="AG179" s="8" t="s">
        <v>1027</v>
      </c>
      <c r="AH179" s="8" t="s">
        <v>1026</v>
      </c>
      <c r="AI179" s="8" t="s">
        <v>1026</v>
      </c>
    </row>
    <row r="180" spans="24:35" x14ac:dyDescent="0.25">
      <c r="X180" s="8" t="s">
        <v>271</v>
      </c>
      <c r="Y180" s="8" t="s">
        <v>941</v>
      </c>
      <c r="Z180" s="8" t="s">
        <v>951</v>
      </c>
      <c r="AA180" s="5">
        <v>68</v>
      </c>
      <c r="AB180" s="8" t="s">
        <v>948</v>
      </c>
      <c r="AC180" s="8" t="s">
        <v>992</v>
      </c>
      <c r="AD180" s="8" t="s">
        <v>1026</v>
      </c>
      <c r="AE180" s="8" t="s">
        <v>1026</v>
      </c>
      <c r="AF180" s="8" t="s">
        <v>1026</v>
      </c>
      <c r="AG180" s="8" t="s">
        <v>1027</v>
      </c>
      <c r="AH180" s="8" t="s">
        <v>1026</v>
      </c>
      <c r="AI180" s="8" t="s">
        <v>1026</v>
      </c>
    </row>
    <row r="181" spans="24:35" x14ac:dyDescent="0.25">
      <c r="X181" s="8" t="s">
        <v>272</v>
      </c>
      <c r="Y181" s="8" t="s">
        <v>960</v>
      </c>
      <c r="Z181" s="8" t="s">
        <v>930</v>
      </c>
      <c r="AA181" s="5">
        <v>61</v>
      </c>
      <c r="AB181" s="8" t="s">
        <v>955</v>
      </c>
      <c r="AC181" s="8" t="s">
        <v>978</v>
      </c>
      <c r="AD181" s="8" t="s">
        <v>1026</v>
      </c>
      <c r="AE181" s="8" t="s">
        <v>1026</v>
      </c>
      <c r="AF181" s="8" t="s">
        <v>1026</v>
      </c>
      <c r="AG181" s="8" t="s">
        <v>1025</v>
      </c>
      <c r="AH181" s="8" t="s">
        <v>1026</v>
      </c>
      <c r="AI181" s="8" t="s">
        <v>1027</v>
      </c>
    </row>
    <row r="182" spans="24:35" x14ac:dyDescent="0.25">
      <c r="X182" s="8" t="s">
        <v>273</v>
      </c>
      <c r="Y182" s="8" t="s">
        <v>929</v>
      </c>
      <c r="Z182" s="8" t="s">
        <v>952</v>
      </c>
      <c r="AA182" s="5">
        <v>70</v>
      </c>
      <c r="AB182" s="8" t="s">
        <v>943</v>
      </c>
      <c r="AC182" s="8" t="s">
        <v>936</v>
      </c>
      <c r="AD182" s="8" t="s">
        <v>1027</v>
      </c>
      <c r="AE182" s="8" t="s">
        <v>1026</v>
      </c>
      <c r="AF182" s="8" t="s">
        <v>1025</v>
      </c>
      <c r="AG182" s="8" t="s">
        <v>1028</v>
      </c>
      <c r="AH182" s="8" t="s">
        <v>1027</v>
      </c>
      <c r="AI182" s="8" t="s">
        <v>1026</v>
      </c>
    </row>
    <row r="183" spans="24:35" x14ac:dyDescent="0.25">
      <c r="X183" s="8" t="s">
        <v>274</v>
      </c>
      <c r="Y183" s="8" t="s">
        <v>975</v>
      </c>
      <c r="Z183" s="8" t="s">
        <v>969</v>
      </c>
      <c r="AA183" s="5">
        <v>54</v>
      </c>
      <c r="AB183" s="8" t="s">
        <v>975</v>
      </c>
      <c r="AC183" s="8" t="s">
        <v>930</v>
      </c>
      <c r="AD183" s="8" t="s">
        <v>1026</v>
      </c>
      <c r="AE183" s="8" t="s">
        <v>1026</v>
      </c>
      <c r="AF183" s="8" t="s">
        <v>1027</v>
      </c>
      <c r="AG183" s="8" t="s">
        <v>1028</v>
      </c>
      <c r="AH183" s="8" t="s">
        <v>1027</v>
      </c>
      <c r="AI183" s="8" t="s">
        <v>1026</v>
      </c>
    </row>
    <row r="184" spans="24:35" x14ac:dyDescent="0.25">
      <c r="X184" s="8" t="s">
        <v>275</v>
      </c>
      <c r="Y184" s="8" t="s">
        <v>942</v>
      </c>
      <c r="Z184" s="8" t="s">
        <v>958</v>
      </c>
      <c r="AA184" s="5">
        <v>63</v>
      </c>
      <c r="AB184" s="8" t="s">
        <v>933</v>
      </c>
      <c r="AC184" s="8" t="s">
        <v>963</v>
      </c>
      <c r="AD184" s="8" t="s">
        <v>1027</v>
      </c>
      <c r="AE184" s="8" t="s">
        <v>1026</v>
      </c>
      <c r="AF184" s="8" t="s">
        <v>1026</v>
      </c>
      <c r="AG184" s="8" t="s">
        <v>1025</v>
      </c>
      <c r="AH184" s="8" t="s">
        <v>1025</v>
      </c>
      <c r="AI184" s="8" t="s">
        <v>1027</v>
      </c>
    </row>
    <row r="185" spans="24:35" x14ac:dyDescent="0.25">
      <c r="X185" s="8" t="s">
        <v>276</v>
      </c>
      <c r="Y185" s="8" t="s">
        <v>925</v>
      </c>
      <c r="Z185" s="8" t="s">
        <v>956</v>
      </c>
      <c r="AA185" s="5">
        <v>64</v>
      </c>
      <c r="AB185" s="8" t="s">
        <v>937</v>
      </c>
      <c r="AC185" s="8" t="s">
        <v>948</v>
      </c>
      <c r="AD185" s="8" t="s">
        <v>1026</v>
      </c>
      <c r="AE185" s="8" t="s">
        <v>1026</v>
      </c>
      <c r="AF185" s="8" t="s">
        <v>1027</v>
      </c>
      <c r="AG185" s="8" t="s">
        <v>1028</v>
      </c>
      <c r="AH185" s="8" t="s">
        <v>1027</v>
      </c>
      <c r="AI185" s="8" t="s">
        <v>1026</v>
      </c>
    </row>
    <row r="186" spans="24:35" x14ac:dyDescent="0.25">
      <c r="X186" s="8" t="s">
        <v>277</v>
      </c>
      <c r="Y186" s="8" t="s">
        <v>968</v>
      </c>
      <c r="Z186" s="8" t="s">
        <v>957</v>
      </c>
      <c r="AA186" s="5">
        <v>68</v>
      </c>
      <c r="AB186" s="8" t="s">
        <v>938</v>
      </c>
      <c r="AC186" s="8" t="s">
        <v>954</v>
      </c>
      <c r="AD186" s="8" t="s">
        <v>1026</v>
      </c>
      <c r="AE186" s="8" t="s">
        <v>1026</v>
      </c>
      <c r="AF186" s="8" t="s">
        <v>1027</v>
      </c>
      <c r="AG186" s="8" t="s">
        <v>1026</v>
      </c>
      <c r="AH186" s="8" t="s">
        <v>1026</v>
      </c>
      <c r="AI186" s="8" t="s">
        <v>1026</v>
      </c>
    </row>
    <row r="187" spans="24:35" x14ac:dyDescent="0.25">
      <c r="X187" s="8" t="s">
        <v>278</v>
      </c>
      <c r="Y187" s="8" t="s">
        <v>928</v>
      </c>
      <c r="Z187" s="8" t="s">
        <v>1003</v>
      </c>
      <c r="AA187" s="5">
        <v>60</v>
      </c>
      <c r="AB187" s="8" t="s">
        <v>967</v>
      </c>
      <c r="AC187" s="8" t="s">
        <v>972</v>
      </c>
      <c r="AD187" s="8" t="s">
        <v>1027</v>
      </c>
      <c r="AE187" s="8" t="s">
        <v>1028</v>
      </c>
      <c r="AF187" s="8" t="s">
        <v>1028</v>
      </c>
      <c r="AG187" s="8" t="s">
        <v>1025</v>
      </c>
      <c r="AH187" s="8" t="s">
        <v>1026</v>
      </c>
      <c r="AI187" s="8" t="s">
        <v>1026</v>
      </c>
    </row>
    <row r="188" spans="24:35" x14ac:dyDescent="0.25">
      <c r="X188" s="8" t="s">
        <v>279</v>
      </c>
      <c r="Y188" s="8" t="s">
        <v>973</v>
      </c>
      <c r="Z188" s="8" t="s">
        <v>975</v>
      </c>
      <c r="AA188" s="5">
        <v>43</v>
      </c>
      <c r="AB188" s="8" t="s">
        <v>992</v>
      </c>
      <c r="AC188" s="8" t="s">
        <v>943</v>
      </c>
      <c r="AD188" s="8" t="s">
        <v>1027</v>
      </c>
      <c r="AE188" s="8" t="s">
        <v>1027</v>
      </c>
      <c r="AF188" s="8" t="s">
        <v>1026</v>
      </c>
      <c r="AG188" s="8" t="s">
        <v>1026</v>
      </c>
      <c r="AH188" s="8" t="s">
        <v>1027</v>
      </c>
      <c r="AI188" s="8" t="s">
        <v>1026</v>
      </c>
    </row>
    <row r="189" spans="24:35" x14ac:dyDescent="0.25">
      <c r="X189" s="8" t="s">
        <v>280</v>
      </c>
      <c r="Y189" s="8" t="s">
        <v>963</v>
      </c>
      <c r="Z189" s="8" t="s">
        <v>927</v>
      </c>
      <c r="AA189" s="5">
        <v>76</v>
      </c>
      <c r="AB189" s="8" t="s">
        <v>987</v>
      </c>
      <c r="AC189" s="8" t="s">
        <v>926</v>
      </c>
      <c r="AD189" s="8" t="s">
        <v>1026</v>
      </c>
      <c r="AE189" s="8" t="s">
        <v>1026</v>
      </c>
      <c r="AF189" s="8" t="s">
        <v>1026</v>
      </c>
      <c r="AG189" s="8" t="s">
        <v>1026</v>
      </c>
      <c r="AH189" s="8" t="s">
        <v>1025</v>
      </c>
      <c r="AI189" s="8" t="s">
        <v>1026</v>
      </c>
    </row>
    <row r="190" spans="24:35" x14ac:dyDescent="0.25">
      <c r="X190" s="8" t="s">
        <v>281</v>
      </c>
      <c r="Y190" s="8" t="s">
        <v>930</v>
      </c>
      <c r="Z190" s="8" t="s">
        <v>948</v>
      </c>
      <c r="AA190" s="5">
        <v>69</v>
      </c>
      <c r="AB190" s="8" t="s">
        <v>939</v>
      </c>
      <c r="AC190" s="8" t="s">
        <v>967</v>
      </c>
      <c r="AD190" s="8" t="s">
        <v>1026</v>
      </c>
      <c r="AE190" s="8" t="s">
        <v>1027</v>
      </c>
      <c r="AF190" s="8" t="s">
        <v>1025</v>
      </c>
      <c r="AG190" s="8" t="s">
        <v>1026</v>
      </c>
      <c r="AH190" s="8" t="s">
        <v>1027</v>
      </c>
      <c r="AI190" s="8" t="s">
        <v>1026</v>
      </c>
    </row>
    <row r="191" spans="24:35" x14ac:dyDescent="0.25">
      <c r="X191" s="8" t="s">
        <v>282</v>
      </c>
      <c r="Y191" s="8" t="s">
        <v>1007</v>
      </c>
      <c r="Z191" s="8" t="s">
        <v>948</v>
      </c>
      <c r="AA191" s="5">
        <v>73</v>
      </c>
      <c r="AB191" s="8" t="s">
        <v>933</v>
      </c>
      <c r="AC191" s="8" t="s">
        <v>960</v>
      </c>
      <c r="AD191" s="8" t="s">
        <v>1028</v>
      </c>
      <c r="AE191" s="8" t="s">
        <v>1027</v>
      </c>
      <c r="AF191" s="8" t="s">
        <v>1025</v>
      </c>
      <c r="AG191" s="8" t="s">
        <v>1026</v>
      </c>
      <c r="AH191" s="8" t="s">
        <v>1028</v>
      </c>
      <c r="AI191" s="8" t="s">
        <v>1026</v>
      </c>
    </row>
    <row r="192" spans="24:35" x14ac:dyDescent="0.25">
      <c r="X192" s="8" t="s">
        <v>283</v>
      </c>
      <c r="Y192" s="8" t="s">
        <v>984</v>
      </c>
      <c r="Z192" s="8" t="s">
        <v>1004</v>
      </c>
      <c r="AA192" s="5">
        <v>72</v>
      </c>
      <c r="AB192" s="8" t="s">
        <v>972</v>
      </c>
      <c r="AC192" s="8" t="s">
        <v>953</v>
      </c>
      <c r="AD192" s="8" t="s">
        <v>1026</v>
      </c>
      <c r="AE192" s="8" t="s">
        <v>1026</v>
      </c>
      <c r="AF192" s="8" t="s">
        <v>1026</v>
      </c>
      <c r="AG192" s="8" t="s">
        <v>1026</v>
      </c>
      <c r="AH192" s="8" t="s">
        <v>1026</v>
      </c>
      <c r="AI192" s="8" t="s">
        <v>1026</v>
      </c>
    </row>
    <row r="193" spans="24:35" x14ac:dyDescent="0.25">
      <c r="X193" s="8" t="s">
        <v>284</v>
      </c>
      <c r="Y193" s="8" t="s">
        <v>940</v>
      </c>
      <c r="Z193" s="8" t="s">
        <v>983</v>
      </c>
      <c r="AA193" s="5">
        <v>66</v>
      </c>
      <c r="AB193" s="8" t="s">
        <v>973</v>
      </c>
      <c r="AC193" s="8" t="s">
        <v>937</v>
      </c>
      <c r="AD193" s="8" t="s">
        <v>1027</v>
      </c>
      <c r="AE193" s="8" t="s">
        <v>1026</v>
      </c>
      <c r="AF193" s="8" t="s">
        <v>1026</v>
      </c>
      <c r="AG193" s="8" t="s">
        <v>1025</v>
      </c>
      <c r="AH193" s="8" t="s">
        <v>1026</v>
      </c>
      <c r="AI193" s="8" t="s">
        <v>1026</v>
      </c>
    </row>
    <row r="194" spans="24:35" x14ac:dyDescent="0.25">
      <c r="X194" s="8" t="s">
        <v>285</v>
      </c>
      <c r="Y194" s="8" t="s">
        <v>930</v>
      </c>
      <c r="Z194" s="8" t="s">
        <v>925</v>
      </c>
      <c r="AA194" s="5">
        <v>42</v>
      </c>
      <c r="AB194" s="8" t="s">
        <v>974</v>
      </c>
      <c r="AC194" s="8" t="s">
        <v>954</v>
      </c>
      <c r="AD194" s="8" t="s">
        <v>1027</v>
      </c>
      <c r="AE194" s="8" t="s">
        <v>1027</v>
      </c>
      <c r="AF194" s="8" t="s">
        <v>1027</v>
      </c>
      <c r="AG194" s="8" t="s">
        <v>1026</v>
      </c>
      <c r="AH194" s="8" t="s">
        <v>1026</v>
      </c>
      <c r="AI194" s="8" t="s">
        <v>1025</v>
      </c>
    </row>
    <row r="195" spans="24:35" x14ac:dyDescent="0.25">
      <c r="X195" s="8" t="s">
        <v>286</v>
      </c>
      <c r="Y195" s="8" t="s">
        <v>974</v>
      </c>
      <c r="Z195" s="8" t="s">
        <v>948</v>
      </c>
      <c r="AA195" s="5">
        <v>23</v>
      </c>
      <c r="AB195" s="8" t="s">
        <v>933</v>
      </c>
      <c r="AC195" s="8" t="s">
        <v>994</v>
      </c>
      <c r="AD195" s="8" t="s">
        <v>1026</v>
      </c>
      <c r="AE195" s="8" t="s">
        <v>1026</v>
      </c>
      <c r="AF195" s="8" t="s">
        <v>1026</v>
      </c>
      <c r="AG195" s="8" t="s">
        <v>1027</v>
      </c>
      <c r="AH195" s="8" t="s">
        <v>1026</v>
      </c>
      <c r="AI195" s="8" t="s">
        <v>1026</v>
      </c>
    </row>
    <row r="196" spans="24:35" x14ac:dyDescent="0.25">
      <c r="X196" s="8" t="s">
        <v>287</v>
      </c>
      <c r="Y196" s="8" t="s">
        <v>966</v>
      </c>
      <c r="Z196" s="8" t="s">
        <v>924</v>
      </c>
      <c r="AA196" s="5">
        <v>71</v>
      </c>
      <c r="AB196" s="8" t="s">
        <v>928</v>
      </c>
      <c r="AC196" s="8" t="s">
        <v>921</v>
      </c>
      <c r="AD196" s="8" t="s">
        <v>1026</v>
      </c>
      <c r="AE196" s="8" t="s">
        <v>1026</v>
      </c>
      <c r="AF196" s="8" t="s">
        <v>1027</v>
      </c>
      <c r="AG196" s="8" t="s">
        <v>1026</v>
      </c>
      <c r="AH196" s="8" t="s">
        <v>1025</v>
      </c>
      <c r="AI196" s="8" t="s">
        <v>1026</v>
      </c>
    </row>
    <row r="197" spans="24:35" x14ac:dyDescent="0.25">
      <c r="X197" s="8" t="s">
        <v>288</v>
      </c>
      <c r="Y197" s="8" t="s">
        <v>956</v>
      </c>
      <c r="Z197" s="8" t="s">
        <v>930</v>
      </c>
      <c r="AA197" s="5">
        <v>51</v>
      </c>
      <c r="AB197" s="8" t="s">
        <v>953</v>
      </c>
      <c r="AC197" s="8" t="s">
        <v>930</v>
      </c>
      <c r="AD197" s="8" t="s">
        <v>1027</v>
      </c>
      <c r="AE197" s="8" t="s">
        <v>1026</v>
      </c>
      <c r="AF197" s="8" t="s">
        <v>1025</v>
      </c>
      <c r="AG197" s="8" t="s">
        <v>1026</v>
      </c>
      <c r="AH197" s="8" t="s">
        <v>1026</v>
      </c>
      <c r="AI197" s="8" t="s">
        <v>1025</v>
      </c>
    </row>
    <row r="198" spans="24:35" x14ac:dyDescent="0.25">
      <c r="X198" s="8" t="s">
        <v>289</v>
      </c>
      <c r="Y198" s="8" t="s">
        <v>921</v>
      </c>
      <c r="Z198" s="8" t="s">
        <v>960</v>
      </c>
      <c r="AA198" s="5">
        <v>77</v>
      </c>
      <c r="AB198" s="8" t="s">
        <v>956</v>
      </c>
      <c r="AC198" s="8" t="s">
        <v>969</v>
      </c>
      <c r="AD198" s="8" t="s">
        <v>1026</v>
      </c>
      <c r="AE198" s="8" t="s">
        <v>1027</v>
      </c>
      <c r="AF198" s="8" t="s">
        <v>1025</v>
      </c>
      <c r="AG198" s="8" t="s">
        <v>1026</v>
      </c>
      <c r="AH198" s="8" t="s">
        <v>1027</v>
      </c>
      <c r="AI198" s="8" t="s">
        <v>1025</v>
      </c>
    </row>
    <row r="199" spans="24:35" x14ac:dyDescent="0.25">
      <c r="X199" s="8" t="s">
        <v>290</v>
      </c>
      <c r="Y199" s="8" t="s">
        <v>934</v>
      </c>
      <c r="Z199" s="8" t="s">
        <v>959</v>
      </c>
      <c r="AA199" s="5">
        <v>65</v>
      </c>
      <c r="AB199" s="8" t="s">
        <v>953</v>
      </c>
      <c r="AC199" s="8" t="s">
        <v>960</v>
      </c>
      <c r="AD199" s="8" t="s">
        <v>1026</v>
      </c>
      <c r="AE199" s="8" t="s">
        <v>1027</v>
      </c>
      <c r="AF199" s="8" t="s">
        <v>1026</v>
      </c>
      <c r="AG199" s="8" t="s">
        <v>1026</v>
      </c>
      <c r="AH199" s="8" t="s">
        <v>1026</v>
      </c>
      <c r="AI199" s="8" t="s">
        <v>1027</v>
      </c>
    </row>
    <row r="200" spans="24:35" x14ac:dyDescent="0.25">
      <c r="X200" s="8" t="s">
        <v>291</v>
      </c>
      <c r="Y200" s="8" t="s">
        <v>984</v>
      </c>
      <c r="Z200" s="8" t="s">
        <v>990</v>
      </c>
      <c r="AA200" s="5">
        <v>70</v>
      </c>
      <c r="AB200" s="8" t="s">
        <v>921</v>
      </c>
      <c r="AC200" s="8" t="s">
        <v>985</v>
      </c>
      <c r="AD200" s="8" t="s">
        <v>1026</v>
      </c>
      <c r="AE200" s="8" t="s">
        <v>1027</v>
      </c>
      <c r="AF200" s="8" t="s">
        <v>1026</v>
      </c>
      <c r="AG200" s="8" t="s">
        <v>1026</v>
      </c>
      <c r="AH200" s="8" t="s">
        <v>1026</v>
      </c>
      <c r="AI200" s="8" t="s">
        <v>1027</v>
      </c>
    </row>
    <row r="201" spans="24:35" x14ac:dyDescent="0.25">
      <c r="X201" s="8" t="s">
        <v>292</v>
      </c>
      <c r="Y201" s="8" t="s">
        <v>939</v>
      </c>
      <c r="Z201" s="8" t="s">
        <v>941</v>
      </c>
      <c r="AA201" s="5">
        <v>68</v>
      </c>
      <c r="AB201" s="8" t="s">
        <v>960</v>
      </c>
      <c r="AC201" s="8" t="s">
        <v>953</v>
      </c>
      <c r="AD201" s="8" t="s">
        <v>1027</v>
      </c>
      <c r="AE201" s="8" t="s">
        <v>1026</v>
      </c>
      <c r="AF201" s="8" t="s">
        <v>1027</v>
      </c>
      <c r="AG201" s="8" t="s">
        <v>1026</v>
      </c>
      <c r="AH201" s="8" t="s">
        <v>1027</v>
      </c>
      <c r="AI201" s="8" t="s">
        <v>1026</v>
      </c>
    </row>
    <row r="202" spans="24:35" x14ac:dyDescent="0.25">
      <c r="X202" s="8" t="s">
        <v>293</v>
      </c>
      <c r="Y202" s="8" t="s">
        <v>969</v>
      </c>
      <c r="Z202" s="8" t="s">
        <v>947</v>
      </c>
      <c r="AA202" s="5">
        <v>78</v>
      </c>
      <c r="AB202" s="8" t="s">
        <v>972</v>
      </c>
      <c r="AC202" s="8" t="s">
        <v>942</v>
      </c>
      <c r="AD202" s="8" t="s">
        <v>1026</v>
      </c>
      <c r="AE202" s="8" t="s">
        <v>1027</v>
      </c>
      <c r="AF202" s="8" t="s">
        <v>1025</v>
      </c>
      <c r="AG202" s="8" t="s">
        <v>1026</v>
      </c>
      <c r="AH202" s="8" t="s">
        <v>1027</v>
      </c>
      <c r="AI202" s="8" t="s">
        <v>1025</v>
      </c>
    </row>
    <row r="203" spans="24:35" x14ac:dyDescent="0.25">
      <c r="X203" s="8" t="s">
        <v>294</v>
      </c>
      <c r="Y203" s="8" t="s">
        <v>925</v>
      </c>
      <c r="Z203" s="8" t="s">
        <v>943</v>
      </c>
      <c r="AA203" s="5">
        <v>74</v>
      </c>
      <c r="AB203" s="8" t="s">
        <v>936</v>
      </c>
      <c r="AC203" s="8" t="s">
        <v>960</v>
      </c>
      <c r="AD203" s="8" t="s">
        <v>1026</v>
      </c>
      <c r="AE203" s="8" t="s">
        <v>1027</v>
      </c>
      <c r="AF203" s="8" t="s">
        <v>1027</v>
      </c>
      <c r="AG203" s="8" t="s">
        <v>1026</v>
      </c>
      <c r="AH203" s="8" t="s">
        <v>1026</v>
      </c>
      <c r="AI203" s="8" t="s">
        <v>1026</v>
      </c>
    </row>
    <row r="204" spans="24:35" x14ac:dyDescent="0.25">
      <c r="X204" s="8" t="s">
        <v>295</v>
      </c>
      <c r="Y204" s="8" t="s">
        <v>957</v>
      </c>
      <c r="Z204" s="8" t="s">
        <v>981</v>
      </c>
      <c r="AA204" s="5">
        <v>68</v>
      </c>
      <c r="AB204" s="8" t="s">
        <v>939</v>
      </c>
      <c r="AC204" s="8" t="s">
        <v>993</v>
      </c>
      <c r="AD204" s="8" t="s">
        <v>1026</v>
      </c>
      <c r="AE204" s="8" t="s">
        <v>1026</v>
      </c>
      <c r="AF204" s="8" t="s">
        <v>1026</v>
      </c>
      <c r="AG204" s="8" t="s">
        <v>1026</v>
      </c>
      <c r="AH204" s="8" t="s">
        <v>1026</v>
      </c>
      <c r="AI204" s="8" t="s">
        <v>1026</v>
      </c>
    </row>
    <row r="205" spans="24:35" x14ac:dyDescent="0.25">
      <c r="X205" s="8" t="s">
        <v>296</v>
      </c>
      <c r="Y205" s="8" t="s">
        <v>968</v>
      </c>
      <c r="Z205" s="8" t="s">
        <v>983</v>
      </c>
      <c r="AA205" s="5">
        <v>41</v>
      </c>
      <c r="AB205" s="8" t="s">
        <v>1000</v>
      </c>
      <c r="AC205" s="8" t="s">
        <v>984</v>
      </c>
      <c r="AD205" s="8" t="s">
        <v>1026</v>
      </c>
      <c r="AE205" s="8" t="s">
        <v>1027</v>
      </c>
      <c r="AF205" s="8" t="s">
        <v>1026</v>
      </c>
      <c r="AG205" s="8" t="s">
        <v>1027</v>
      </c>
      <c r="AH205" s="8" t="s">
        <v>1026</v>
      </c>
      <c r="AI205" s="8" t="s">
        <v>1026</v>
      </c>
    </row>
    <row r="206" spans="24:35" x14ac:dyDescent="0.25">
      <c r="X206" s="8" t="s">
        <v>297</v>
      </c>
      <c r="Y206" s="8" t="s">
        <v>926</v>
      </c>
      <c r="Z206" s="8" t="s">
        <v>940</v>
      </c>
      <c r="AA206" s="5">
        <v>52</v>
      </c>
      <c r="AB206" s="8" t="s">
        <v>966</v>
      </c>
      <c r="AC206" s="8" t="s">
        <v>937</v>
      </c>
      <c r="AD206" s="8" t="s">
        <v>1025</v>
      </c>
      <c r="AE206" s="8" t="s">
        <v>1027</v>
      </c>
      <c r="AF206" s="8" t="s">
        <v>1026</v>
      </c>
      <c r="AG206" s="8" t="s">
        <v>1025</v>
      </c>
      <c r="AH206" s="8" t="s">
        <v>1027</v>
      </c>
      <c r="AI206" s="8" t="s">
        <v>1026</v>
      </c>
    </row>
    <row r="207" spans="24:35" x14ac:dyDescent="0.25">
      <c r="X207" s="8" t="s">
        <v>298</v>
      </c>
      <c r="Y207" s="8" t="s">
        <v>953</v>
      </c>
      <c r="Z207" s="8" t="s">
        <v>921</v>
      </c>
      <c r="AA207" s="5">
        <v>12</v>
      </c>
      <c r="AB207" s="8" t="s">
        <v>935</v>
      </c>
      <c r="AC207" s="8" t="s">
        <v>990</v>
      </c>
      <c r="AD207" s="8" t="s">
        <v>1027</v>
      </c>
      <c r="AE207" s="8" t="s">
        <v>1026</v>
      </c>
      <c r="AF207" s="8" t="s">
        <v>1026</v>
      </c>
      <c r="AG207" s="8" t="s">
        <v>1025</v>
      </c>
      <c r="AH207" s="8" t="s">
        <v>1026</v>
      </c>
      <c r="AI207" s="8" t="s">
        <v>1026</v>
      </c>
    </row>
    <row r="208" spans="24:35" x14ac:dyDescent="0.25">
      <c r="X208" s="8" t="s">
        <v>299</v>
      </c>
      <c r="Y208" s="8" t="s">
        <v>922</v>
      </c>
      <c r="Z208" s="8" t="s">
        <v>1010</v>
      </c>
      <c r="AA208" s="5">
        <v>70</v>
      </c>
      <c r="AB208" s="8" t="s">
        <v>965</v>
      </c>
      <c r="AC208" s="8" t="s">
        <v>972</v>
      </c>
      <c r="AD208" s="8" t="s">
        <v>1026</v>
      </c>
      <c r="AE208" s="8" t="s">
        <v>1026</v>
      </c>
      <c r="AF208" s="8" t="s">
        <v>1026</v>
      </c>
      <c r="AG208" s="8" t="s">
        <v>1026</v>
      </c>
      <c r="AH208" s="8" t="s">
        <v>1026</v>
      </c>
      <c r="AI208" s="8" t="s">
        <v>1027</v>
      </c>
    </row>
    <row r="209" spans="24:35" x14ac:dyDescent="0.25">
      <c r="X209" s="8" t="s">
        <v>300</v>
      </c>
      <c r="Y209" s="8" t="s">
        <v>960</v>
      </c>
      <c r="Z209" s="8" t="s">
        <v>928</v>
      </c>
      <c r="AA209" s="5">
        <v>1</v>
      </c>
      <c r="AB209" s="8" t="s">
        <v>977</v>
      </c>
      <c r="AC209" s="8" t="s">
        <v>990</v>
      </c>
      <c r="AD209" s="8" t="s">
        <v>1025</v>
      </c>
      <c r="AE209" s="8" t="s">
        <v>1028</v>
      </c>
      <c r="AF209" s="8" t="s">
        <v>1027</v>
      </c>
      <c r="AG209" s="8" t="s">
        <v>1026</v>
      </c>
      <c r="AH209" s="8" t="s">
        <v>1026</v>
      </c>
      <c r="AI209" s="8" t="s">
        <v>1026</v>
      </c>
    </row>
    <row r="210" spans="24:35" x14ac:dyDescent="0.25">
      <c r="X210" s="8" t="s">
        <v>301</v>
      </c>
      <c r="Y210" s="8" t="s">
        <v>973</v>
      </c>
      <c r="Z210" s="8" t="s">
        <v>973</v>
      </c>
      <c r="AA210" s="5">
        <v>58</v>
      </c>
      <c r="AB210" s="8" t="s">
        <v>966</v>
      </c>
      <c r="AC210" s="8" t="s">
        <v>937</v>
      </c>
      <c r="AD210" s="8" t="s">
        <v>1026</v>
      </c>
      <c r="AE210" s="8" t="s">
        <v>1027</v>
      </c>
      <c r="AF210" s="8" t="s">
        <v>1027</v>
      </c>
      <c r="AG210" s="8" t="s">
        <v>1026</v>
      </c>
      <c r="AH210" s="8" t="s">
        <v>1026</v>
      </c>
      <c r="AI210" s="8" t="s">
        <v>1027</v>
      </c>
    </row>
    <row r="211" spans="24:35" x14ac:dyDescent="0.25">
      <c r="X211" s="8" t="s">
        <v>302</v>
      </c>
      <c r="Y211" s="8" t="s">
        <v>921</v>
      </c>
      <c r="Z211" s="8" t="s">
        <v>958</v>
      </c>
      <c r="AA211" s="5">
        <v>56</v>
      </c>
      <c r="AB211" s="8" t="s">
        <v>997</v>
      </c>
      <c r="AC211" s="8" t="s">
        <v>930</v>
      </c>
      <c r="AD211" s="8" t="s">
        <v>1025</v>
      </c>
      <c r="AE211" s="8" t="s">
        <v>1027</v>
      </c>
      <c r="AF211" s="8" t="s">
        <v>1027</v>
      </c>
      <c r="AG211" s="8" t="s">
        <v>1027</v>
      </c>
      <c r="AH211" s="8" t="s">
        <v>1026</v>
      </c>
      <c r="AI211" s="8" t="s">
        <v>1027</v>
      </c>
    </row>
    <row r="212" spans="24:35" x14ac:dyDescent="0.25">
      <c r="X212" s="8" t="s">
        <v>303</v>
      </c>
      <c r="Y212" s="8" t="s">
        <v>958</v>
      </c>
      <c r="Z212" s="8" t="s">
        <v>940</v>
      </c>
      <c r="AA212" s="5">
        <v>50</v>
      </c>
      <c r="AB212" s="8" t="s">
        <v>967</v>
      </c>
      <c r="AC212" s="8" t="s">
        <v>973</v>
      </c>
      <c r="AD212" s="8" t="s">
        <v>1026</v>
      </c>
      <c r="AE212" s="8" t="s">
        <v>1027</v>
      </c>
      <c r="AF212" s="8" t="s">
        <v>1026</v>
      </c>
      <c r="AG212" s="8" t="s">
        <v>1025</v>
      </c>
      <c r="AH212" s="8" t="s">
        <v>1028</v>
      </c>
      <c r="AI212" s="8" t="s">
        <v>1026</v>
      </c>
    </row>
    <row r="213" spans="24:35" x14ac:dyDescent="0.25">
      <c r="X213" s="8" t="s">
        <v>304</v>
      </c>
      <c r="Y213" s="8" t="s">
        <v>1016</v>
      </c>
      <c r="Z213" s="8" t="s">
        <v>1008</v>
      </c>
      <c r="AA213" s="5">
        <v>80</v>
      </c>
      <c r="AB213" s="8" t="s">
        <v>961</v>
      </c>
      <c r="AC213" s="8" t="s">
        <v>940</v>
      </c>
      <c r="AD213" s="8" t="s">
        <v>1026</v>
      </c>
      <c r="AE213" s="8" t="s">
        <v>1026</v>
      </c>
      <c r="AF213" s="8" t="s">
        <v>1026</v>
      </c>
      <c r="AG213" s="8" t="s">
        <v>1026</v>
      </c>
      <c r="AH213" s="8" t="s">
        <v>1027</v>
      </c>
      <c r="AI213" s="8" t="s">
        <v>1026</v>
      </c>
    </row>
    <row r="214" spans="24:35" x14ac:dyDescent="0.25">
      <c r="X214" s="8" t="s">
        <v>305</v>
      </c>
      <c r="Y214" s="8" t="s">
        <v>937</v>
      </c>
      <c r="Z214" s="8" t="s">
        <v>971</v>
      </c>
      <c r="AA214" s="5">
        <v>35</v>
      </c>
      <c r="AB214" s="8" t="s">
        <v>979</v>
      </c>
      <c r="AC214" s="8" t="s">
        <v>966</v>
      </c>
      <c r="AD214" s="8" t="s">
        <v>1027</v>
      </c>
      <c r="AE214" s="8" t="s">
        <v>1027</v>
      </c>
      <c r="AF214" s="8" t="s">
        <v>1026</v>
      </c>
      <c r="AG214" s="8" t="s">
        <v>1027</v>
      </c>
      <c r="AH214" s="8" t="s">
        <v>1026</v>
      </c>
      <c r="AI214" s="8" t="s">
        <v>1026</v>
      </c>
    </row>
    <row r="215" spans="24:35" x14ac:dyDescent="0.25">
      <c r="X215" s="8" t="s">
        <v>306</v>
      </c>
      <c r="Y215" s="8" t="s">
        <v>925</v>
      </c>
      <c r="Z215" s="8" t="s">
        <v>942</v>
      </c>
      <c r="AA215" s="5">
        <v>72</v>
      </c>
      <c r="AB215" s="8" t="s">
        <v>953</v>
      </c>
      <c r="AC215" s="8" t="s">
        <v>956</v>
      </c>
      <c r="AD215" s="8" t="s">
        <v>1027</v>
      </c>
      <c r="AE215" s="8" t="s">
        <v>1025</v>
      </c>
      <c r="AF215" s="8" t="s">
        <v>1025</v>
      </c>
      <c r="AG215" s="8" t="s">
        <v>1027</v>
      </c>
      <c r="AH215" s="8" t="s">
        <v>1027</v>
      </c>
      <c r="AI215" s="8" t="s">
        <v>1026</v>
      </c>
    </row>
    <row r="216" spans="24:35" x14ac:dyDescent="0.25">
      <c r="X216" s="8" t="s">
        <v>307</v>
      </c>
      <c r="Y216" s="8" t="s">
        <v>1008</v>
      </c>
      <c r="Z216" s="8" t="s">
        <v>973</v>
      </c>
      <c r="AA216" s="5">
        <v>70</v>
      </c>
      <c r="AB216" s="8" t="s">
        <v>952</v>
      </c>
      <c r="AC216" s="8" t="s">
        <v>972</v>
      </c>
      <c r="AD216" s="8" t="s">
        <v>1026</v>
      </c>
      <c r="AE216" s="8" t="s">
        <v>1026</v>
      </c>
      <c r="AF216" s="8" t="s">
        <v>1026</v>
      </c>
      <c r="AG216" s="8" t="s">
        <v>1026</v>
      </c>
      <c r="AH216" s="8" t="s">
        <v>1026</v>
      </c>
      <c r="AI216" s="8" t="s">
        <v>1026</v>
      </c>
    </row>
    <row r="217" spans="24:35" x14ac:dyDescent="0.25">
      <c r="X217" s="8" t="s">
        <v>308</v>
      </c>
      <c r="Y217" s="8" t="s">
        <v>1009</v>
      </c>
      <c r="Z217" s="8" t="s">
        <v>1012</v>
      </c>
      <c r="AA217" s="5">
        <v>76</v>
      </c>
      <c r="AB217" s="8" t="s">
        <v>971</v>
      </c>
      <c r="AC217" s="8" t="s">
        <v>987</v>
      </c>
      <c r="AD217" s="8" t="s">
        <v>1026</v>
      </c>
      <c r="AE217" s="8" t="s">
        <v>1026</v>
      </c>
      <c r="AF217" s="8" t="s">
        <v>1026</v>
      </c>
      <c r="AG217" s="8" t="s">
        <v>1027</v>
      </c>
      <c r="AH217" s="8" t="s">
        <v>1026</v>
      </c>
      <c r="AI217" s="8" t="s">
        <v>1026</v>
      </c>
    </row>
    <row r="218" spans="24:35" x14ac:dyDescent="0.25">
      <c r="X218" s="8" t="s">
        <v>309</v>
      </c>
      <c r="Y218" s="8" t="s">
        <v>941</v>
      </c>
      <c r="Z218" s="8" t="s">
        <v>966</v>
      </c>
      <c r="AA218" s="5">
        <v>1</v>
      </c>
      <c r="AB218" s="8" t="s">
        <v>968</v>
      </c>
      <c r="AC218" s="8" t="s">
        <v>997</v>
      </c>
      <c r="AD218" s="8" t="s">
        <v>1026</v>
      </c>
      <c r="AE218" s="8" t="s">
        <v>1026</v>
      </c>
      <c r="AF218" s="8" t="s">
        <v>1027</v>
      </c>
      <c r="AG218" s="8" t="s">
        <v>1026</v>
      </c>
      <c r="AH218" s="8" t="s">
        <v>1026</v>
      </c>
      <c r="AI218" s="8" t="s">
        <v>1025</v>
      </c>
    </row>
    <row r="219" spans="24:35" x14ac:dyDescent="0.25">
      <c r="X219" s="8" t="s">
        <v>310</v>
      </c>
      <c r="Y219" s="8" t="s">
        <v>986</v>
      </c>
      <c r="Z219" s="8" t="s">
        <v>999</v>
      </c>
      <c r="AA219" s="5">
        <v>69</v>
      </c>
      <c r="AB219" s="8" t="s">
        <v>955</v>
      </c>
      <c r="AC219" s="8" t="s">
        <v>930</v>
      </c>
      <c r="AD219" s="8" t="s">
        <v>1026</v>
      </c>
      <c r="AE219" s="8" t="s">
        <v>1026</v>
      </c>
      <c r="AF219" s="8" t="s">
        <v>1026</v>
      </c>
      <c r="AG219" s="8" t="s">
        <v>1026</v>
      </c>
      <c r="AH219" s="8" t="s">
        <v>1026</v>
      </c>
      <c r="AI219" s="8" t="s">
        <v>1027</v>
      </c>
    </row>
    <row r="220" spans="24:35" x14ac:dyDescent="0.25">
      <c r="X220" s="8" t="s">
        <v>311</v>
      </c>
      <c r="Y220" s="8" t="s">
        <v>945</v>
      </c>
      <c r="Z220" s="8" t="s">
        <v>994</v>
      </c>
      <c r="AA220" s="5">
        <v>2</v>
      </c>
      <c r="AB220" s="8" t="s">
        <v>980</v>
      </c>
      <c r="AC220" s="8" t="s">
        <v>1016</v>
      </c>
      <c r="AD220" s="8" t="s">
        <v>1026</v>
      </c>
      <c r="AE220" s="8" t="s">
        <v>1027</v>
      </c>
      <c r="AF220" s="8" t="s">
        <v>1026</v>
      </c>
      <c r="AG220" s="8" t="s">
        <v>1026</v>
      </c>
      <c r="AH220" s="8" t="s">
        <v>1026</v>
      </c>
      <c r="AI220" s="8" t="s">
        <v>1025</v>
      </c>
    </row>
    <row r="221" spans="24:35" x14ac:dyDescent="0.25">
      <c r="X221" s="8" t="s">
        <v>312</v>
      </c>
      <c r="Y221" s="8" t="s">
        <v>936</v>
      </c>
      <c r="Z221" s="8" t="s">
        <v>926</v>
      </c>
      <c r="AA221" s="5">
        <v>77</v>
      </c>
      <c r="AB221" s="8" t="s">
        <v>960</v>
      </c>
      <c r="AC221" s="8" t="s">
        <v>937</v>
      </c>
      <c r="AD221" s="8" t="s">
        <v>1027</v>
      </c>
      <c r="AE221" s="8" t="s">
        <v>1027</v>
      </c>
      <c r="AF221" s="8" t="s">
        <v>1027</v>
      </c>
      <c r="AG221" s="8" t="s">
        <v>1026</v>
      </c>
      <c r="AH221" s="8" t="s">
        <v>1026</v>
      </c>
      <c r="AI221" s="8" t="s">
        <v>1028</v>
      </c>
    </row>
    <row r="222" spans="24:35" x14ac:dyDescent="0.25">
      <c r="X222" s="8" t="s">
        <v>313</v>
      </c>
      <c r="Y222" s="8" t="s">
        <v>1013</v>
      </c>
      <c r="Z222" s="8" t="s">
        <v>980</v>
      </c>
      <c r="AA222" s="5">
        <v>66</v>
      </c>
      <c r="AB222" s="8" t="s">
        <v>938</v>
      </c>
      <c r="AC222" s="8" t="s">
        <v>940</v>
      </c>
      <c r="AD222" s="8" t="s">
        <v>1026</v>
      </c>
      <c r="AE222" s="8" t="s">
        <v>1026</v>
      </c>
      <c r="AF222" s="8" t="s">
        <v>1027</v>
      </c>
      <c r="AG222" s="8" t="s">
        <v>1026</v>
      </c>
      <c r="AH222" s="8" t="s">
        <v>1026</v>
      </c>
      <c r="AI222" s="8" t="s">
        <v>1026</v>
      </c>
    </row>
    <row r="223" spans="24:35" x14ac:dyDescent="0.25">
      <c r="X223" s="8" t="s">
        <v>314</v>
      </c>
      <c r="Y223" s="8" t="s">
        <v>937</v>
      </c>
      <c r="Z223" s="8" t="s">
        <v>930</v>
      </c>
      <c r="AA223" s="5">
        <v>51</v>
      </c>
      <c r="AB223" s="8" t="s">
        <v>1016</v>
      </c>
      <c r="AC223" s="8" t="s">
        <v>939</v>
      </c>
      <c r="AD223" s="8" t="s">
        <v>1026</v>
      </c>
      <c r="AE223" s="8" t="s">
        <v>1025</v>
      </c>
      <c r="AF223" s="8" t="s">
        <v>1027</v>
      </c>
      <c r="AG223" s="8" t="s">
        <v>1026</v>
      </c>
      <c r="AH223" s="8" t="s">
        <v>1026</v>
      </c>
      <c r="AI223" s="8" t="s">
        <v>1026</v>
      </c>
    </row>
    <row r="224" spans="24:35" x14ac:dyDescent="0.25">
      <c r="X224" s="8" t="s">
        <v>315</v>
      </c>
      <c r="Y224" s="8" t="s">
        <v>976</v>
      </c>
      <c r="Z224" s="8" t="s">
        <v>956</v>
      </c>
      <c r="AA224" s="5">
        <v>38</v>
      </c>
      <c r="AB224" s="8" t="s">
        <v>990</v>
      </c>
      <c r="AC224" s="8" t="s">
        <v>946</v>
      </c>
      <c r="AD224" s="8" t="s">
        <v>1027</v>
      </c>
      <c r="AE224" s="8" t="s">
        <v>1025</v>
      </c>
      <c r="AF224" s="8" t="s">
        <v>1026</v>
      </c>
      <c r="AG224" s="8" t="s">
        <v>1026</v>
      </c>
      <c r="AH224" s="8" t="s">
        <v>1025</v>
      </c>
      <c r="AI224" s="8" t="s">
        <v>1026</v>
      </c>
    </row>
    <row r="225" spans="24:35" x14ac:dyDescent="0.25">
      <c r="X225" s="8" t="s">
        <v>316</v>
      </c>
      <c r="Y225" s="8" t="s">
        <v>959</v>
      </c>
      <c r="Z225" s="8" t="s">
        <v>953</v>
      </c>
      <c r="AA225" s="5">
        <v>47</v>
      </c>
      <c r="AB225" s="8" t="s">
        <v>990</v>
      </c>
      <c r="AC225" s="8" t="s">
        <v>994</v>
      </c>
      <c r="AD225" s="8" t="s">
        <v>1026</v>
      </c>
      <c r="AE225" s="8" t="s">
        <v>1027</v>
      </c>
      <c r="AF225" s="8" t="s">
        <v>1027</v>
      </c>
      <c r="AG225" s="8" t="s">
        <v>1026</v>
      </c>
      <c r="AH225" s="8" t="s">
        <v>1026</v>
      </c>
      <c r="AI225" s="8" t="s">
        <v>1026</v>
      </c>
    </row>
    <row r="226" spans="24:35" x14ac:dyDescent="0.25">
      <c r="X226" s="8" t="s">
        <v>317</v>
      </c>
      <c r="Y226" s="8" t="s">
        <v>976</v>
      </c>
      <c r="Z226" s="8" t="s">
        <v>960</v>
      </c>
      <c r="AA226" s="5">
        <v>54</v>
      </c>
      <c r="AB226" s="8" t="s">
        <v>943</v>
      </c>
      <c r="AC226" s="8" t="s">
        <v>946</v>
      </c>
      <c r="AD226" s="8" t="s">
        <v>1025</v>
      </c>
      <c r="AE226" s="8" t="s">
        <v>1027</v>
      </c>
      <c r="AF226" s="8" t="s">
        <v>1026</v>
      </c>
      <c r="AG226" s="8" t="s">
        <v>1027</v>
      </c>
      <c r="AH226" s="8" t="s">
        <v>1026</v>
      </c>
      <c r="AI226" s="8" t="s">
        <v>1026</v>
      </c>
    </row>
    <row r="227" spans="24:35" x14ac:dyDescent="0.25">
      <c r="X227" s="8" t="s">
        <v>318</v>
      </c>
      <c r="Y227" s="8" t="s">
        <v>1017</v>
      </c>
      <c r="Z227" s="8" t="s">
        <v>975</v>
      </c>
      <c r="AA227" s="5">
        <v>96</v>
      </c>
      <c r="AB227" s="8" t="s">
        <v>1003</v>
      </c>
      <c r="AC227" s="8" t="s">
        <v>1007</v>
      </c>
      <c r="AD227" s="8" t="s">
        <v>1028</v>
      </c>
      <c r="AE227" s="8" t="s">
        <v>1025</v>
      </c>
      <c r="AF227" s="8" t="s">
        <v>1025</v>
      </c>
      <c r="AG227" s="8" t="s">
        <v>1028</v>
      </c>
      <c r="AH227" s="8" t="s">
        <v>1025</v>
      </c>
      <c r="AI227" s="8" t="s">
        <v>1026</v>
      </c>
    </row>
    <row r="228" spans="24:35" x14ac:dyDescent="0.25">
      <c r="X228" s="8" t="s">
        <v>319</v>
      </c>
      <c r="Y228" s="8" t="s">
        <v>956</v>
      </c>
      <c r="Z228" s="8" t="s">
        <v>949</v>
      </c>
      <c r="AA228" s="5">
        <v>76</v>
      </c>
      <c r="AB228" s="8" t="s">
        <v>965</v>
      </c>
      <c r="AC228" s="8" t="s">
        <v>921</v>
      </c>
      <c r="AD228" s="8" t="s">
        <v>1026</v>
      </c>
      <c r="AE228" s="8" t="s">
        <v>1026</v>
      </c>
      <c r="AF228" s="8" t="s">
        <v>1027</v>
      </c>
      <c r="AG228" s="8" t="s">
        <v>1027</v>
      </c>
      <c r="AH228" s="8" t="s">
        <v>1026</v>
      </c>
      <c r="AI228" s="8" t="s">
        <v>1026</v>
      </c>
    </row>
    <row r="229" spans="24:35" x14ac:dyDescent="0.25">
      <c r="X229" s="8" t="s">
        <v>320</v>
      </c>
      <c r="Y229" s="8" t="s">
        <v>971</v>
      </c>
      <c r="Z229" s="8" t="s">
        <v>954</v>
      </c>
      <c r="AA229" s="5">
        <v>88</v>
      </c>
      <c r="AB229" s="8" t="s">
        <v>983</v>
      </c>
      <c r="AC229" s="8" t="s">
        <v>938</v>
      </c>
      <c r="AD229" s="8" t="s">
        <v>1025</v>
      </c>
      <c r="AE229" s="8" t="s">
        <v>1027</v>
      </c>
      <c r="AF229" s="8" t="s">
        <v>1027</v>
      </c>
      <c r="AG229" s="8" t="s">
        <v>1027</v>
      </c>
      <c r="AH229" s="8" t="s">
        <v>1026</v>
      </c>
      <c r="AI229" s="8" t="s">
        <v>1026</v>
      </c>
    </row>
    <row r="230" spans="24:35" x14ac:dyDescent="0.25">
      <c r="X230" s="8" t="s">
        <v>321</v>
      </c>
      <c r="Y230" s="8" t="s">
        <v>940</v>
      </c>
      <c r="Z230" s="8" t="s">
        <v>939</v>
      </c>
      <c r="AA230" s="5">
        <v>87</v>
      </c>
      <c r="AB230" s="8" t="s">
        <v>982</v>
      </c>
      <c r="AC230" s="8" t="s">
        <v>971</v>
      </c>
      <c r="AD230" s="8" t="s">
        <v>1025</v>
      </c>
      <c r="AE230" s="8" t="s">
        <v>1027</v>
      </c>
      <c r="AF230" s="8" t="s">
        <v>1025</v>
      </c>
      <c r="AG230" s="8" t="s">
        <v>1027</v>
      </c>
      <c r="AH230" s="8" t="s">
        <v>1027</v>
      </c>
      <c r="AI230" s="8" t="s">
        <v>1026</v>
      </c>
    </row>
    <row r="231" spans="24:35" x14ac:dyDescent="0.25">
      <c r="X231" s="8" t="s">
        <v>322</v>
      </c>
      <c r="Y231" s="8" t="s">
        <v>948</v>
      </c>
      <c r="Z231" s="8" t="s">
        <v>967</v>
      </c>
      <c r="AA231" s="5">
        <v>61</v>
      </c>
      <c r="AB231" s="8" t="s">
        <v>930</v>
      </c>
      <c r="AC231" s="8" t="s">
        <v>937</v>
      </c>
      <c r="AD231" s="8" t="s">
        <v>1026</v>
      </c>
      <c r="AE231" s="8" t="s">
        <v>1026</v>
      </c>
      <c r="AF231" s="8" t="s">
        <v>1027</v>
      </c>
      <c r="AG231" s="8" t="s">
        <v>1026</v>
      </c>
      <c r="AH231" s="8" t="s">
        <v>1026</v>
      </c>
      <c r="AI231" s="8" t="s">
        <v>1025</v>
      </c>
    </row>
    <row r="232" spans="24:35" x14ac:dyDescent="0.25">
      <c r="X232" s="8" t="s">
        <v>323</v>
      </c>
      <c r="Y232" s="8" t="s">
        <v>926</v>
      </c>
      <c r="Z232" s="8" t="s">
        <v>993</v>
      </c>
      <c r="AA232" s="5">
        <v>76</v>
      </c>
      <c r="AB232" s="8" t="s">
        <v>965</v>
      </c>
      <c r="AC232" s="8" t="s">
        <v>987</v>
      </c>
      <c r="AD232" s="8" t="s">
        <v>1027</v>
      </c>
      <c r="AE232" s="8" t="s">
        <v>1027</v>
      </c>
      <c r="AF232" s="8" t="s">
        <v>1027</v>
      </c>
      <c r="AG232" s="8" t="s">
        <v>1026</v>
      </c>
      <c r="AH232" s="8" t="s">
        <v>1027</v>
      </c>
      <c r="AI232" s="8" t="s">
        <v>1026</v>
      </c>
    </row>
    <row r="233" spans="24:35" x14ac:dyDescent="0.25">
      <c r="X233" s="8" t="s">
        <v>324</v>
      </c>
      <c r="Y233" s="8" t="s">
        <v>925</v>
      </c>
      <c r="Z233" s="8" t="s">
        <v>955</v>
      </c>
      <c r="AA233" s="5">
        <v>78</v>
      </c>
      <c r="AB233" s="8" t="s">
        <v>953</v>
      </c>
      <c r="AC233" s="8" t="s">
        <v>992</v>
      </c>
      <c r="AD233" s="8" t="s">
        <v>1026</v>
      </c>
      <c r="AE233" s="8" t="s">
        <v>1027</v>
      </c>
      <c r="AF233" s="8" t="s">
        <v>1026</v>
      </c>
      <c r="AG233" s="8" t="s">
        <v>1027</v>
      </c>
      <c r="AH233" s="8" t="s">
        <v>1026</v>
      </c>
      <c r="AI233" s="8" t="s">
        <v>1026</v>
      </c>
    </row>
    <row r="234" spans="24:35" x14ac:dyDescent="0.25">
      <c r="X234" s="8" t="s">
        <v>325</v>
      </c>
      <c r="Y234" s="8" t="s">
        <v>958</v>
      </c>
      <c r="Z234" s="8" t="s">
        <v>969</v>
      </c>
      <c r="AA234" s="5">
        <v>75</v>
      </c>
      <c r="AB234" s="8" t="s">
        <v>936</v>
      </c>
      <c r="AC234" s="8" t="s">
        <v>1007</v>
      </c>
      <c r="AD234" s="8" t="s">
        <v>1027</v>
      </c>
      <c r="AE234" s="8" t="s">
        <v>1027</v>
      </c>
      <c r="AF234" s="8" t="s">
        <v>1025</v>
      </c>
      <c r="AG234" s="8" t="s">
        <v>1027</v>
      </c>
      <c r="AH234" s="8" t="s">
        <v>1027</v>
      </c>
      <c r="AI234" s="8" t="s">
        <v>1026</v>
      </c>
    </row>
    <row r="235" spans="24:35" x14ac:dyDescent="0.25">
      <c r="X235" s="8" t="s">
        <v>326</v>
      </c>
      <c r="Y235" s="8" t="s">
        <v>950</v>
      </c>
      <c r="Z235" s="8" t="s">
        <v>990</v>
      </c>
      <c r="AA235" s="5">
        <v>71</v>
      </c>
      <c r="AB235" s="8" t="s">
        <v>983</v>
      </c>
      <c r="AC235" s="8" t="s">
        <v>985</v>
      </c>
      <c r="AD235" s="8" t="s">
        <v>1026</v>
      </c>
      <c r="AE235" s="8" t="s">
        <v>1026</v>
      </c>
      <c r="AF235" s="8" t="s">
        <v>1027</v>
      </c>
      <c r="AG235" s="8" t="s">
        <v>1026</v>
      </c>
      <c r="AH235" s="8" t="s">
        <v>1026</v>
      </c>
      <c r="AI235" s="8" t="s">
        <v>1026</v>
      </c>
    </row>
    <row r="236" spans="24:35" x14ac:dyDescent="0.25">
      <c r="X236" s="8" t="s">
        <v>327</v>
      </c>
      <c r="Y236" s="8" t="s">
        <v>954</v>
      </c>
      <c r="Z236" s="8" t="s">
        <v>940</v>
      </c>
      <c r="AA236" s="5">
        <v>34</v>
      </c>
      <c r="AB236" s="8" t="s">
        <v>922</v>
      </c>
      <c r="AC236" s="8" t="s">
        <v>923</v>
      </c>
      <c r="AD236" s="8" t="s">
        <v>1025</v>
      </c>
      <c r="AE236" s="8" t="s">
        <v>1026</v>
      </c>
      <c r="AF236" s="8" t="s">
        <v>1026</v>
      </c>
      <c r="AG236" s="8" t="s">
        <v>1027</v>
      </c>
      <c r="AH236" s="8" t="s">
        <v>1026</v>
      </c>
      <c r="AI236" s="8" t="s">
        <v>1027</v>
      </c>
    </row>
    <row r="237" spans="24:35" x14ac:dyDescent="0.25">
      <c r="X237" s="8" t="s">
        <v>328</v>
      </c>
      <c r="Y237" s="8" t="s">
        <v>974</v>
      </c>
      <c r="Z237" s="8" t="s">
        <v>974</v>
      </c>
      <c r="AA237" s="5">
        <v>40</v>
      </c>
      <c r="AB237" s="8" t="s">
        <v>955</v>
      </c>
      <c r="AC237" s="8" t="s">
        <v>966</v>
      </c>
      <c r="AD237" s="8" t="s">
        <v>1026</v>
      </c>
      <c r="AE237" s="8" t="s">
        <v>1027</v>
      </c>
      <c r="AF237" s="8" t="s">
        <v>1026</v>
      </c>
      <c r="AG237" s="8" t="s">
        <v>1027</v>
      </c>
      <c r="AH237" s="8" t="s">
        <v>1026</v>
      </c>
      <c r="AI237" s="8" t="s">
        <v>1026</v>
      </c>
    </row>
    <row r="238" spans="24:35" x14ac:dyDescent="0.25">
      <c r="X238" s="8" t="s">
        <v>329</v>
      </c>
      <c r="Y238" s="8" t="s">
        <v>976</v>
      </c>
      <c r="Z238" s="8" t="s">
        <v>929</v>
      </c>
      <c r="AA238" s="5">
        <v>25</v>
      </c>
      <c r="AB238" s="8" t="s">
        <v>946</v>
      </c>
      <c r="AC238" s="8" t="s">
        <v>923</v>
      </c>
      <c r="AD238" s="8" t="s">
        <v>1026</v>
      </c>
      <c r="AE238" s="8" t="s">
        <v>1028</v>
      </c>
      <c r="AF238" s="8" t="s">
        <v>1025</v>
      </c>
      <c r="AG238" s="8" t="s">
        <v>1026</v>
      </c>
      <c r="AH238" s="8" t="s">
        <v>1026</v>
      </c>
      <c r="AI238" s="8" t="s">
        <v>1026</v>
      </c>
    </row>
    <row r="239" spans="24:35" x14ac:dyDescent="0.25">
      <c r="X239" s="8" t="s">
        <v>330</v>
      </c>
      <c r="Y239" s="8" t="s">
        <v>926</v>
      </c>
      <c r="Z239" s="8" t="s">
        <v>969</v>
      </c>
      <c r="AA239" s="5">
        <v>60</v>
      </c>
      <c r="AB239" s="8" t="s">
        <v>997</v>
      </c>
      <c r="AC239" s="8" t="s">
        <v>994</v>
      </c>
      <c r="AD239" s="8" t="s">
        <v>1027</v>
      </c>
      <c r="AE239" s="8" t="s">
        <v>1025</v>
      </c>
      <c r="AF239" s="8" t="s">
        <v>1027</v>
      </c>
      <c r="AG239" s="8" t="s">
        <v>1026</v>
      </c>
      <c r="AH239" s="8" t="s">
        <v>1026</v>
      </c>
      <c r="AI239" s="8" t="s">
        <v>1025</v>
      </c>
    </row>
    <row r="240" spans="24:35" x14ac:dyDescent="0.25">
      <c r="X240" s="8" t="s">
        <v>331</v>
      </c>
      <c r="Y240" s="8" t="s">
        <v>953</v>
      </c>
      <c r="Z240" s="8" t="s">
        <v>937</v>
      </c>
      <c r="AA240" s="5">
        <v>72</v>
      </c>
      <c r="AB240" s="8" t="s">
        <v>953</v>
      </c>
      <c r="AC240" s="8" t="s">
        <v>948</v>
      </c>
      <c r="AD240" s="8" t="s">
        <v>1027</v>
      </c>
      <c r="AE240" s="8" t="s">
        <v>1026</v>
      </c>
      <c r="AF240" s="8" t="s">
        <v>1025</v>
      </c>
      <c r="AG240" s="8" t="s">
        <v>1026</v>
      </c>
      <c r="AH240" s="8" t="s">
        <v>1026</v>
      </c>
      <c r="AI240" s="8" t="s">
        <v>1026</v>
      </c>
    </row>
    <row r="241" spans="24:35" x14ac:dyDescent="0.25">
      <c r="X241" s="8" t="s">
        <v>332</v>
      </c>
      <c r="Y241" s="8" t="s">
        <v>921</v>
      </c>
      <c r="Z241" s="8" t="s">
        <v>953</v>
      </c>
      <c r="AA241" s="5">
        <v>62</v>
      </c>
      <c r="AB241" s="8" t="s">
        <v>974</v>
      </c>
      <c r="AC241" s="8" t="s">
        <v>937</v>
      </c>
      <c r="AD241" s="8" t="s">
        <v>1026</v>
      </c>
      <c r="AE241" s="8" t="s">
        <v>1026</v>
      </c>
      <c r="AF241" s="8" t="s">
        <v>1025</v>
      </c>
      <c r="AG241" s="8" t="s">
        <v>1026</v>
      </c>
      <c r="AH241" s="8" t="s">
        <v>1025</v>
      </c>
      <c r="AI241" s="8" t="s">
        <v>1026</v>
      </c>
    </row>
    <row r="242" spans="24:35" x14ac:dyDescent="0.25">
      <c r="X242" s="8" t="s">
        <v>333</v>
      </c>
      <c r="Y242" s="8" t="s">
        <v>953</v>
      </c>
      <c r="Z242" s="8" t="s">
        <v>987</v>
      </c>
      <c r="AA242" s="5">
        <v>41</v>
      </c>
      <c r="AB242" s="8" t="s">
        <v>981</v>
      </c>
      <c r="AC242" s="8" t="s">
        <v>1016</v>
      </c>
      <c r="AD242" s="8" t="s">
        <v>1026</v>
      </c>
      <c r="AE242" s="8" t="s">
        <v>1026</v>
      </c>
      <c r="AF242" s="8" t="s">
        <v>1026</v>
      </c>
      <c r="AG242" s="8" t="s">
        <v>1025</v>
      </c>
      <c r="AH242" s="8" t="s">
        <v>1028</v>
      </c>
      <c r="AI242" s="8" t="s">
        <v>1025</v>
      </c>
    </row>
    <row r="243" spans="24:35" x14ac:dyDescent="0.25">
      <c r="X243" s="8" t="s">
        <v>334</v>
      </c>
      <c r="Y243" s="8" t="s">
        <v>937</v>
      </c>
      <c r="Z243" s="8" t="s">
        <v>929</v>
      </c>
      <c r="AA243" s="5">
        <v>42</v>
      </c>
      <c r="AB243" s="8" t="s">
        <v>922</v>
      </c>
      <c r="AC243" s="8" t="s">
        <v>976</v>
      </c>
      <c r="AD243" s="8" t="s">
        <v>1026</v>
      </c>
      <c r="AE243" s="8" t="s">
        <v>1025</v>
      </c>
      <c r="AF243" s="8" t="s">
        <v>1026</v>
      </c>
      <c r="AG243" s="8" t="s">
        <v>1027</v>
      </c>
      <c r="AH243" s="8" t="s">
        <v>1026</v>
      </c>
      <c r="AI243" s="8" t="s">
        <v>1025</v>
      </c>
    </row>
    <row r="244" spans="24:35" x14ac:dyDescent="0.25">
      <c r="X244" s="8" t="s">
        <v>335</v>
      </c>
      <c r="Y244" s="8" t="s">
        <v>940</v>
      </c>
      <c r="Z244" s="8" t="s">
        <v>996</v>
      </c>
      <c r="AA244" s="5">
        <v>48</v>
      </c>
      <c r="AB244" s="8" t="s">
        <v>959</v>
      </c>
      <c r="AC244" s="8" t="s">
        <v>976</v>
      </c>
      <c r="AD244" s="8" t="s">
        <v>1025</v>
      </c>
      <c r="AE244" s="8" t="s">
        <v>1028</v>
      </c>
      <c r="AF244" s="8" t="s">
        <v>1026</v>
      </c>
      <c r="AG244" s="8" t="s">
        <v>1025</v>
      </c>
      <c r="AH244" s="8" t="s">
        <v>1026</v>
      </c>
      <c r="AI244" s="8" t="s">
        <v>1028</v>
      </c>
    </row>
    <row r="245" spans="24:35" x14ac:dyDescent="0.25">
      <c r="X245" s="8" t="s">
        <v>336</v>
      </c>
      <c r="Y245" s="8" t="s">
        <v>958</v>
      </c>
      <c r="Z245" s="8" t="s">
        <v>954</v>
      </c>
      <c r="AA245" s="5">
        <v>71</v>
      </c>
      <c r="AB245" s="8" t="s">
        <v>954</v>
      </c>
      <c r="AC245" s="8" t="s">
        <v>949</v>
      </c>
      <c r="AD245" s="8" t="s">
        <v>1025</v>
      </c>
      <c r="AE245" s="8" t="s">
        <v>1027</v>
      </c>
      <c r="AF245" s="8" t="s">
        <v>1027</v>
      </c>
      <c r="AG245" s="8" t="s">
        <v>1027</v>
      </c>
      <c r="AH245" s="8" t="s">
        <v>1027</v>
      </c>
      <c r="AI245" s="8" t="s">
        <v>1026</v>
      </c>
    </row>
    <row r="246" spans="24:35" x14ac:dyDescent="0.25">
      <c r="X246" s="8" t="s">
        <v>337</v>
      </c>
      <c r="Y246" s="8" t="s">
        <v>967</v>
      </c>
      <c r="Z246" s="8" t="s">
        <v>947</v>
      </c>
      <c r="AA246" s="5">
        <v>80</v>
      </c>
      <c r="AB246" s="8" t="s">
        <v>972</v>
      </c>
      <c r="AC246" s="8" t="s">
        <v>949</v>
      </c>
      <c r="AD246" s="8" t="s">
        <v>1026</v>
      </c>
      <c r="AE246" s="8" t="s">
        <v>1026</v>
      </c>
      <c r="AF246" s="8" t="s">
        <v>1027</v>
      </c>
      <c r="AG246" s="8" t="s">
        <v>1026</v>
      </c>
      <c r="AH246" s="8" t="s">
        <v>1026</v>
      </c>
      <c r="AI246" s="8" t="s">
        <v>1026</v>
      </c>
    </row>
    <row r="247" spans="24:35" x14ac:dyDescent="0.25">
      <c r="X247" s="8" t="s">
        <v>338</v>
      </c>
      <c r="Y247" s="8" t="s">
        <v>1002</v>
      </c>
      <c r="Z247" s="8" t="s">
        <v>958</v>
      </c>
      <c r="AA247" s="5">
        <v>96</v>
      </c>
      <c r="AB247" s="8" t="s">
        <v>928</v>
      </c>
      <c r="AC247" s="8" t="s">
        <v>1003</v>
      </c>
      <c r="AD247" s="8" t="s">
        <v>1025</v>
      </c>
      <c r="AE247" s="8" t="s">
        <v>1025</v>
      </c>
      <c r="AF247" s="8" t="s">
        <v>1028</v>
      </c>
      <c r="AG247" s="8" t="s">
        <v>1026</v>
      </c>
      <c r="AH247" s="8" t="s">
        <v>1026</v>
      </c>
      <c r="AI247" s="8" t="s">
        <v>1028</v>
      </c>
    </row>
    <row r="248" spans="24:35" x14ac:dyDescent="0.25">
      <c r="X248" s="8" t="s">
        <v>339</v>
      </c>
      <c r="Y248" s="8" t="s">
        <v>929</v>
      </c>
      <c r="Z248" s="8" t="s">
        <v>983</v>
      </c>
      <c r="AA248" s="5">
        <v>73</v>
      </c>
      <c r="AB248" s="8" t="s">
        <v>978</v>
      </c>
      <c r="AC248" s="8" t="s">
        <v>949</v>
      </c>
      <c r="AD248" s="8" t="s">
        <v>1028</v>
      </c>
      <c r="AE248" s="8" t="s">
        <v>1025</v>
      </c>
      <c r="AF248" s="8" t="s">
        <v>1025</v>
      </c>
      <c r="AG248" s="8" t="s">
        <v>1027</v>
      </c>
      <c r="AH248" s="8" t="s">
        <v>1026</v>
      </c>
      <c r="AI248" s="8" t="s">
        <v>1028</v>
      </c>
    </row>
    <row r="249" spans="24:35" x14ac:dyDescent="0.25">
      <c r="X249" s="8" t="s">
        <v>340</v>
      </c>
      <c r="Y249" s="8" t="s">
        <v>936</v>
      </c>
      <c r="Z249" s="8" t="s">
        <v>939</v>
      </c>
      <c r="AA249" s="5">
        <v>72</v>
      </c>
      <c r="AB249" s="8" t="s">
        <v>926</v>
      </c>
      <c r="AC249" s="8" t="s">
        <v>940</v>
      </c>
      <c r="AD249" s="8" t="s">
        <v>1025</v>
      </c>
      <c r="AE249" s="8" t="s">
        <v>1027</v>
      </c>
      <c r="AF249" s="8" t="s">
        <v>1025</v>
      </c>
      <c r="AG249" s="8" t="s">
        <v>1027</v>
      </c>
      <c r="AH249" s="8" t="s">
        <v>1027</v>
      </c>
      <c r="AI249" s="8" t="s">
        <v>1028</v>
      </c>
    </row>
    <row r="250" spans="24:35" x14ac:dyDescent="0.25">
      <c r="X250" s="8" t="s">
        <v>341</v>
      </c>
      <c r="Y250" s="8" t="s">
        <v>921</v>
      </c>
      <c r="Z250" s="8" t="s">
        <v>987</v>
      </c>
      <c r="AA250" s="5">
        <v>29</v>
      </c>
      <c r="AB250" s="8" t="s">
        <v>927</v>
      </c>
      <c r="AC250" s="8" t="s">
        <v>921</v>
      </c>
      <c r="AD250" s="8" t="s">
        <v>1025</v>
      </c>
      <c r="AE250" s="8" t="s">
        <v>1028</v>
      </c>
      <c r="AF250" s="8" t="s">
        <v>1026</v>
      </c>
      <c r="AG250" s="8" t="s">
        <v>1027</v>
      </c>
      <c r="AH250" s="8" t="s">
        <v>1026</v>
      </c>
      <c r="AI250" s="8" t="s">
        <v>1026</v>
      </c>
    </row>
    <row r="251" spans="24:35" x14ac:dyDescent="0.25">
      <c r="X251" s="8" t="s">
        <v>342</v>
      </c>
      <c r="Y251" s="8" t="s">
        <v>938</v>
      </c>
      <c r="Z251" s="8" t="s">
        <v>953</v>
      </c>
      <c r="AA251" s="5">
        <v>70</v>
      </c>
      <c r="AB251" s="8" t="s">
        <v>958</v>
      </c>
      <c r="AC251" s="8" t="s">
        <v>925</v>
      </c>
      <c r="AD251" s="8" t="s">
        <v>1027</v>
      </c>
      <c r="AE251" s="8" t="s">
        <v>1025</v>
      </c>
      <c r="AF251" s="8" t="s">
        <v>1025</v>
      </c>
      <c r="AG251" s="8" t="s">
        <v>1027</v>
      </c>
      <c r="AH251" s="8" t="s">
        <v>1025</v>
      </c>
      <c r="AI251" s="8" t="s">
        <v>1026</v>
      </c>
    </row>
    <row r="252" spans="24:35" x14ac:dyDescent="0.25">
      <c r="X252" s="8" t="s">
        <v>343</v>
      </c>
      <c r="Y252" s="8" t="s">
        <v>965</v>
      </c>
      <c r="Z252" s="8" t="s">
        <v>956</v>
      </c>
      <c r="AA252" s="5">
        <v>71</v>
      </c>
      <c r="AB252" s="8" t="s">
        <v>976</v>
      </c>
      <c r="AC252" s="8" t="s">
        <v>972</v>
      </c>
      <c r="AD252" s="8" t="s">
        <v>1025</v>
      </c>
      <c r="AE252" s="8" t="s">
        <v>1025</v>
      </c>
      <c r="AF252" s="8" t="s">
        <v>1025</v>
      </c>
      <c r="AG252" s="8" t="s">
        <v>1026</v>
      </c>
      <c r="AH252" s="8" t="s">
        <v>1027</v>
      </c>
      <c r="AI252" s="8" t="s">
        <v>1028</v>
      </c>
    </row>
    <row r="253" spans="24:35" x14ac:dyDescent="0.25">
      <c r="X253" s="8" t="s">
        <v>344</v>
      </c>
      <c r="Y253" s="8" t="s">
        <v>958</v>
      </c>
      <c r="Z253" s="8" t="s">
        <v>978</v>
      </c>
      <c r="AA253" s="5">
        <v>72</v>
      </c>
      <c r="AB253" s="8" t="s">
        <v>925</v>
      </c>
      <c r="AC253" s="8" t="s">
        <v>972</v>
      </c>
      <c r="AD253" s="8" t="s">
        <v>1027</v>
      </c>
      <c r="AE253" s="8" t="s">
        <v>1027</v>
      </c>
      <c r="AF253" s="8" t="s">
        <v>1025</v>
      </c>
      <c r="AG253" s="8" t="s">
        <v>1027</v>
      </c>
      <c r="AH253" s="8" t="s">
        <v>1026</v>
      </c>
      <c r="AI253" s="8" t="s">
        <v>1026</v>
      </c>
    </row>
    <row r="254" spans="24:35" x14ac:dyDescent="0.25">
      <c r="X254" s="8" t="s">
        <v>345</v>
      </c>
      <c r="Y254" s="8" t="s">
        <v>969</v>
      </c>
      <c r="Z254" s="8" t="s">
        <v>925</v>
      </c>
      <c r="AA254" s="5">
        <v>34</v>
      </c>
      <c r="AB254" s="8" t="s">
        <v>1013</v>
      </c>
      <c r="AC254" s="8" t="s">
        <v>945</v>
      </c>
      <c r="AD254" s="8" t="s">
        <v>1026</v>
      </c>
      <c r="AE254" s="8" t="s">
        <v>1025</v>
      </c>
      <c r="AF254" s="8" t="s">
        <v>1027</v>
      </c>
      <c r="AG254" s="8" t="s">
        <v>1026</v>
      </c>
      <c r="AH254" s="8" t="s">
        <v>1025</v>
      </c>
      <c r="AI254" s="8" t="s">
        <v>1026</v>
      </c>
    </row>
    <row r="255" spans="24:35" x14ac:dyDescent="0.25">
      <c r="X255" s="8" t="s">
        <v>346</v>
      </c>
      <c r="Y255" s="8" t="s">
        <v>958</v>
      </c>
      <c r="Z255" s="8" t="s">
        <v>925</v>
      </c>
      <c r="AA255" s="5">
        <v>67</v>
      </c>
      <c r="AB255" s="8" t="s">
        <v>931</v>
      </c>
      <c r="AC255" s="8" t="s">
        <v>992</v>
      </c>
      <c r="AD255" s="8" t="s">
        <v>1027</v>
      </c>
      <c r="AE255" s="8" t="s">
        <v>1026</v>
      </c>
      <c r="AF255" s="8" t="s">
        <v>1026</v>
      </c>
      <c r="AG255" s="8" t="s">
        <v>1025</v>
      </c>
      <c r="AH255" s="8" t="s">
        <v>1026</v>
      </c>
      <c r="AI255" s="8" t="s">
        <v>1026</v>
      </c>
    </row>
    <row r="256" spans="24:35" x14ac:dyDescent="0.25">
      <c r="X256" s="8" t="s">
        <v>347</v>
      </c>
      <c r="Y256" s="8" t="s">
        <v>967</v>
      </c>
      <c r="Z256" s="8" t="s">
        <v>946</v>
      </c>
      <c r="AA256" s="5">
        <v>95</v>
      </c>
      <c r="AB256" s="8" t="s">
        <v>1017</v>
      </c>
      <c r="AC256" s="8" t="s">
        <v>1003</v>
      </c>
      <c r="AD256" s="8" t="s">
        <v>1026</v>
      </c>
      <c r="AE256" s="8" t="s">
        <v>1027</v>
      </c>
      <c r="AF256" s="8" t="s">
        <v>1027</v>
      </c>
      <c r="AG256" s="8" t="s">
        <v>1026</v>
      </c>
      <c r="AH256" s="8" t="s">
        <v>1026</v>
      </c>
      <c r="AI256" s="8" t="s">
        <v>1026</v>
      </c>
    </row>
    <row r="257" spans="24:35" x14ac:dyDescent="0.25">
      <c r="X257" s="8" t="s">
        <v>348</v>
      </c>
      <c r="Y257" s="8" t="s">
        <v>960</v>
      </c>
      <c r="Z257" s="8" t="s">
        <v>930</v>
      </c>
      <c r="AA257" s="5">
        <v>29</v>
      </c>
      <c r="AB257" s="8" t="s">
        <v>981</v>
      </c>
      <c r="AC257" s="8" t="s">
        <v>979</v>
      </c>
      <c r="AD257" s="8" t="s">
        <v>1027</v>
      </c>
      <c r="AE257" s="8" t="s">
        <v>1026</v>
      </c>
      <c r="AF257" s="8" t="s">
        <v>1026</v>
      </c>
      <c r="AG257" s="8" t="s">
        <v>1027</v>
      </c>
      <c r="AH257" s="8" t="s">
        <v>1026</v>
      </c>
      <c r="AI257" s="8" t="s">
        <v>1026</v>
      </c>
    </row>
    <row r="258" spans="24:35" x14ac:dyDescent="0.25">
      <c r="X258" s="8" t="s">
        <v>349</v>
      </c>
      <c r="Y258" s="8" t="s">
        <v>957</v>
      </c>
      <c r="Z258" s="8" t="s">
        <v>991</v>
      </c>
      <c r="AA258" s="5">
        <v>70</v>
      </c>
      <c r="AB258" s="8" t="s">
        <v>921</v>
      </c>
      <c r="AC258" s="8" t="s">
        <v>956</v>
      </c>
      <c r="AD258" s="8" t="s">
        <v>1026</v>
      </c>
      <c r="AE258" s="8" t="s">
        <v>1026</v>
      </c>
      <c r="AF258" s="8" t="s">
        <v>1026</v>
      </c>
      <c r="AG258" s="8" t="s">
        <v>1026</v>
      </c>
      <c r="AH258" s="8" t="s">
        <v>1026</v>
      </c>
      <c r="AI258" s="8" t="s">
        <v>1026</v>
      </c>
    </row>
    <row r="259" spans="24:35" x14ac:dyDescent="0.25">
      <c r="X259" s="8" t="s">
        <v>350</v>
      </c>
      <c r="Y259" s="8" t="s">
        <v>986</v>
      </c>
      <c r="Z259" s="8" t="s">
        <v>924</v>
      </c>
      <c r="AA259" s="5">
        <v>77</v>
      </c>
      <c r="AB259" s="8" t="s">
        <v>960</v>
      </c>
      <c r="AC259" s="8" t="s">
        <v>931</v>
      </c>
      <c r="AD259" s="8" t="s">
        <v>1026</v>
      </c>
      <c r="AE259" s="8" t="s">
        <v>1026</v>
      </c>
      <c r="AF259" s="8" t="s">
        <v>1026</v>
      </c>
      <c r="AG259" s="8" t="s">
        <v>1026</v>
      </c>
      <c r="AH259" s="8" t="s">
        <v>1026</v>
      </c>
      <c r="AI259" s="8" t="s">
        <v>1026</v>
      </c>
    </row>
    <row r="260" spans="24:35" x14ac:dyDescent="0.25">
      <c r="X260" s="8" t="s">
        <v>351</v>
      </c>
      <c r="Y260" s="8" t="s">
        <v>924</v>
      </c>
      <c r="Z260" s="8" t="s">
        <v>964</v>
      </c>
      <c r="AA260" s="5">
        <v>77</v>
      </c>
      <c r="AB260" s="8" t="s">
        <v>938</v>
      </c>
      <c r="AC260" s="8" t="s">
        <v>954</v>
      </c>
      <c r="AD260" s="8" t="s">
        <v>1026</v>
      </c>
      <c r="AE260" s="8" t="s">
        <v>1026</v>
      </c>
      <c r="AF260" s="8" t="s">
        <v>1026</v>
      </c>
      <c r="AG260" s="8" t="s">
        <v>1026</v>
      </c>
      <c r="AH260" s="8" t="s">
        <v>1026</v>
      </c>
      <c r="AI260" s="8" t="s">
        <v>1026</v>
      </c>
    </row>
    <row r="261" spans="24:35" x14ac:dyDescent="0.25">
      <c r="X261" s="8" t="s">
        <v>352</v>
      </c>
      <c r="Y261" s="8" t="s">
        <v>925</v>
      </c>
      <c r="Z261" s="8" t="s">
        <v>968</v>
      </c>
      <c r="AA261" s="5">
        <v>94</v>
      </c>
      <c r="AB261" s="8" t="s">
        <v>982</v>
      </c>
      <c r="AC261" s="8" t="s">
        <v>929</v>
      </c>
      <c r="AD261" s="8" t="s">
        <v>1027</v>
      </c>
      <c r="AE261" s="8" t="s">
        <v>1027</v>
      </c>
      <c r="AF261" s="8" t="s">
        <v>1027</v>
      </c>
      <c r="AG261" s="8" t="s">
        <v>1027</v>
      </c>
      <c r="AH261" s="8" t="s">
        <v>1027</v>
      </c>
      <c r="AI261" s="8" t="s">
        <v>1026</v>
      </c>
    </row>
    <row r="262" spans="24:35" x14ac:dyDescent="0.25">
      <c r="X262" s="8" t="s">
        <v>353</v>
      </c>
      <c r="Y262" s="8" t="s">
        <v>937</v>
      </c>
      <c r="Z262" s="8" t="s">
        <v>956</v>
      </c>
      <c r="AA262" s="5">
        <v>63</v>
      </c>
      <c r="AB262" s="8" t="s">
        <v>992</v>
      </c>
      <c r="AC262" s="8" t="s">
        <v>967</v>
      </c>
      <c r="AD262" s="8" t="s">
        <v>1027</v>
      </c>
      <c r="AE262" s="8" t="s">
        <v>1026</v>
      </c>
      <c r="AF262" s="8" t="s">
        <v>1026</v>
      </c>
      <c r="AG262" s="8" t="s">
        <v>1027</v>
      </c>
      <c r="AH262" s="8" t="s">
        <v>1027</v>
      </c>
      <c r="AI262" s="8" t="s">
        <v>1026</v>
      </c>
    </row>
    <row r="263" spans="24:35" x14ac:dyDescent="0.25">
      <c r="X263" s="8" t="s">
        <v>354</v>
      </c>
      <c r="Y263" s="8" t="s">
        <v>1013</v>
      </c>
      <c r="Z263" s="8" t="s">
        <v>1009</v>
      </c>
      <c r="AA263" s="5">
        <v>71</v>
      </c>
      <c r="AB263" s="8" t="s">
        <v>940</v>
      </c>
      <c r="AC263" s="8" t="s">
        <v>960</v>
      </c>
      <c r="AD263" s="8" t="s">
        <v>1026</v>
      </c>
      <c r="AE263" s="8" t="s">
        <v>1026</v>
      </c>
      <c r="AF263" s="8" t="s">
        <v>1027</v>
      </c>
      <c r="AG263" s="8" t="s">
        <v>1026</v>
      </c>
      <c r="AH263" s="8" t="s">
        <v>1027</v>
      </c>
      <c r="AI263" s="8" t="s">
        <v>1026</v>
      </c>
    </row>
    <row r="264" spans="24:35" x14ac:dyDescent="0.25">
      <c r="X264" s="8" t="s">
        <v>355</v>
      </c>
      <c r="Y264" s="8" t="s">
        <v>938</v>
      </c>
      <c r="Z264" s="8" t="s">
        <v>995</v>
      </c>
      <c r="AA264" s="5">
        <v>84</v>
      </c>
      <c r="AB264" s="8" t="s">
        <v>1003</v>
      </c>
      <c r="AC264" s="8" t="s">
        <v>985</v>
      </c>
      <c r="AD264" s="8" t="s">
        <v>1027</v>
      </c>
      <c r="AE264" s="8" t="s">
        <v>1027</v>
      </c>
      <c r="AF264" s="8" t="s">
        <v>1025</v>
      </c>
      <c r="AG264" s="8" t="s">
        <v>1026</v>
      </c>
      <c r="AH264" s="8" t="s">
        <v>1028</v>
      </c>
      <c r="AI264" s="8" t="s">
        <v>1025</v>
      </c>
    </row>
    <row r="265" spans="24:35" x14ac:dyDescent="0.25">
      <c r="X265" s="8" t="s">
        <v>356</v>
      </c>
      <c r="Y265" s="8" t="s">
        <v>983</v>
      </c>
      <c r="Z265" s="8" t="s">
        <v>933</v>
      </c>
      <c r="AA265" s="5">
        <v>91</v>
      </c>
      <c r="AB265" s="8" t="s">
        <v>965</v>
      </c>
      <c r="AC265" s="8" t="s">
        <v>930</v>
      </c>
      <c r="AD265" s="8" t="s">
        <v>1027</v>
      </c>
      <c r="AE265" s="8" t="s">
        <v>1027</v>
      </c>
      <c r="AF265" s="8" t="s">
        <v>1025</v>
      </c>
      <c r="AG265" s="8" t="s">
        <v>1026</v>
      </c>
      <c r="AH265" s="8" t="s">
        <v>1025</v>
      </c>
      <c r="AI265" s="8" t="s">
        <v>1026</v>
      </c>
    </row>
    <row r="266" spans="24:35" x14ac:dyDescent="0.25">
      <c r="X266" s="8" t="s">
        <v>357</v>
      </c>
      <c r="Y266" s="8" t="s">
        <v>932</v>
      </c>
      <c r="Z266" s="8" t="s">
        <v>970</v>
      </c>
      <c r="AA266" s="5">
        <v>65</v>
      </c>
      <c r="AB266" s="8" t="s">
        <v>954</v>
      </c>
      <c r="AC266" s="8" t="s">
        <v>989</v>
      </c>
      <c r="AD266" s="8" t="s">
        <v>1026</v>
      </c>
      <c r="AE266" s="8" t="s">
        <v>1026</v>
      </c>
      <c r="AF266" s="8" t="s">
        <v>1026</v>
      </c>
      <c r="AG266" s="8" t="s">
        <v>1026</v>
      </c>
      <c r="AH266" s="8" t="s">
        <v>1026</v>
      </c>
      <c r="AI266" s="8" t="s">
        <v>1026</v>
      </c>
    </row>
    <row r="267" spans="24:35" x14ac:dyDescent="0.25">
      <c r="X267" s="8" t="s">
        <v>358</v>
      </c>
      <c r="Y267" s="8" t="s">
        <v>958</v>
      </c>
      <c r="Z267" s="8" t="s">
        <v>955</v>
      </c>
      <c r="AA267" s="5">
        <v>57</v>
      </c>
      <c r="AB267" s="8" t="s">
        <v>933</v>
      </c>
      <c r="AC267" s="8" t="s">
        <v>973</v>
      </c>
      <c r="AD267" s="8" t="s">
        <v>1026</v>
      </c>
      <c r="AE267" s="8" t="s">
        <v>1026</v>
      </c>
      <c r="AF267" s="8" t="s">
        <v>1027</v>
      </c>
      <c r="AG267" s="8" t="s">
        <v>1027</v>
      </c>
      <c r="AH267" s="8" t="s">
        <v>1026</v>
      </c>
      <c r="AI267" s="8" t="s">
        <v>1026</v>
      </c>
    </row>
    <row r="268" spans="24:35" x14ac:dyDescent="0.25">
      <c r="X268" s="8" t="s">
        <v>359</v>
      </c>
      <c r="Y268" s="8" t="s">
        <v>957</v>
      </c>
      <c r="Z268" s="8" t="s">
        <v>1009</v>
      </c>
      <c r="AA268" s="5">
        <v>73</v>
      </c>
      <c r="AB268" s="8" t="s">
        <v>936</v>
      </c>
      <c r="AC268" s="8" t="s">
        <v>998</v>
      </c>
      <c r="AD268" s="8" t="s">
        <v>1026</v>
      </c>
      <c r="AE268" s="8" t="s">
        <v>1026</v>
      </c>
      <c r="AF268" s="8" t="s">
        <v>1027</v>
      </c>
      <c r="AG268" s="8" t="s">
        <v>1026</v>
      </c>
      <c r="AH268" s="8" t="s">
        <v>1026</v>
      </c>
      <c r="AI268" s="8" t="s">
        <v>1025</v>
      </c>
    </row>
    <row r="269" spans="24:35" x14ac:dyDescent="0.25">
      <c r="X269" s="8" t="s">
        <v>360</v>
      </c>
      <c r="Y269" s="8" t="s">
        <v>938</v>
      </c>
      <c r="Z269" s="8" t="s">
        <v>929</v>
      </c>
      <c r="AA269" s="5">
        <v>51</v>
      </c>
      <c r="AB269" s="8" t="s">
        <v>992</v>
      </c>
      <c r="AC269" s="8" t="s">
        <v>921</v>
      </c>
      <c r="AD269" s="8" t="s">
        <v>1027</v>
      </c>
      <c r="AE269" s="8" t="s">
        <v>1025</v>
      </c>
      <c r="AF269" s="8" t="s">
        <v>1028</v>
      </c>
      <c r="AG269" s="8" t="s">
        <v>1027</v>
      </c>
      <c r="AH269" s="8" t="s">
        <v>1026</v>
      </c>
      <c r="AI269" s="8" t="s">
        <v>1028</v>
      </c>
    </row>
    <row r="270" spans="24:35" x14ac:dyDescent="0.25">
      <c r="X270" s="8" t="s">
        <v>361</v>
      </c>
      <c r="Y270" s="8" t="s">
        <v>934</v>
      </c>
      <c r="Z270" s="8" t="s">
        <v>1016</v>
      </c>
      <c r="AA270" s="5">
        <v>85</v>
      </c>
      <c r="AB270" s="8" t="s">
        <v>936</v>
      </c>
      <c r="AC270" s="8" t="s">
        <v>978</v>
      </c>
      <c r="AD270" s="8" t="s">
        <v>1026</v>
      </c>
      <c r="AE270" s="8" t="s">
        <v>1027</v>
      </c>
      <c r="AF270" s="8" t="s">
        <v>1025</v>
      </c>
      <c r="AG270" s="8" t="s">
        <v>1026</v>
      </c>
      <c r="AH270" s="8" t="s">
        <v>1027</v>
      </c>
      <c r="AI270" s="8" t="s">
        <v>1026</v>
      </c>
    </row>
    <row r="271" spans="24:35" x14ac:dyDescent="0.25">
      <c r="X271" s="8" t="s">
        <v>362</v>
      </c>
      <c r="Y271" s="8" t="s">
        <v>977</v>
      </c>
      <c r="Z271" s="8" t="s">
        <v>977</v>
      </c>
      <c r="AA271" s="5">
        <v>66</v>
      </c>
      <c r="AB271" s="8" t="s">
        <v>958</v>
      </c>
      <c r="AC271" s="8" t="s">
        <v>966</v>
      </c>
      <c r="AD271" s="8" t="s">
        <v>1026</v>
      </c>
      <c r="AE271" s="8" t="s">
        <v>1026</v>
      </c>
      <c r="AF271" s="8" t="s">
        <v>1026</v>
      </c>
      <c r="AG271" s="8" t="s">
        <v>1026</v>
      </c>
      <c r="AH271" s="8" t="s">
        <v>1026</v>
      </c>
      <c r="AI271" s="8" t="s">
        <v>1026</v>
      </c>
    </row>
    <row r="272" spans="24:35" x14ac:dyDescent="0.25">
      <c r="X272" s="8" t="s">
        <v>363</v>
      </c>
      <c r="Y272" s="8" t="s">
        <v>973</v>
      </c>
      <c r="Z272" s="8" t="s">
        <v>940</v>
      </c>
      <c r="AA272" s="5">
        <v>35</v>
      </c>
      <c r="AB272" s="8" t="s">
        <v>981</v>
      </c>
      <c r="AC272" s="8" t="s">
        <v>984</v>
      </c>
      <c r="AD272" s="8" t="s">
        <v>1026</v>
      </c>
      <c r="AE272" s="8" t="s">
        <v>1025</v>
      </c>
      <c r="AF272" s="8" t="s">
        <v>1026</v>
      </c>
      <c r="AG272" s="8" t="s">
        <v>1027</v>
      </c>
      <c r="AH272" s="8" t="s">
        <v>1026</v>
      </c>
      <c r="AI272" s="8" t="s">
        <v>1026</v>
      </c>
    </row>
    <row r="273" spans="24:35" x14ac:dyDescent="0.25">
      <c r="X273" s="8" t="s">
        <v>364</v>
      </c>
      <c r="Y273" s="8" t="s">
        <v>953</v>
      </c>
      <c r="Z273" s="8" t="s">
        <v>960</v>
      </c>
      <c r="AA273" s="5">
        <v>33</v>
      </c>
      <c r="AB273" s="8" t="s">
        <v>1013</v>
      </c>
      <c r="AC273" s="8" t="s">
        <v>941</v>
      </c>
      <c r="AD273" s="8" t="s">
        <v>1026</v>
      </c>
      <c r="AE273" s="8" t="s">
        <v>1026</v>
      </c>
      <c r="AF273" s="8" t="s">
        <v>1026</v>
      </c>
      <c r="AG273" s="8" t="s">
        <v>1025</v>
      </c>
      <c r="AH273" s="8" t="s">
        <v>1026</v>
      </c>
      <c r="AI273" s="8" t="s">
        <v>1026</v>
      </c>
    </row>
    <row r="274" spans="24:35" x14ac:dyDescent="0.25">
      <c r="X274" s="8" t="s">
        <v>365</v>
      </c>
      <c r="Y274" s="8" t="s">
        <v>940</v>
      </c>
      <c r="Z274" s="8" t="s">
        <v>948</v>
      </c>
      <c r="AA274" s="5">
        <v>76</v>
      </c>
      <c r="AB274" s="8" t="s">
        <v>942</v>
      </c>
      <c r="AC274" s="8" t="s">
        <v>958</v>
      </c>
      <c r="AD274" s="8" t="s">
        <v>1027</v>
      </c>
      <c r="AE274" s="8" t="s">
        <v>1027</v>
      </c>
      <c r="AF274" s="8" t="s">
        <v>1025</v>
      </c>
      <c r="AG274" s="8" t="s">
        <v>1026</v>
      </c>
      <c r="AH274" s="8" t="s">
        <v>1026</v>
      </c>
      <c r="AI274" s="8" t="s">
        <v>1026</v>
      </c>
    </row>
    <row r="275" spans="24:35" x14ac:dyDescent="0.25">
      <c r="X275" s="8" t="s">
        <v>366</v>
      </c>
      <c r="Y275" s="8" t="s">
        <v>990</v>
      </c>
      <c r="Z275" s="8" t="s">
        <v>935</v>
      </c>
      <c r="AA275" s="5">
        <v>72</v>
      </c>
      <c r="AB275" s="8" t="s">
        <v>930</v>
      </c>
      <c r="AC275" s="8" t="s">
        <v>994</v>
      </c>
      <c r="AD275" s="8" t="s">
        <v>1026</v>
      </c>
      <c r="AE275" s="8" t="s">
        <v>1026</v>
      </c>
      <c r="AF275" s="8" t="s">
        <v>1026</v>
      </c>
      <c r="AG275" s="8" t="s">
        <v>1026</v>
      </c>
      <c r="AH275" s="8" t="s">
        <v>1026</v>
      </c>
      <c r="AI275" s="8" t="s">
        <v>1026</v>
      </c>
    </row>
    <row r="276" spans="24:35" x14ac:dyDescent="0.25">
      <c r="X276" s="8" t="s">
        <v>367</v>
      </c>
      <c r="Y276" s="8" t="s">
        <v>975</v>
      </c>
      <c r="Z276" s="8" t="s">
        <v>925</v>
      </c>
      <c r="AA276" s="5">
        <v>62</v>
      </c>
      <c r="AB276" s="8" t="s">
        <v>947</v>
      </c>
      <c r="AC276" s="8" t="s">
        <v>934</v>
      </c>
      <c r="AD276" s="8" t="s">
        <v>1027</v>
      </c>
      <c r="AE276" s="8" t="s">
        <v>1026</v>
      </c>
      <c r="AF276" s="8" t="s">
        <v>1027</v>
      </c>
      <c r="AG276" s="8" t="s">
        <v>1026</v>
      </c>
      <c r="AH276" s="8" t="s">
        <v>1027</v>
      </c>
      <c r="AI276" s="8" t="s">
        <v>1026</v>
      </c>
    </row>
    <row r="277" spans="24:35" x14ac:dyDescent="0.25">
      <c r="X277" s="8" t="s">
        <v>368</v>
      </c>
      <c r="Y277" s="8" t="s">
        <v>962</v>
      </c>
      <c r="Z277" s="8" t="s">
        <v>1010</v>
      </c>
      <c r="AA277" s="5">
        <v>64</v>
      </c>
      <c r="AB277" s="8" t="s">
        <v>925</v>
      </c>
      <c r="AC277" s="8" t="s">
        <v>921</v>
      </c>
      <c r="AD277" s="8" t="s">
        <v>1026</v>
      </c>
      <c r="AE277" s="8" t="s">
        <v>1026</v>
      </c>
      <c r="AF277" s="8" t="s">
        <v>1027</v>
      </c>
      <c r="AG277" s="8" t="s">
        <v>1026</v>
      </c>
      <c r="AH277" s="8" t="s">
        <v>1026</v>
      </c>
      <c r="AI277" s="8" t="s">
        <v>1026</v>
      </c>
    </row>
    <row r="278" spans="24:35" x14ac:dyDescent="0.25">
      <c r="X278" s="8" t="s">
        <v>369</v>
      </c>
      <c r="Y278" s="8" t="s">
        <v>926</v>
      </c>
      <c r="Z278" s="8" t="s">
        <v>927</v>
      </c>
      <c r="AA278" s="5">
        <v>76</v>
      </c>
      <c r="AB278" s="8" t="s">
        <v>996</v>
      </c>
      <c r="AC278" s="8" t="s">
        <v>971</v>
      </c>
      <c r="AD278" s="8" t="s">
        <v>1026</v>
      </c>
      <c r="AE278" s="8" t="s">
        <v>1026</v>
      </c>
      <c r="AF278" s="8" t="s">
        <v>1027</v>
      </c>
      <c r="AG278" s="8" t="s">
        <v>1027</v>
      </c>
      <c r="AH278" s="8" t="s">
        <v>1026</v>
      </c>
      <c r="AI278" s="8" t="s">
        <v>1026</v>
      </c>
    </row>
    <row r="279" spans="24:35" x14ac:dyDescent="0.25">
      <c r="X279" s="8" t="s">
        <v>370</v>
      </c>
      <c r="Y279" s="8" t="s">
        <v>936</v>
      </c>
      <c r="Z279" s="8" t="s">
        <v>960</v>
      </c>
      <c r="AA279" s="5">
        <v>73</v>
      </c>
      <c r="AB279" s="8" t="s">
        <v>953</v>
      </c>
      <c r="AC279" s="8" t="s">
        <v>958</v>
      </c>
      <c r="AD279" s="8" t="s">
        <v>1026</v>
      </c>
      <c r="AE279" s="8" t="s">
        <v>1025</v>
      </c>
      <c r="AF279" s="8" t="s">
        <v>1027</v>
      </c>
      <c r="AG279" s="8" t="s">
        <v>1026</v>
      </c>
      <c r="AH279" s="8" t="s">
        <v>1025</v>
      </c>
      <c r="AI279" s="8" t="s">
        <v>1025</v>
      </c>
    </row>
    <row r="280" spans="24:35" x14ac:dyDescent="0.25">
      <c r="X280" s="8" t="s">
        <v>371</v>
      </c>
      <c r="Y280" s="8" t="s">
        <v>944</v>
      </c>
      <c r="Z280" s="8" t="s">
        <v>1008</v>
      </c>
      <c r="AA280" s="5">
        <v>73</v>
      </c>
      <c r="AB280" s="8" t="s">
        <v>921</v>
      </c>
      <c r="AC280" s="8" t="s">
        <v>956</v>
      </c>
      <c r="AD280" s="8" t="s">
        <v>1026</v>
      </c>
      <c r="AE280" s="8" t="s">
        <v>1026</v>
      </c>
      <c r="AF280" s="8" t="s">
        <v>1027</v>
      </c>
      <c r="AG280" s="8" t="s">
        <v>1026</v>
      </c>
      <c r="AH280" s="8" t="s">
        <v>1026</v>
      </c>
      <c r="AI280" s="8" t="s">
        <v>1026</v>
      </c>
    </row>
    <row r="281" spans="24:35" x14ac:dyDescent="0.25">
      <c r="X281" s="8" t="s">
        <v>372</v>
      </c>
      <c r="Y281" s="8" t="s">
        <v>971</v>
      </c>
      <c r="Z281" s="8" t="s">
        <v>940</v>
      </c>
      <c r="AA281" s="5">
        <v>57</v>
      </c>
      <c r="AB281" s="8" t="s">
        <v>1016</v>
      </c>
      <c r="AC281" s="8" t="s">
        <v>992</v>
      </c>
      <c r="AD281" s="8" t="s">
        <v>1027</v>
      </c>
      <c r="AE281" s="8" t="s">
        <v>1027</v>
      </c>
      <c r="AF281" s="8" t="s">
        <v>1026</v>
      </c>
      <c r="AG281" s="8" t="s">
        <v>1028</v>
      </c>
      <c r="AH281" s="8" t="s">
        <v>1026</v>
      </c>
      <c r="AI281" s="8" t="s">
        <v>1026</v>
      </c>
    </row>
    <row r="282" spans="24:35" x14ac:dyDescent="0.25">
      <c r="X282" s="8" t="s">
        <v>373</v>
      </c>
      <c r="Y282" s="8" t="s">
        <v>960</v>
      </c>
      <c r="Z282" s="8" t="s">
        <v>989</v>
      </c>
      <c r="AA282" s="5">
        <v>90</v>
      </c>
      <c r="AB282" s="8" t="s">
        <v>971</v>
      </c>
      <c r="AC282" s="8" t="s">
        <v>976</v>
      </c>
      <c r="AD282" s="8" t="s">
        <v>1027</v>
      </c>
      <c r="AE282" s="8" t="s">
        <v>1026</v>
      </c>
      <c r="AF282" s="8" t="s">
        <v>1025</v>
      </c>
      <c r="AG282" s="8" t="s">
        <v>1026</v>
      </c>
      <c r="AH282" s="8" t="s">
        <v>1026</v>
      </c>
      <c r="AI282" s="8" t="s">
        <v>1027</v>
      </c>
    </row>
    <row r="283" spans="24:35" x14ac:dyDescent="0.25">
      <c r="X283" s="8" t="s">
        <v>374</v>
      </c>
      <c r="Y283" s="8" t="s">
        <v>937</v>
      </c>
      <c r="Z283" s="8" t="s">
        <v>962</v>
      </c>
      <c r="AA283" s="5">
        <v>75</v>
      </c>
      <c r="AB283" s="8" t="s">
        <v>926</v>
      </c>
      <c r="AC283" s="8" t="s">
        <v>936</v>
      </c>
      <c r="AD283" s="8" t="s">
        <v>1026</v>
      </c>
      <c r="AE283" s="8" t="s">
        <v>1026</v>
      </c>
      <c r="AF283" s="8" t="s">
        <v>1025</v>
      </c>
      <c r="AG283" s="8" t="s">
        <v>1026</v>
      </c>
      <c r="AH283" s="8" t="s">
        <v>1025</v>
      </c>
      <c r="AI283" s="8" t="s">
        <v>1027</v>
      </c>
    </row>
    <row r="284" spans="24:35" x14ac:dyDescent="0.25">
      <c r="X284" s="8" t="s">
        <v>375</v>
      </c>
      <c r="Y284" s="8" t="s">
        <v>972</v>
      </c>
      <c r="Z284" s="8" t="s">
        <v>995</v>
      </c>
      <c r="AA284" s="5">
        <v>81</v>
      </c>
      <c r="AB284" s="8" t="s">
        <v>1014</v>
      </c>
      <c r="AC284" s="8" t="s">
        <v>961</v>
      </c>
      <c r="AD284" s="8" t="s">
        <v>1026</v>
      </c>
      <c r="AE284" s="8" t="s">
        <v>1027</v>
      </c>
      <c r="AF284" s="8" t="s">
        <v>1025</v>
      </c>
      <c r="AG284" s="8" t="s">
        <v>1026</v>
      </c>
      <c r="AH284" s="8" t="s">
        <v>1026</v>
      </c>
      <c r="AI284" s="8" t="s">
        <v>1025</v>
      </c>
    </row>
    <row r="285" spans="24:35" x14ac:dyDescent="0.25">
      <c r="X285" s="8" t="s">
        <v>376</v>
      </c>
      <c r="Y285" s="8" t="s">
        <v>981</v>
      </c>
      <c r="Z285" s="8" t="s">
        <v>964</v>
      </c>
      <c r="AA285" s="5">
        <v>51</v>
      </c>
      <c r="AB285" s="8" t="s">
        <v>930</v>
      </c>
      <c r="AC285" s="8" t="s">
        <v>958</v>
      </c>
      <c r="AD285" s="8" t="s">
        <v>1026</v>
      </c>
      <c r="AE285" s="8" t="s">
        <v>1026</v>
      </c>
      <c r="AF285" s="8" t="s">
        <v>1027</v>
      </c>
      <c r="AG285" s="8" t="s">
        <v>1026</v>
      </c>
      <c r="AH285" s="8" t="s">
        <v>1027</v>
      </c>
      <c r="AI285" s="8" t="s">
        <v>1026</v>
      </c>
    </row>
    <row r="286" spans="24:35" x14ac:dyDescent="0.25">
      <c r="X286" s="8" t="s">
        <v>377</v>
      </c>
      <c r="Y286" s="8" t="s">
        <v>947</v>
      </c>
      <c r="Z286" s="8" t="s">
        <v>945</v>
      </c>
      <c r="AA286" s="5">
        <v>29</v>
      </c>
      <c r="AB286" s="8" t="s">
        <v>943</v>
      </c>
      <c r="AC286" s="8" t="s">
        <v>934</v>
      </c>
      <c r="AD286" s="8" t="s">
        <v>1026</v>
      </c>
      <c r="AE286" s="8" t="s">
        <v>1026</v>
      </c>
      <c r="AF286" s="8" t="s">
        <v>1026</v>
      </c>
      <c r="AG286" s="8" t="s">
        <v>1027</v>
      </c>
      <c r="AH286" s="8" t="s">
        <v>1026</v>
      </c>
      <c r="AI286" s="8" t="s">
        <v>1026</v>
      </c>
    </row>
    <row r="287" spans="24:35" x14ac:dyDescent="0.25">
      <c r="X287" s="8" t="s">
        <v>378</v>
      </c>
      <c r="Y287" s="8" t="s">
        <v>954</v>
      </c>
      <c r="Z287" s="8" t="s">
        <v>936</v>
      </c>
      <c r="AA287" s="5">
        <v>62</v>
      </c>
      <c r="AB287" s="8" t="s">
        <v>973</v>
      </c>
      <c r="AC287" s="8" t="s">
        <v>969</v>
      </c>
      <c r="AD287" s="8" t="s">
        <v>1025</v>
      </c>
      <c r="AE287" s="8" t="s">
        <v>1025</v>
      </c>
      <c r="AF287" s="8" t="s">
        <v>1027</v>
      </c>
      <c r="AG287" s="8" t="s">
        <v>1027</v>
      </c>
      <c r="AH287" s="8" t="s">
        <v>1027</v>
      </c>
      <c r="AI287" s="8" t="s">
        <v>1026</v>
      </c>
    </row>
    <row r="288" spans="24:35" x14ac:dyDescent="0.25">
      <c r="X288" s="8" t="s">
        <v>379</v>
      </c>
      <c r="Y288" s="8" t="s">
        <v>955</v>
      </c>
      <c r="Z288" s="8" t="s">
        <v>975</v>
      </c>
      <c r="AA288" s="5">
        <v>66</v>
      </c>
      <c r="AB288" s="8" t="s">
        <v>953</v>
      </c>
      <c r="AC288" s="8" t="s">
        <v>969</v>
      </c>
      <c r="AD288" s="8" t="s">
        <v>1027</v>
      </c>
      <c r="AE288" s="8" t="s">
        <v>1027</v>
      </c>
      <c r="AF288" s="8" t="s">
        <v>1027</v>
      </c>
      <c r="AG288" s="8" t="s">
        <v>1026</v>
      </c>
      <c r="AH288" s="8" t="s">
        <v>1027</v>
      </c>
      <c r="AI288" s="8" t="s">
        <v>1027</v>
      </c>
    </row>
    <row r="289" spans="24:35" x14ac:dyDescent="0.25">
      <c r="X289" s="8" t="s">
        <v>380</v>
      </c>
      <c r="Y289" s="8" t="s">
        <v>958</v>
      </c>
      <c r="Z289" s="8" t="s">
        <v>976</v>
      </c>
      <c r="AA289" s="5">
        <v>70</v>
      </c>
      <c r="AB289" s="8" t="s">
        <v>960</v>
      </c>
      <c r="AC289" s="8" t="s">
        <v>972</v>
      </c>
      <c r="AD289" s="8" t="s">
        <v>1027</v>
      </c>
      <c r="AE289" s="8" t="s">
        <v>1027</v>
      </c>
      <c r="AF289" s="8" t="s">
        <v>1025</v>
      </c>
      <c r="AG289" s="8" t="s">
        <v>1027</v>
      </c>
      <c r="AH289" s="8" t="s">
        <v>1025</v>
      </c>
      <c r="AI289" s="8" t="s">
        <v>1027</v>
      </c>
    </row>
    <row r="290" spans="24:35" x14ac:dyDescent="0.25">
      <c r="X290" s="8" t="s">
        <v>381</v>
      </c>
      <c r="Y290" s="8" t="s">
        <v>985</v>
      </c>
      <c r="Z290" s="8" t="s">
        <v>960</v>
      </c>
      <c r="AA290" s="5">
        <v>71</v>
      </c>
      <c r="AB290" s="8" t="s">
        <v>972</v>
      </c>
      <c r="AC290" s="8" t="s">
        <v>983</v>
      </c>
      <c r="AD290" s="8" t="s">
        <v>1027</v>
      </c>
      <c r="AE290" s="8" t="s">
        <v>1025</v>
      </c>
      <c r="AF290" s="8" t="s">
        <v>1025</v>
      </c>
      <c r="AG290" s="8" t="s">
        <v>1027</v>
      </c>
      <c r="AH290" s="8" t="s">
        <v>1026</v>
      </c>
      <c r="AI290" s="8" t="s">
        <v>1027</v>
      </c>
    </row>
    <row r="291" spans="24:35" x14ac:dyDescent="0.25">
      <c r="X291" s="8" t="s">
        <v>382</v>
      </c>
      <c r="Y291" s="8" t="s">
        <v>998</v>
      </c>
      <c r="Z291" s="8" t="s">
        <v>959</v>
      </c>
      <c r="AA291" s="5">
        <v>100</v>
      </c>
      <c r="AB291" s="8" t="s">
        <v>1018</v>
      </c>
      <c r="AC291" s="8" t="s">
        <v>998</v>
      </c>
      <c r="AD291" s="8" t="s">
        <v>1027</v>
      </c>
      <c r="AE291" s="8" t="s">
        <v>1027</v>
      </c>
      <c r="AF291" s="8" t="s">
        <v>1028</v>
      </c>
      <c r="AG291" s="8" t="s">
        <v>1026</v>
      </c>
      <c r="AH291" s="8" t="s">
        <v>1028</v>
      </c>
      <c r="AI291" s="8" t="s">
        <v>1025</v>
      </c>
    </row>
    <row r="292" spans="24:35" x14ac:dyDescent="0.25">
      <c r="X292" s="8" t="s">
        <v>383</v>
      </c>
      <c r="Y292" s="8" t="s">
        <v>982</v>
      </c>
      <c r="Z292" s="8" t="s">
        <v>961</v>
      </c>
      <c r="AA292" s="5">
        <v>74</v>
      </c>
      <c r="AB292" s="8" t="s">
        <v>934</v>
      </c>
      <c r="AC292" s="8" t="s">
        <v>958</v>
      </c>
      <c r="AD292" s="8" t="s">
        <v>1025</v>
      </c>
      <c r="AE292" s="8" t="s">
        <v>1028</v>
      </c>
      <c r="AF292" s="8" t="s">
        <v>1027</v>
      </c>
      <c r="AG292" s="8" t="s">
        <v>1025</v>
      </c>
      <c r="AH292" s="8" t="s">
        <v>1027</v>
      </c>
      <c r="AI292" s="8" t="s">
        <v>1026</v>
      </c>
    </row>
    <row r="293" spans="24:35" x14ac:dyDescent="0.25">
      <c r="X293" s="8" t="s">
        <v>384</v>
      </c>
      <c r="Y293" s="8" t="s">
        <v>947</v>
      </c>
      <c r="Z293" s="8" t="s">
        <v>957</v>
      </c>
      <c r="AA293" s="5">
        <v>80</v>
      </c>
      <c r="AB293" s="8" t="s">
        <v>926</v>
      </c>
      <c r="AC293" s="8" t="s">
        <v>929</v>
      </c>
      <c r="AD293" s="8" t="s">
        <v>1026</v>
      </c>
      <c r="AE293" s="8" t="s">
        <v>1027</v>
      </c>
      <c r="AF293" s="8" t="s">
        <v>1027</v>
      </c>
      <c r="AG293" s="8" t="s">
        <v>1026</v>
      </c>
      <c r="AH293" s="8" t="s">
        <v>1026</v>
      </c>
      <c r="AI293" s="8" t="s">
        <v>1027</v>
      </c>
    </row>
    <row r="294" spans="24:35" x14ac:dyDescent="0.25">
      <c r="X294" s="8" t="s">
        <v>385</v>
      </c>
      <c r="Y294" s="8" t="s">
        <v>969</v>
      </c>
      <c r="Z294" s="8" t="s">
        <v>952</v>
      </c>
      <c r="AA294" s="5">
        <v>24</v>
      </c>
      <c r="AB294" s="8" t="s">
        <v>968</v>
      </c>
      <c r="AC294" s="8" t="s">
        <v>923</v>
      </c>
      <c r="AD294" s="8" t="s">
        <v>1027</v>
      </c>
      <c r="AE294" s="8" t="s">
        <v>1026</v>
      </c>
      <c r="AF294" s="8" t="s">
        <v>1026</v>
      </c>
      <c r="AG294" s="8" t="s">
        <v>1025</v>
      </c>
      <c r="AH294" s="8" t="s">
        <v>1026</v>
      </c>
      <c r="AI294" s="8" t="s">
        <v>1026</v>
      </c>
    </row>
    <row r="295" spans="24:35" x14ac:dyDescent="0.25">
      <c r="X295" s="8" t="s">
        <v>386</v>
      </c>
      <c r="Y295" s="8" t="s">
        <v>929</v>
      </c>
      <c r="Z295" s="8" t="s">
        <v>954</v>
      </c>
      <c r="AA295" s="5">
        <v>93</v>
      </c>
      <c r="AB295" s="8" t="s">
        <v>971</v>
      </c>
      <c r="AC295" s="8" t="s">
        <v>985</v>
      </c>
      <c r="AD295" s="8" t="s">
        <v>1028</v>
      </c>
      <c r="AE295" s="8" t="s">
        <v>1025</v>
      </c>
      <c r="AF295" s="8" t="s">
        <v>1025</v>
      </c>
      <c r="AG295" s="8" t="s">
        <v>1025</v>
      </c>
      <c r="AH295" s="8" t="s">
        <v>1027</v>
      </c>
      <c r="AI295" s="8" t="s">
        <v>1027</v>
      </c>
    </row>
    <row r="296" spans="24:35" x14ac:dyDescent="0.25">
      <c r="X296" s="8" t="s">
        <v>387</v>
      </c>
      <c r="Y296" s="8" t="s">
        <v>1007</v>
      </c>
      <c r="Z296" s="8" t="s">
        <v>985</v>
      </c>
      <c r="AA296" s="5">
        <v>78</v>
      </c>
      <c r="AB296" s="8" t="s">
        <v>953</v>
      </c>
      <c r="AC296" s="8" t="s">
        <v>925</v>
      </c>
      <c r="AD296" s="8" t="s">
        <v>1025</v>
      </c>
      <c r="AE296" s="8" t="s">
        <v>1028</v>
      </c>
      <c r="AF296" s="8" t="s">
        <v>1025</v>
      </c>
      <c r="AG296" s="8" t="s">
        <v>1027</v>
      </c>
      <c r="AH296" s="8" t="s">
        <v>1027</v>
      </c>
      <c r="AI296" s="8" t="s">
        <v>1028</v>
      </c>
    </row>
    <row r="297" spans="24:35" x14ac:dyDescent="0.25">
      <c r="X297" s="8" t="s">
        <v>388</v>
      </c>
      <c r="Y297" s="8" t="s">
        <v>973</v>
      </c>
      <c r="Z297" s="8" t="s">
        <v>1013</v>
      </c>
      <c r="AA297" s="5">
        <v>67</v>
      </c>
      <c r="AB297" s="8" t="s">
        <v>983</v>
      </c>
      <c r="AC297" s="8" t="s">
        <v>965</v>
      </c>
      <c r="AD297" s="8" t="s">
        <v>1026</v>
      </c>
      <c r="AE297" s="8" t="s">
        <v>1026</v>
      </c>
      <c r="AF297" s="8" t="s">
        <v>1027</v>
      </c>
      <c r="AG297" s="8" t="s">
        <v>1026</v>
      </c>
      <c r="AH297" s="8" t="s">
        <v>1026</v>
      </c>
      <c r="AI297" s="8" t="s">
        <v>1026</v>
      </c>
    </row>
    <row r="298" spans="24:35" x14ac:dyDescent="0.25">
      <c r="X298" s="8" t="s">
        <v>389</v>
      </c>
      <c r="Y298" s="8" t="s">
        <v>926</v>
      </c>
      <c r="Z298" s="8" t="s">
        <v>936</v>
      </c>
      <c r="AA298" s="5">
        <v>61</v>
      </c>
      <c r="AB298" s="8" t="s">
        <v>992</v>
      </c>
      <c r="AC298" s="8" t="s">
        <v>953</v>
      </c>
      <c r="AD298" s="8" t="s">
        <v>1027</v>
      </c>
      <c r="AE298" s="8" t="s">
        <v>1025</v>
      </c>
      <c r="AF298" s="8" t="s">
        <v>1027</v>
      </c>
      <c r="AG298" s="8" t="s">
        <v>1026</v>
      </c>
      <c r="AH298" s="8" t="s">
        <v>1026</v>
      </c>
      <c r="AI298" s="8" t="s">
        <v>1025</v>
      </c>
    </row>
    <row r="299" spans="24:35" x14ac:dyDescent="0.25">
      <c r="X299" s="8" t="s">
        <v>390</v>
      </c>
      <c r="Y299" s="8" t="s">
        <v>973</v>
      </c>
      <c r="Z299" s="8" t="s">
        <v>949</v>
      </c>
      <c r="AA299" s="5">
        <v>59</v>
      </c>
      <c r="AB299" s="8" t="s">
        <v>978</v>
      </c>
      <c r="AC299" s="8" t="s">
        <v>989</v>
      </c>
      <c r="AD299" s="8" t="s">
        <v>1026</v>
      </c>
      <c r="AE299" s="8" t="s">
        <v>1027</v>
      </c>
      <c r="AF299" s="8" t="s">
        <v>1027</v>
      </c>
      <c r="AG299" s="8" t="s">
        <v>1026</v>
      </c>
      <c r="AH299" s="8" t="s">
        <v>1026</v>
      </c>
      <c r="AI299" s="8" t="s">
        <v>1026</v>
      </c>
    </row>
    <row r="300" spans="24:35" x14ac:dyDescent="0.25">
      <c r="X300" s="8" t="s">
        <v>391</v>
      </c>
      <c r="Y300" s="8" t="s">
        <v>992</v>
      </c>
      <c r="Z300" s="8" t="s">
        <v>944</v>
      </c>
      <c r="AA300" s="5">
        <v>84</v>
      </c>
      <c r="AB300" s="8" t="s">
        <v>940</v>
      </c>
      <c r="AC300" s="8" t="s">
        <v>972</v>
      </c>
      <c r="AD300" s="8" t="s">
        <v>1026</v>
      </c>
      <c r="AE300" s="8" t="s">
        <v>1026</v>
      </c>
      <c r="AF300" s="8" t="s">
        <v>1027</v>
      </c>
      <c r="AG300" s="8" t="s">
        <v>1026</v>
      </c>
      <c r="AH300" s="8" t="s">
        <v>1025</v>
      </c>
      <c r="AI300" s="8" t="s">
        <v>1027</v>
      </c>
    </row>
    <row r="301" spans="24:35" x14ac:dyDescent="0.25">
      <c r="X301" s="8" t="s">
        <v>392</v>
      </c>
      <c r="Y301" s="8" t="s">
        <v>1006</v>
      </c>
      <c r="Z301" s="8" t="s">
        <v>1006</v>
      </c>
      <c r="AA301" s="5">
        <v>33</v>
      </c>
      <c r="AB301" s="8" t="s">
        <v>991</v>
      </c>
      <c r="AC301" s="8" t="s">
        <v>1005</v>
      </c>
      <c r="AD301" s="8" t="s">
        <v>1026</v>
      </c>
      <c r="AE301" s="8" t="s">
        <v>1026</v>
      </c>
      <c r="AF301" s="8" t="s">
        <v>1026</v>
      </c>
      <c r="AG301" s="8" t="s">
        <v>1026</v>
      </c>
      <c r="AH301" s="8" t="s">
        <v>1026</v>
      </c>
      <c r="AI301" s="8" t="s">
        <v>1026</v>
      </c>
    </row>
    <row r="302" spans="24:35" x14ac:dyDescent="0.25">
      <c r="X302" s="8" t="s">
        <v>393</v>
      </c>
      <c r="Y302" s="8" t="s">
        <v>935</v>
      </c>
      <c r="Z302" s="8" t="s">
        <v>1005</v>
      </c>
      <c r="AA302" s="5">
        <v>71</v>
      </c>
      <c r="AB302" s="8" t="s">
        <v>930</v>
      </c>
      <c r="AC302" s="8" t="s">
        <v>1011</v>
      </c>
      <c r="AD302" s="8" t="s">
        <v>1026</v>
      </c>
      <c r="AE302" s="8" t="s">
        <v>1026</v>
      </c>
      <c r="AF302" s="8" t="s">
        <v>1026</v>
      </c>
      <c r="AG302" s="8" t="s">
        <v>1026</v>
      </c>
      <c r="AH302" s="8" t="s">
        <v>1026</v>
      </c>
      <c r="AI302" s="8" t="s">
        <v>1027</v>
      </c>
    </row>
    <row r="303" spans="24:35" x14ac:dyDescent="0.25">
      <c r="X303" s="8" t="s">
        <v>394</v>
      </c>
      <c r="Y303" s="8" t="s">
        <v>966</v>
      </c>
      <c r="Z303" s="8" t="s">
        <v>968</v>
      </c>
      <c r="AA303" s="5">
        <v>42</v>
      </c>
      <c r="AB303" s="8" t="s">
        <v>969</v>
      </c>
      <c r="AC303" s="8" t="s">
        <v>942</v>
      </c>
      <c r="AD303" s="8" t="s">
        <v>1026</v>
      </c>
      <c r="AE303" s="8" t="s">
        <v>1026</v>
      </c>
      <c r="AF303" s="8" t="s">
        <v>1027</v>
      </c>
      <c r="AG303" s="8" t="s">
        <v>1026</v>
      </c>
      <c r="AH303" s="8" t="s">
        <v>1026</v>
      </c>
      <c r="AI303" s="8" t="s">
        <v>1026</v>
      </c>
    </row>
    <row r="304" spans="24:35" x14ac:dyDescent="0.25">
      <c r="X304" s="8" t="s">
        <v>395</v>
      </c>
      <c r="Y304" s="8" t="s">
        <v>978</v>
      </c>
      <c r="Z304" s="8" t="s">
        <v>937</v>
      </c>
      <c r="AA304" s="5">
        <v>52</v>
      </c>
      <c r="AB304" s="8" t="s">
        <v>947</v>
      </c>
      <c r="AC304" s="8" t="s">
        <v>989</v>
      </c>
      <c r="AD304" s="8" t="s">
        <v>1027</v>
      </c>
      <c r="AE304" s="8" t="s">
        <v>1026</v>
      </c>
      <c r="AF304" s="8" t="s">
        <v>1027</v>
      </c>
      <c r="AG304" s="8" t="s">
        <v>1026</v>
      </c>
      <c r="AH304" s="8" t="s">
        <v>1026</v>
      </c>
      <c r="AI304" s="8" t="s">
        <v>1026</v>
      </c>
    </row>
    <row r="305" spans="24:35" x14ac:dyDescent="0.25">
      <c r="X305" s="8" t="s">
        <v>396</v>
      </c>
      <c r="Y305" s="8" t="s">
        <v>929</v>
      </c>
      <c r="Z305" s="8" t="s">
        <v>976</v>
      </c>
      <c r="AA305" s="5">
        <v>83</v>
      </c>
      <c r="AB305" s="8" t="s">
        <v>925</v>
      </c>
      <c r="AC305" s="8" t="s">
        <v>926</v>
      </c>
      <c r="AD305" s="8" t="s">
        <v>1027</v>
      </c>
      <c r="AE305" s="8" t="s">
        <v>1025</v>
      </c>
      <c r="AF305" s="8" t="s">
        <v>1025</v>
      </c>
      <c r="AG305" s="8" t="s">
        <v>1027</v>
      </c>
      <c r="AH305" s="8" t="s">
        <v>1025</v>
      </c>
      <c r="AI305" s="8" t="s">
        <v>1026</v>
      </c>
    </row>
    <row r="306" spans="24:35" x14ac:dyDescent="0.25">
      <c r="X306" s="8" t="s">
        <v>397</v>
      </c>
      <c r="Y306" s="8" t="s">
        <v>941</v>
      </c>
      <c r="Z306" s="8" t="s">
        <v>927</v>
      </c>
      <c r="AA306" s="5">
        <v>78</v>
      </c>
      <c r="AB306" s="8" t="s">
        <v>965</v>
      </c>
      <c r="AC306" s="8" t="s">
        <v>960</v>
      </c>
      <c r="AD306" s="8" t="s">
        <v>1026</v>
      </c>
      <c r="AE306" s="8" t="s">
        <v>1026</v>
      </c>
      <c r="AF306" s="8" t="s">
        <v>1027</v>
      </c>
      <c r="AG306" s="8" t="s">
        <v>1026</v>
      </c>
      <c r="AH306" s="8" t="s">
        <v>1026</v>
      </c>
      <c r="AI306" s="8" t="s">
        <v>1026</v>
      </c>
    </row>
    <row r="307" spans="24:35" x14ac:dyDescent="0.25">
      <c r="X307" s="8" t="s">
        <v>398</v>
      </c>
      <c r="Y307" s="8" t="s">
        <v>956</v>
      </c>
      <c r="Z307" s="8" t="s">
        <v>1016</v>
      </c>
      <c r="AA307" s="5">
        <v>76</v>
      </c>
      <c r="AB307" s="8" t="s">
        <v>972</v>
      </c>
      <c r="AC307" s="8" t="s">
        <v>969</v>
      </c>
      <c r="AD307" s="8" t="s">
        <v>1025</v>
      </c>
      <c r="AE307" s="8" t="s">
        <v>1026</v>
      </c>
      <c r="AF307" s="8" t="s">
        <v>1027</v>
      </c>
      <c r="AG307" s="8" t="s">
        <v>1026</v>
      </c>
      <c r="AH307" s="8" t="s">
        <v>1027</v>
      </c>
      <c r="AI307" s="8" t="s">
        <v>1026</v>
      </c>
    </row>
    <row r="308" spans="24:35" x14ac:dyDescent="0.25">
      <c r="X308" s="8" t="s">
        <v>399</v>
      </c>
      <c r="Y308" s="8" t="s">
        <v>957</v>
      </c>
      <c r="Z308" s="8" t="s">
        <v>999</v>
      </c>
      <c r="AA308" s="5">
        <v>72</v>
      </c>
      <c r="AB308" s="8" t="s">
        <v>938</v>
      </c>
      <c r="AC308" s="8" t="s">
        <v>940</v>
      </c>
      <c r="AD308" s="8" t="s">
        <v>1026</v>
      </c>
      <c r="AE308" s="8" t="s">
        <v>1026</v>
      </c>
      <c r="AF308" s="8" t="s">
        <v>1026</v>
      </c>
      <c r="AG308" s="8" t="s">
        <v>1026</v>
      </c>
      <c r="AH308" s="8" t="s">
        <v>1026</v>
      </c>
      <c r="AI308" s="8" t="s">
        <v>1026</v>
      </c>
    </row>
    <row r="309" spans="24:35" x14ac:dyDescent="0.25">
      <c r="X309" s="8" t="s">
        <v>400</v>
      </c>
      <c r="Y309" s="8" t="s">
        <v>955</v>
      </c>
      <c r="Z309" s="8" t="s">
        <v>926</v>
      </c>
      <c r="AA309" s="5">
        <v>35</v>
      </c>
      <c r="AB309" s="8" t="s">
        <v>935</v>
      </c>
      <c r="AC309" s="8" t="s">
        <v>992</v>
      </c>
      <c r="AD309" s="8" t="s">
        <v>1027</v>
      </c>
      <c r="AE309" s="8" t="s">
        <v>1026</v>
      </c>
      <c r="AF309" s="8" t="s">
        <v>1026</v>
      </c>
      <c r="AG309" s="8" t="s">
        <v>1027</v>
      </c>
      <c r="AH309" s="8" t="s">
        <v>1026</v>
      </c>
      <c r="AI309" s="8" t="s">
        <v>1026</v>
      </c>
    </row>
    <row r="310" spans="24:35" x14ac:dyDescent="0.25">
      <c r="X310" s="8" t="s">
        <v>401</v>
      </c>
      <c r="Y310" s="8" t="s">
        <v>967</v>
      </c>
      <c r="Z310" s="8" t="s">
        <v>969</v>
      </c>
      <c r="AA310" s="5">
        <v>45</v>
      </c>
      <c r="AB310" s="8" t="s">
        <v>1013</v>
      </c>
      <c r="AC310" s="8" t="s">
        <v>974</v>
      </c>
      <c r="AD310" s="8" t="s">
        <v>1026</v>
      </c>
      <c r="AE310" s="8" t="s">
        <v>1027</v>
      </c>
      <c r="AF310" s="8" t="s">
        <v>1027</v>
      </c>
      <c r="AG310" s="8" t="s">
        <v>1026</v>
      </c>
      <c r="AH310" s="8" t="s">
        <v>1027</v>
      </c>
      <c r="AI310" s="8" t="s">
        <v>1026</v>
      </c>
    </row>
    <row r="311" spans="24:35" x14ac:dyDescent="0.25">
      <c r="X311" s="8" t="s">
        <v>402</v>
      </c>
      <c r="Y311" s="8" t="s">
        <v>975</v>
      </c>
      <c r="Z311" s="8" t="s">
        <v>958</v>
      </c>
      <c r="AA311" s="5">
        <v>38</v>
      </c>
      <c r="AB311" s="8" t="s">
        <v>999</v>
      </c>
      <c r="AC311" s="8" t="s">
        <v>922</v>
      </c>
      <c r="AD311" s="8" t="s">
        <v>1025</v>
      </c>
      <c r="AE311" s="8" t="s">
        <v>1026</v>
      </c>
      <c r="AF311" s="8" t="s">
        <v>1027</v>
      </c>
      <c r="AG311" s="8" t="s">
        <v>1026</v>
      </c>
      <c r="AH311" s="8" t="s">
        <v>1026</v>
      </c>
      <c r="AI311" s="8" t="s">
        <v>1026</v>
      </c>
    </row>
    <row r="312" spans="24:35" x14ac:dyDescent="0.25">
      <c r="X312" s="8" t="s">
        <v>403</v>
      </c>
      <c r="Y312" s="8" t="s">
        <v>1005</v>
      </c>
      <c r="Z312" s="8" t="s">
        <v>970</v>
      </c>
      <c r="AA312" s="5">
        <v>36</v>
      </c>
      <c r="AB312" s="8" t="s">
        <v>992</v>
      </c>
      <c r="AC312" s="8" t="s">
        <v>1014</v>
      </c>
      <c r="AD312" s="8" t="s">
        <v>1026</v>
      </c>
      <c r="AE312" s="8" t="s">
        <v>1026</v>
      </c>
      <c r="AF312" s="8" t="s">
        <v>1026</v>
      </c>
      <c r="AG312" s="8" t="s">
        <v>1027</v>
      </c>
      <c r="AH312" s="8" t="s">
        <v>1026</v>
      </c>
      <c r="AI312" s="8" t="s">
        <v>1026</v>
      </c>
    </row>
    <row r="313" spans="24:35" x14ac:dyDescent="0.25">
      <c r="X313" s="8" t="s">
        <v>404</v>
      </c>
      <c r="Y313" s="8" t="s">
        <v>926</v>
      </c>
      <c r="Z313" s="8" t="s">
        <v>954</v>
      </c>
      <c r="AA313" s="5">
        <v>66</v>
      </c>
      <c r="AB313" s="8" t="s">
        <v>949</v>
      </c>
      <c r="AC313" s="8" t="s">
        <v>942</v>
      </c>
      <c r="AD313" s="8" t="s">
        <v>1025</v>
      </c>
      <c r="AE313" s="8" t="s">
        <v>1026</v>
      </c>
      <c r="AF313" s="8" t="s">
        <v>1027</v>
      </c>
      <c r="AG313" s="8" t="s">
        <v>1027</v>
      </c>
      <c r="AH313" s="8" t="s">
        <v>1026</v>
      </c>
      <c r="AI313" s="8" t="s">
        <v>1026</v>
      </c>
    </row>
    <row r="314" spans="24:35" x14ac:dyDescent="0.25">
      <c r="X314" s="8" t="s">
        <v>405</v>
      </c>
      <c r="Y314" s="8" t="s">
        <v>948</v>
      </c>
      <c r="Z314" s="8" t="s">
        <v>954</v>
      </c>
      <c r="AA314" s="5">
        <v>34</v>
      </c>
      <c r="AB314" s="8" t="s">
        <v>993</v>
      </c>
      <c r="AC314" s="8" t="s">
        <v>941</v>
      </c>
      <c r="AD314" s="8" t="s">
        <v>1026</v>
      </c>
      <c r="AE314" s="8" t="s">
        <v>1026</v>
      </c>
      <c r="AF314" s="8" t="s">
        <v>1026</v>
      </c>
      <c r="AG314" s="8" t="s">
        <v>1025</v>
      </c>
      <c r="AH314" s="8" t="s">
        <v>1026</v>
      </c>
      <c r="AI314" s="8" t="s">
        <v>1026</v>
      </c>
    </row>
    <row r="315" spans="24:35" x14ac:dyDescent="0.25">
      <c r="X315" s="8" t="s">
        <v>406</v>
      </c>
      <c r="Y315" s="8" t="s">
        <v>921</v>
      </c>
      <c r="Z315" s="8" t="s">
        <v>960</v>
      </c>
      <c r="AA315" s="5">
        <v>41</v>
      </c>
      <c r="AB315" s="8" t="s">
        <v>934</v>
      </c>
      <c r="AC315" s="8" t="s">
        <v>978</v>
      </c>
      <c r="AD315" s="8" t="s">
        <v>1027</v>
      </c>
      <c r="AE315" s="8" t="s">
        <v>1026</v>
      </c>
      <c r="AF315" s="8" t="s">
        <v>1026</v>
      </c>
      <c r="AG315" s="8" t="s">
        <v>1025</v>
      </c>
      <c r="AH315" s="8" t="s">
        <v>1027</v>
      </c>
      <c r="AI315" s="8" t="s">
        <v>1026</v>
      </c>
    </row>
    <row r="316" spans="24:35" x14ac:dyDescent="0.25">
      <c r="X316" s="8" t="s">
        <v>407</v>
      </c>
      <c r="Y316" s="8" t="s">
        <v>925</v>
      </c>
      <c r="Z316" s="8" t="s">
        <v>958</v>
      </c>
      <c r="AA316" s="5">
        <v>80</v>
      </c>
      <c r="AB316" s="8" t="s">
        <v>937</v>
      </c>
      <c r="AC316" s="8" t="s">
        <v>969</v>
      </c>
      <c r="AD316" s="8" t="s">
        <v>1026</v>
      </c>
      <c r="AE316" s="8" t="s">
        <v>1027</v>
      </c>
      <c r="AF316" s="8" t="s">
        <v>1027</v>
      </c>
      <c r="AG316" s="8" t="s">
        <v>1025</v>
      </c>
      <c r="AH316" s="8" t="s">
        <v>1025</v>
      </c>
      <c r="AI316" s="8" t="s">
        <v>1026</v>
      </c>
    </row>
    <row r="317" spans="24:35" x14ac:dyDescent="0.25">
      <c r="X317" s="8" t="s">
        <v>408</v>
      </c>
      <c r="Y317" s="8" t="s">
        <v>948</v>
      </c>
      <c r="Z317" s="8" t="s">
        <v>969</v>
      </c>
      <c r="AA317" s="5">
        <v>66</v>
      </c>
      <c r="AB317" s="8" t="s">
        <v>966</v>
      </c>
      <c r="AC317" s="8" t="s">
        <v>939</v>
      </c>
      <c r="AD317" s="8" t="s">
        <v>1026</v>
      </c>
      <c r="AE317" s="8" t="s">
        <v>1027</v>
      </c>
      <c r="AF317" s="8" t="s">
        <v>1025</v>
      </c>
      <c r="AG317" s="8" t="s">
        <v>1026</v>
      </c>
      <c r="AH317" s="8" t="s">
        <v>1027</v>
      </c>
      <c r="AI317" s="8" t="s">
        <v>1025</v>
      </c>
    </row>
    <row r="318" spans="24:35" x14ac:dyDescent="0.25">
      <c r="X318" s="8" t="s">
        <v>409</v>
      </c>
      <c r="Y318" s="8" t="s">
        <v>956</v>
      </c>
      <c r="Z318" s="8" t="s">
        <v>958</v>
      </c>
      <c r="AA318" s="5">
        <v>56</v>
      </c>
      <c r="AB318" s="8" t="s">
        <v>931</v>
      </c>
      <c r="AC318" s="8" t="s">
        <v>976</v>
      </c>
      <c r="AD318" s="8" t="s">
        <v>1025</v>
      </c>
      <c r="AE318" s="8" t="s">
        <v>1027</v>
      </c>
      <c r="AF318" s="8" t="s">
        <v>1027</v>
      </c>
      <c r="AG318" s="8" t="s">
        <v>1027</v>
      </c>
      <c r="AH318" s="8" t="s">
        <v>1027</v>
      </c>
      <c r="AI318" s="8" t="s">
        <v>1026</v>
      </c>
    </row>
    <row r="319" spans="24:35" x14ac:dyDescent="0.25">
      <c r="X319" s="8" t="s">
        <v>410</v>
      </c>
      <c r="Y319" s="8" t="s">
        <v>974</v>
      </c>
      <c r="Z319" s="8" t="s">
        <v>1008</v>
      </c>
      <c r="AA319" s="5">
        <v>64</v>
      </c>
      <c r="AB319" s="8" t="s">
        <v>921</v>
      </c>
      <c r="AC319" s="8" t="s">
        <v>937</v>
      </c>
      <c r="AD319" s="8" t="s">
        <v>1026</v>
      </c>
      <c r="AE319" s="8" t="s">
        <v>1026</v>
      </c>
      <c r="AF319" s="8" t="s">
        <v>1027</v>
      </c>
      <c r="AG319" s="8" t="s">
        <v>1026</v>
      </c>
      <c r="AH319" s="8" t="s">
        <v>1027</v>
      </c>
      <c r="AI319" s="8" t="s">
        <v>1027</v>
      </c>
    </row>
    <row r="320" spans="24:35" x14ac:dyDescent="0.25">
      <c r="X320" s="8" t="s">
        <v>411</v>
      </c>
      <c r="Y320" s="8" t="s">
        <v>951</v>
      </c>
      <c r="Z320" s="8" t="s">
        <v>935</v>
      </c>
      <c r="AA320" s="5">
        <v>68</v>
      </c>
      <c r="AB320" s="8" t="s">
        <v>960</v>
      </c>
      <c r="AC320" s="8" t="s">
        <v>974</v>
      </c>
      <c r="AD320" s="8" t="s">
        <v>1026</v>
      </c>
      <c r="AE320" s="8" t="s">
        <v>1026</v>
      </c>
      <c r="AF320" s="8" t="s">
        <v>1026</v>
      </c>
      <c r="AG320" s="8" t="s">
        <v>1026</v>
      </c>
      <c r="AH320" s="8" t="s">
        <v>1027</v>
      </c>
      <c r="AI320" s="8" t="s">
        <v>1027</v>
      </c>
    </row>
    <row r="321" spans="24:35" x14ac:dyDescent="0.25">
      <c r="X321" s="8" t="s">
        <v>412</v>
      </c>
      <c r="Y321" s="8" t="s">
        <v>995</v>
      </c>
      <c r="Z321" s="8" t="s">
        <v>957</v>
      </c>
      <c r="AA321" s="5">
        <v>72</v>
      </c>
      <c r="AB321" s="8" t="s">
        <v>971</v>
      </c>
      <c r="AC321" s="8" t="s">
        <v>975</v>
      </c>
      <c r="AD321" s="8" t="s">
        <v>1026</v>
      </c>
      <c r="AE321" s="8" t="s">
        <v>1026</v>
      </c>
      <c r="AF321" s="8" t="s">
        <v>1026</v>
      </c>
      <c r="AG321" s="8" t="s">
        <v>1026</v>
      </c>
      <c r="AH321" s="8" t="s">
        <v>1027</v>
      </c>
      <c r="AI321" s="8" t="s">
        <v>1027</v>
      </c>
    </row>
    <row r="322" spans="24:35" x14ac:dyDescent="0.25">
      <c r="X322" s="8" t="s">
        <v>413</v>
      </c>
      <c r="Y322" s="8" t="s">
        <v>948</v>
      </c>
      <c r="Z322" s="8" t="s">
        <v>969</v>
      </c>
      <c r="AA322" s="5">
        <v>44</v>
      </c>
      <c r="AB322" s="8" t="s">
        <v>1013</v>
      </c>
      <c r="AC322" s="8" t="s">
        <v>978</v>
      </c>
      <c r="AD322" s="8" t="s">
        <v>1027</v>
      </c>
      <c r="AE322" s="8" t="s">
        <v>1026</v>
      </c>
      <c r="AF322" s="8" t="s">
        <v>1027</v>
      </c>
      <c r="AG322" s="8" t="s">
        <v>1026</v>
      </c>
      <c r="AH322" s="8" t="s">
        <v>1026</v>
      </c>
      <c r="AI322" s="8" t="s">
        <v>1025</v>
      </c>
    </row>
    <row r="323" spans="24:35" x14ac:dyDescent="0.25">
      <c r="X323" s="8" t="s">
        <v>414</v>
      </c>
      <c r="Y323" s="8" t="s">
        <v>976</v>
      </c>
      <c r="Z323" s="8" t="s">
        <v>975</v>
      </c>
      <c r="AA323" s="5">
        <v>38</v>
      </c>
      <c r="AB323" s="8" t="s">
        <v>1016</v>
      </c>
      <c r="AC323" s="8" t="s">
        <v>931</v>
      </c>
      <c r="AD323" s="8" t="s">
        <v>1026</v>
      </c>
      <c r="AE323" s="8" t="s">
        <v>1027</v>
      </c>
      <c r="AF323" s="8" t="s">
        <v>1027</v>
      </c>
      <c r="AG323" s="8" t="s">
        <v>1026</v>
      </c>
      <c r="AH323" s="8" t="s">
        <v>1026</v>
      </c>
      <c r="AI323" s="8" t="s">
        <v>1025</v>
      </c>
    </row>
    <row r="324" spans="24:35" x14ac:dyDescent="0.25">
      <c r="X324" s="8" t="s">
        <v>415</v>
      </c>
      <c r="Y324" s="8" t="s">
        <v>974</v>
      </c>
      <c r="Z324" s="8" t="s">
        <v>956</v>
      </c>
      <c r="AA324" s="5">
        <v>61</v>
      </c>
      <c r="AB324" s="8" t="s">
        <v>926</v>
      </c>
      <c r="AC324" s="8" t="s">
        <v>975</v>
      </c>
      <c r="AD324" s="8" t="s">
        <v>1027</v>
      </c>
      <c r="AE324" s="8" t="s">
        <v>1026</v>
      </c>
      <c r="AF324" s="8" t="s">
        <v>1027</v>
      </c>
      <c r="AG324" s="8" t="s">
        <v>1026</v>
      </c>
      <c r="AH324" s="8" t="s">
        <v>1026</v>
      </c>
      <c r="AI324" s="8" t="s">
        <v>1027</v>
      </c>
    </row>
    <row r="325" spans="24:35" x14ac:dyDescent="0.25">
      <c r="X325" s="8" t="s">
        <v>416</v>
      </c>
      <c r="Y325" s="8" t="s">
        <v>958</v>
      </c>
      <c r="Z325" s="8" t="s">
        <v>969</v>
      </c>
      <c r="AA325" s="5">
        <v>43</v>
      </c>
      <c r="AB325" s="8" t="s">
        <v>974</v>
      </c>
      <c r="AC325" s="8" t="s">
        <v>994</v>
      </c>
      <c r="AD325" s="8" t="s">
        <v>1027</v>
      </c>
      <c r="AE325" s="8" t="s">
        <v>1026</v>
      </c>
      <c r="AF325" s="8" t="s">
        <v>1026</v>
      </c>
      <c r="AG325" s="8" t="s">
        <v>1025</v>
      </c>
      <c r="AH325" s="8" t="s">
        <v>1027</v>
      </c>
      <c r="AI325" s="8" t="s">
        <v>1026</v>
      </c>
    </row>
    <row r="326" spans="24:35" x14ac:dyDescent="0.25">
      <c r="X326" s="8" t="s">
        <v>417</v>
      </c>
      <c r="Y326" s="8" t="s">
        <v>1000</v>
      </c>
      <c r="Z326" s="8" t="s">
        <v>1005</v>
      </c>
      <c r="AA326" s="5">
        <v>12</v>
      </c>
      <c r="AB326" s="8" t="s">
        <v>947</v>
      </c>
      <c r="AC326" s="8" t="s">
        <v>949</v>
      </c>
      <c r="AD326" s="8" t="s">
        <v>1026</v>
      </c>
      <c r="AE326" s="8" t="s">
        <v>1026</v>
      </c>
      <c r="AF326" s="8" t="s">
        <v>1026</v>
      </c>
      <c r="AG326" s="8" t="s">
        <v>1026</v>
      </c>
      <c r="AH326" s="8" t="s">
        <v>1026</v>
      </c>
      <c r="AI326" s="8" t="s">
        <v>1027</v>
      </c>
    </row>
    <row r="327" spans="24:35" x14ac:dyDescent="0.25">
      <c r="X327" s="8" t="s">
        <v>418</v>
      </c>
      <c r="Y327" s="8" t="s">
        <v>938</v>
      </c>
      <c r="Z327" s="8" t="s">
        <v>960</v>
      </c>
      <c r="AA327" s="5">
        <v>71</v>
      </c>
      <c r="AB327" s="8" t="s">
        <v>948</v>
      </c>
      <c r="AC327" s="8" t="s">
        <v>942</v>
      </c>
      <c r="AD327" s="8" t="s">
        <v>1025</v>
      </c>
      <c r="AE327" s="8" t="s">
        <v>1027</v>
      </c>
      <c r="AF327" s="8" t="s">
        <v>1025</v>
      </c>
      <c r="AG327" s="8" t="s">
        <v>1026</v>
      </c>
      <c r="AH327" s="8" t="s">
        <v>1025</v>
      </c>
      <c r="AI327" s="8" t="s">
        <v>1028</v>
      </c>
    </row>
    <row r="328" spans="24:35" x14ac:dyDescent="0.25">
      <c r="X328" s="8" t="s">
        <v>419</v>
      </c>
      <c r="Y328" s="8" t="s">
        <v>942</v>
      </c>
      <c r="Z328" s="8" t="s">
        <v>954</v>
      </c>
      <c r="AA328" s="5">
        <v>39</v>
      </c>
      <c r="AB328" s="8" t="s">
        <v>993</v>
      </c>
      <c r="AC328" s="8" t="s">
        <v>949</v>
      </c>
      <c r="AD328" s="8" t="s">
        <v>1027</v>
      </c>
      <c r="AE328" s="8" t="s">
        <v>1027</v>
      </c>
      <c r="AF328" s="8" t="s">
        <v>1026</v>
      </c>
      <c r="AG328" s="8" t="s">
        <v>1026</v>
      </c>
      <c r="AH328" s="8" t="s">
        <v>1026</v>
      </c>
      <c r="AI328" s="8" t="s">
        <v>1025</v>
      </c>
    </row>
    <row r="329" spans="24:35" x14ac:dyDescent="0.25">
      <c r="X329" s="8" t="s">
        <v>420</v>
      </c>
      <c r="Y329" s="8" t="s">
        <v>966</v>
      </c>
      <c r="Z329" s="8" t="s">
        <v>1016</v>
      </c>
      <c r="AA329" s="5">
        <v>37</v>
      </c>
      <c r="AB329" s="8" t="s">
        <v>967</v>
      </c>
      <c r="AC329" s="8" t="s">
        <v>976</v>
      </c>
      <c r="AD329" s="8" t="s">
        <v>1027</v>
      </c>
      <c r="AE329" s="8" t="s">
        <v>1027</v>
      </c>
      <c r="AF329" s="8" t="s">
        <v>1026</v>
      </c>
      <c r="AG329" s="8" t="s">
        <v>1026</v>
      </c>
      <c r="AH329" s="8" t="s">
        <v>1026</v>
      </c>
      <c r="AI329" s="8" t="s">
        <v>1026</v>
      </c>
    </row>
    <row r="330" spans="24:35" x14ac:dyDescent="0.25">
      <c r="X330" s="8" t="s">
        <v>421</v>
      </c>
      <c r="Y330" s="8" t="s">
        <v>960</v>
      </c>
      <c r="Z330" s="8" t="s">
        <v>967</v>
      </c>
      <c r="AA330" s="5">
        <v>82</v>
      </c>
      <c r="AB330" s="8" t="s">
        <v>983</v>
      </c>
      <c r="AC330" s="8" t="s">
        <v>982</v>
      </c>
      <c r="AD330" s="8" t="s">
        <v>1027</v>
      </c>
      <c r="AE330" s="8" t="s">
        <v>1026</v>
      </c>
      <c r="AF330" s="8" t="s">
        <v>1025</v>
      </c>
      <c r="AG330" s="8" t="s">
        <v>1027</v>
      </c>
      <c r="AH330" s="8" t="s">
        <v>1027</v>
      </c>
      <c r="AI330" s="8" t="s">
        <v>1027</v>
      </c>
    </row>
    <row r="331" spans="24:35" x14ac:dyDescent="0.25">
      <c r="X331" s="8" t="s">
        <v>422</v>
      </c>
      <c r="Y331" s="8" t="s">
        <v>991</v>
      </c>
      <c r="Z331" s="8" t="s">
        <v>935</v>
      </c>
      <c r="AA331" s="5">
        <v>30</v>
      </c>
      <c r="AB331" s="8" t="s">
        <v>997</v>
      </c>
      <c r="AC331" s="8" t="s">
        <v>953</v>
      </c>
      <c r="AD331" s="8" t="s">
        <v>1026</v>
      </c>
      <c r="AE331" s="8" t="s">
        <v>1026</v>
      </c>
      <c r="AF331" s="8" t="s">
        <v>1026</v>
      </c>
      <c r="AG331" s="8" t="s">
        <v>1026</v>
      </c>
      <c r="AH331" s="8" t="s">
        <v>1026</v>
      </c>
      <c r="AI331" s="8" t="s">
        <v>1026</v>
      </c>
    </row>
    <row r="332" spans="24:35" x14ac:dyDescent="0.25">
      <c r="X332" s="8" t="s">
        <v>423</v>
      </c>
      <c r="Y332" s="8" t="s">
        <v>984</v>
      </c>
      <c r="Z332" s="8" t="s">
        <v>968</v>
      </c>
      <c r="AA332" s="5">
        <v>50</v>
      </c>
      <c r="AB332" s="8" t="s">
        <v>931</v>
      </c>
      <c r="AC332" s="8" t="s">
        <v>997</v>
      </c>
      <c r="AD332" s="8" t="s">
        <v>1026</v>
      </c>
      <c r="AE332" s="8" t="s">
        <v>1026</v>
      </c>
      <c r="AF332" s="8" t="s">
        <v>1027</v>
      </c>
      <c r="AG332" s="8" t="s">
        <v>1026</v>
      </c>
      <c r="AH332" s="8" t="s">
        <v>1026</v>
      </c>
      <c r="AI332" s="8" t="s">
        <v>1026</v>
      </c>
    </row>
    <row r="333" spans="24:35" x14ac:dyDescent="0.25">
      <c r="X333" s="8" t="s">
        <v>424</v>
      </c>
      <c r="Y333" s="8" t="s">
        <v>921</v>
      </c>
      <c r="Z333" s="8" t="s">
        <v>972</v>
      </c>
      <c r="AA333" s="5">
        <v>58</v>
      </c>
      <c r="AB333" s="8" t="s">
        <v>978</v>
      </c>
      <c r="AC333" s="8" t="s">
        <v>942</v>
      </c>
      <c r="AD333" s="8" t="s">
        <v>1027</v>
      </c>
      <c r="AE333" s="8" t="s">
        <v>1026</v>
      </c>
      <c r="AF333" s="8" t="s">
        <v>1028</v>
      </c>
      <c r="AG333" s="8" t="s">
        <v>1025</v>
      </c>
      <c r="AH333" s="8" t="s">
        <v>1026</v>
      </c>
      <c r="AI333" s="8" t="s">
        <v>1027</v>
      </c>
    </row>
    <row r="334" spans="24:35" x14ac:dyDescent="0.25">
      <c r="X334" s="8" t="s">
        <v>425</v>
      </c>
      <c r="Y334" s="8" t="s">
        <v>1008</v>
      </c>
      <c r="Z334" s="8" t="s">
        <v>995</v>
      </c>
      <c r="AA334" s="5">
        <v>11</v>
      </c>
      <c r="AB334" s="8" t="s">
        <v>991</v>
      </c>
      <c r="AC334" s="8" t="s">
        <v>944</v>
      </c>
      <c r="AD334" s="8" t="s">
        <v>1026</v>
      </c>
      <c r="AE334" s="8" t="s">
        <v>1026</v>
      </c>
      <c r="AF334" s="8" t="s">
        <v>1026</v>
      </c>
      <c r="AG334" s="8" t="s">
        <v>1027</v>
      </c>
      <c r="AH334" s="8" t="s">
        <v>1026</v>
      </c>
      <c r="AI334" s="8" t="s">
        <v>1026</v>
      </c>
    </row>
    <row r="335" spans="24:35" x14ac:dyDescent="0.25">
      <c r="X335" s="8" t="s">
        <v>426</v>
      </c>
      <c r="Y335" s="8" t="s">
        <v>969</v>
      </c>
      <c r="Z335" s="8" t="s">
        <v>936</v>
      </c>
      <c r="AA335" s="5">
        <v>38</v>
      </c>
      <c r="AB335" s="8" t="s">
        <v>962</v>
      </c>
      <c r="AC335" s="8" t="s">
        <v>1001</v>
      </c>
      <c r="AD335" s="8" t="s">
        <v>1027</v>
      </c>
      <c r="AE335" s="8" t="s">
        <v>1027</v>
      </c>
      <c r="AF335" s="8" t="s">
        <v>1026</v>
      </c>
      <c r="AG335" s="8" t="s">
        <v>1025</v>
      </c>
      <c r="AH335" s="8" t="s">
        <v>1026</v>
      </c>
      <c r="AI335" s="8" t="s">
        <v>1026</v>
      </c>
    </row>
    <row r="336" spans="24:35" x14ac:dyDescent="0.25">
      <c r="X336" s="8" t="s">
        <v>427</v>
      </c>
      <c r="Y336" s="8" t="s">
        <v>930</v>
      </c>
      <c r="Z336" s="8" t="s">
        <v>938</v>
      </c>
      <c r="AA336" s="5">
        <v>42</v>
      </c>
      <c r="AB336" s="8" t="s">
        <v>941</v>
      </c>
      <c r="AC336" s="8" t="s">
        <v>954</v>
      </c>
      <c r="AD336" s="8" t="s">
        <v>1026</v>
      </c>
      <c r="AE336" s="8" t="s">
        <v>1025</v>
      </c>
      <c r="AF336" s="8" t="s">
        <v>1026</v>
      </c>
      <c r="AG336" s="8" t="s">
        <v>1027</v>
      </c>
      <c r="AH336" s="8" t="s">
        <v>1026</v>
      </c>
      <c r="AI336" s="8" t="s">
        <v>1027</v>
      </c>
    </row>
    <row r="337" spans="24:35" x14ac:dyDescent="0.25">
      <c r="X337" s="8" t="s">
        <v>428</v>
      </c>
      <c r="Y337" s="8" t="s">
        <v>921</v>
      </c>
      <c r="Z337" s="8" t="s">
        <v>942</v>
      </c>
      <c r="AA337" s="5">
        <v>66</v>
      </c>
      <c r="AB337" s="8" t="s">
        <v>969</v>
      </c>
      <c r="AC337" s="8" t="s">
        <v>936</v>
      </c>
      <c r="AD337" s="8" t="s">
        <v>1027</v>
      </c>
      <c r="AE337" s="8" t="s">
        <v>1025</v>
      </c>
      <c r="AF337" s="8" t="s">
        <v>1026</v>
      </c>
      <c r="AG337" s="8" t="s">
        <v>1027</v>
      </c>
      <c r="AH337" s="8" t="s">
        <v>1026</v>
      </c>
      <c r="AI337" s="8" t="s">
        <v>1026</v>
      </c>
    </row>
    <row r="338" spans="24:35" x14ac:dyDescent="0.25">
      <c r="X338" s="8" t="s">
        <v>429</v>
      </c>
      <c r="Y338" s="8" t="s">
        <v>965</v>
      </c>
      <c r="Z338" s="8" t="s">
        <v>985</v>
      </c>
      <c r="AA338" s="5">
        <v>44</v>
      </c>
      <c r="AB338" s="8" t="s">
        <v>963</v>
      </c>
      <c r="AC338" s="8" t="s">
        <v>994</v>
      </c>
      <c r="AD338" s="8" t="s">
        <v>1028</v>
      </c>
      <c r="AE338" s="8" t="s">
        <v>1025</v>
      </c>
      <c r="AF338" s="8" t="s">
        <v>1026</v>
      </c>
      <c r="AG338" s="8" t="s">
        <v>1025</v>
      </c>
      <c r="AH338" s="8" t="s">
        <v>1026</v>
      </c>
      <c r="AI338" s="8" t="s">
        <v>1026</v>
      </c>
    </row>
    <row r="339" spans="24:35" x14ac:dyDescent="0.25">
      <c r="X339" s="8" t="s">
        <v>430</v>
      </c>
      <c r="Y339" s="8" t="s">
        <v>972</v>
      </c>
      <c r="Z339" s="8" t="s">
        <v>958</v>
      </c>
      <c r="AA339" s="5">
        <v>60</v>
      </c>
      <c r="AB339" s="8" t="s">
        <v>963</v>
      </c>
      <c r="AC339" s="8" t="s">
        <v>960</v>
      </c>
      <c r="AD339" s="8" t="s">
        <v>1027</v>
      </c>
      <c r="AE339" s="8" t="s">
        <v>1026</v>
      </c>
      <c r="AF339" s="8" t="s">
        <v>1026</v>
      </c>
      <c r="AG339" s="8" t="s">
        <v>1028</v>
      </c>
      <c r="AH339" s="8" t="s">
        <v>1026</v>
      </c>
      <c r="AI339" s="8" t="s">
        <v>1026</v>
      </c>
    </row>
    <row r="340" spans="24:35" x14ac:dyDescent="0.25">
      <c r="X340" s="8" t="s">
        <v>431</v>
      </c>
      <c r="Y340" s="8" t="s">
        <v>983</v>
      </c>
      <c r="Z340" s="8" t="s">
        <v>961</v>
      </c>
      <c r="AA340" s="5">
        <v>40</v>
      </c>
      <c r="AB340" s="8" t="s">
        <v>963</v>
      </c>
      <c r="AC340" s="8" t="s">
        <v>940</v>
      </c>
      <c r="AD340" s="8" t="s">
        <v>1025</v>
      </c>
      <c r="AE340" s="8" t="s">
        <v>1027</v>
      </c>
      <c r="AF340" s="8" t="s">
        <v>1026</v>
      </c>
      <c r="AG340" s="8" t="s">
        <v>1028</v>
      </c>
      <c r="AH340" s="8" t="s">
        <v>1027</v>
      </c>
      <c r="AI340" s="8" t="s">
        <v>1026</v>
      </c>
    </row>
    <row r="341" spans="24:35" x14ac:dyDescent="0.25">
      <c r="X341" s="8" t="s">
        <v>432</v>
      </c>
      <c r="Y341" s="8" t="s">
        <v>1008</v>
      </c>
      <c r="Z341" s="8" t="s">
        <v>980</v>
      </c>
      <c r="AA341" s="5">
        <v>81</v>
      </c>
      <c r="AB341" s="8" t="s">
        <v>926</v>
      </c>
      <c r="AC341" s="8" t="s">
        <v>971</v>
      </c>
      <c r="AD341" s="8" t="s">
        <v>1026</v>
      </c>
      <c r="AE341" s="8" t="s">
        <v>1026</v>
      </c>
      <c r="AF341" s="8" t="s">
        <v>1026</v>
      </c>
      <c r="AG341" s="8" t="s">
        <v>1026</v>
      </c>
      <c r="AH341" s="8" t="s">
        <v>1027</v>
      </c>
      <c r="AI341" s="8" t="s">
        <v>1026</v>
      </c>
    </row>
    <row r="342" spans="24:35" x14ac:dyDescent="0.25">
      <c r="X342" s="8" t="s">
        <v>433</v>
      </c>
      <c r="Y342" s="8" t="s">
        <v>1007</v>
      </c>
      <c r="Z342" s="8" t="s">
        <v>921</v>
      </c>
      <c r="AA342" s="5">
        <v>68</v>
      </c>
      <c r="AB342" s="8" t="s">
        <v>960</v>
      </c>
      <c r="AC342" s="8" t="s">
        <v>982</v>
      </c>
      <c r="AD342" s="8" t="s">
        <v>1025</v>
      </c>
      <c r="AE342" s="8" t="s">
        <v>1027</v>
      </c>
      <c r="AF342" s="8" t="s">
        <v>1027</v>
      </c>
      <c r="AG342" s="8" t="s">
        <v>1028</v>
      </c>
      <c r="AH342" s="8" t="s">
        <v>1026</v>
      </c>
      <c r="AI342" s="8" t="s">
        <v>1026</v>
      </c>
    </row>
    <row r="343" spans="24:35" x14ac:dyDescent="0.25">
      <c r="X343" s="8" t="s">
        <v>434</v>
      </c>
      <c r="Y343" s="8" t="s">
        <v>1014</v>
      </c>
      <c r="Z343" s="8" t="s">
        <v>928</v>
      </c>
      <c r="AA343" s="5">
        <v>56</v>
      </c>
      <c r="AB343" s="8" t="s">
        <v>943</v>
      </c>
      <c r="AC343" s="8" t="s">
        <v>940</v>
      </c>
      <c r="AD343" s="8" t="s">
        <v>1025</v>
      </c>
      <c r="AE343" s="8" t="s">
        <v>1028</v>
      </c>
      <c r="AF343" s="8" t="s">
        <v>1026</v>
      </c>
      <c r="AG343" s="8" t="s">
        <v>1025</v>
      </c>
      <c r="AH343" s="8" t="s">
        <v>1026</v>
      </c>
      <c r="AI343" s="8" t="s">
        <v>1026</v>
      </c>
    </row>
    <row r="344" spans="24:35" x14ac:dyDescent="0.25">
      <c r="X344" s="8" t="s">
        <v>435</v>
      </c>
      <c r="Y344" s="8" t="s">
        <v>994</v>
      </c>
      <c r="Z344" s="8" t="s">
        <v>921</v>
      </c>
      <c r="AA344" s="5">
        <v>38</v>
      </c>
      <c r="AB344" s="8" t="s">
        <v>962</v>
      </c>
      <c r="AC344" s="8" t="s">
        <v>941</v>
      </c>
      <c r="AD344" s="8" t="s">
        <v>1026</v>
      </c>
      <c r="AE344" s="8" t="s">
        <v>1026</v>
      </c>
      <c r="AF344" s="8" t="s">
        <v>1025</v>
      </c>
      <c r="AG344" s="8" t="s">
        <v>1027</v>
      </c>
      <c r="AH344" s="8" t="s">
        <v>1026</v>
      </c>
      <c r="AI344" s="8" t="s">
        <v>1026</v>
      </c>
    </row>
    <row r="345" spans="24:35" x14ac:dyDescent="0.25">
      <c r="X345" s="8" t="s">
        <v>436</v>
      </c>
      <c r="Y345" s="8" t="s">
        <v>1015</v>
      </c>
      <c r="Z345" s="8" t="s">
        <v>960</v>
      </c>
      <c r="AA345" s="5">
        <v>91</v>
      </c>
      <c r="AB345" s="8" t="s">
        <v>1011</v>
      </c>
      <c r="AC345" s="8" t="s">
        <v>1015</v>
      </c>
      <c r="AD345" s="8" t="s">
        <v>1028</v>
      </c>
      <c r="AE345" s="8" t="s">
        <v>1028</v>
      </c>
      <c r="AF345" s="8" t="s">
        <v>1025</v>
      </c>
      <c r="AG345" s="8" t="s">
        <v>1025</v>
      </c>
      <c r="AH345" s="8" t="s">
        <v>1027</v>
      </c>
      <c r="AI345" s="8" t="s">
        <v>1026</v>
      </c>
    </row>
    <row r="346" spans="24:35" x14ac:dyDescent="0.25">
      <c r="X346" s="8" t="s">
        <v>437</v>
      </c>
      <c r="Y346" s="8" t="s">
        <v>941</v>
      </c>
      <c r="Z346" s="8" t="s">
        <v>922</v>
      </c>
      <c r="AA346" s="5">
        <v>30</v>
      </c>
      <c r="AB346" s="8" t="s">
        <v>930</v>
      </c>
      <c r="AC346" s="8" t="s">
        <v>933</v>
      </c>
      <c r="AD346" s="8" t="s">
        <v>1026</v>
      </c>
      <c r="AE346" s="8" t="s">
        <v>1026</v>
      </c>
      <c r="AF346" s="8" t="s">
        <v>1026</v>
      </c>
      <c r="AG346" s="8" t="s">
        <v>1027</v>
      </c>
      <c r="AH346" s="8" t="s">
        <v>1026</v>
      </c>
      <c r="AI346" s="8" t="s">
        <v>1026</v>
      </c>
    </row>
    <row r="347" spans="24:35" x14ac:dyDescent="0.25">
      <c r="X347" s="8" t="s">
        <v>438</v>
      </c>
      <c r="Y347" s="8" t="s">
        <v>1001</v>
      </c>
      <c r="Z347" s="8" t="s">
        <v>990</v>
      </c>
      <c r="AA347" s="5">
        <v>85</v>
      </c>
      <c r="AB347" s="8" t="s">
        <v>965</v>
      </c>
      <c r="AC347" s="8" t="s">
        <v>952</v>
      </c>
      <c r="AD347" s="8" t="s">
        <v>1026</v>
      </c>
      <c r="AE347" s="8" t="s">
        <v>1026</v>
      </c>
      <c r="AF347" s="8" t="s">
        <v>1026</v>
      </c>
      <c r="AG347" s="8" t="s">
        <v>1026</v>
      </c>
      <c r="AH347" s="8" t="s">
        <v>1025</v>
      </c>
      <c r="AI347" s="8" t="s">
        <v>1027</v>
      </c>
    </row>
    <row r="348" spans="24:35" x14ac:dyDescent="0.25">
      <c r="X348" s="8" t="s">
        <v>439</v>
      </c>
      <c r="Y348" s="8" t="s">
        <v>921</v>
      </c>
      <c r="Z348" s="8" t="s">
        <v>972</v>
      </c>
      <c r="AA348" s="5">
        <v>52</v>
      </c>
      <c r="AB348" s="8" t="s">
        <v>978</v>
      </c>
      <c r="AC348" s="8" t="s">
        <v>958</v>
      </c>
      <c r="AD348" s="8" t="s">
        <v>1025</v>
      </c>
      <c r="AE348" s="8" t="s">
        <v>1027</v>
      </c>
      <c r="AF348" s="8" t="s">
        <v>1026</v>
      </c>
      <c r="AG348" s="8" t="s">
        <v>1025</v>
      </c>
      <c r="AH348" s="8" t="s">
        <v>1026</v>
      </c>
      <c r="AI348" s="8" t="s">
        <v>1026</v>
      </c>
    </row>
    <row r="349" spans="24:35" x14ac:dyDescent="0.25">
      <c r="X349" s="8" t="s">
        <v>440</v>
      </c>
      <c r="Y349" s="8" t="s">
        <v>926</v>
      </c>
      <c r="Z349" s="8" t="s">
        <v>958</v>
      </c>
      <c r="AA349" s="5">
        <v>83</v>
      </c>
      <c r="AB349" s="8" t="s">
        <v>928</v>
      </c>
      <c r="AC349" s="8" t="s">
        <v>983</v>
      </c>
      <c r="AD349" s="8" t="s">
        <v>1027</v>
      </c>
      <c r="AE349" s="8" t="s">
        <v>1027</v>
      </c>
      <c r="AF349" s="8" t="s">
        <v>1025</v>
      </c>
      <c r="AG349" s="8" t="s">
        <v>1027</v>
      </c>
      <c r="AH349" s="8" t="s">
        <v>1026</v>
      </c>
      <c r="AI349" s="8" t="s">
        <v>1026</v>
      </c>
    </row>
    <row r="350" spans="24:35" x14ac:dyDescent="0.25">
      <c r="X350" s="8" t="s">
        <v>441</v>
      </c>
      <c r="Y350" s="8" t="s">
        <v>994</v>
      </c>
      <c r="Z350" s="8" t="s">
        <v>956</v>
      </c>
      <c r="AA350" s="5">
        <v>32</v>
      </c>
      <c r="AB350" s="8" t="s">
        <v>990</v>
      </c>
      <c r="AC350" s="8" t="s">
        <v>968</v>
      </c>
      <c r="AD350" s="8" t="s">
        <v>1027</v>
      </c>
      <c r="AE350" s="8" t="s">
        <v>1026</v>
      </c>
      <c r="AF350" s="8" t="s">
        <v>1027</v>
      </c>
      <c r="AG350" s="8" t="s">
        <v>1027</v>
      </c>
      <c r="AH350" s="8" t="s">
        <v>1026</v>
      </c>
      <c r="AI350" s="8" t="s">
        <v>1026</v>
      </c>
    </row>
    <row r="351" spans="24:35" x14ac:dyDescent="0.25">
      <c r="X351" s="8" t="s">
        <v>442</v>
      </c>
      <c r="Y351" s="8" t="s">
        <v>1004</v>
      </c>
      <c r="Z351" s="8" t="s">
        <v>977</v>
      </c>
      <c r="AA351" s="5">
        <v>27</v>
      </c>
      <c r="AB351" s="8" t="s">
        <v>934</v>
      </c>
      <c r="AC351" s="8" t="s">
        <v>960</v>
      </c>
      <c r="AD351" s="8" t="s">
        <v>1026</v>
      </c>
      <c r="AE351" s="8" t="s">
        <v>1026</v>
      </c>
      <c r="AF351" s="8" t="s">
        <v>1026</v>
      </c>
      <c r="AG351" s="8" t="s">
        <v>1026</v>
      </c>
      <c r="AH351" s="8" t="s">
        <v>1026</v>
      </c>
      <c r="AI351" s="8" t="s">
        <v>1026</v>
      </c>
    </row>
    <row r="352" spans="24:35" x14ac:dyDescent="0.25">
      <c r="X352" s="8" t="s">
        <v>443</v>
      </c>
      <c r="Y352" s="8" t="s">
        <v>994</v>
      </c>
      <c r="Z352" s="8" t="s">
        <v>948</v>
      </c>
      <c r="AA352" s="5">
        <v>59</v>
      </c>
      <c r="AB352" s="8" t="s">
        <v>972</v>
      </c>
      <c r="AC352" s="8" t="s">
        <v>971</v>
      </c>
      <c r="AD352" s="8" t="s">
        <v>1025</v>
      </c>
      <c r="AE352" s="8" t="s">
        <v>1026</v>
      </c>
      <c r="AF352" s="8" t="s">
        <v>1026</v>
      </c>
      <c r="AG352" s="8" t="s">
        <v>1027</v>
      </c>
      <c r="AH352" s="8" t="s">
        <v>1026</v>
      </c>
      <c r="AI352" s="8" t="s">
        <v>1026</v>
      </c>
    </row>
    <row r="353" spans="24:35" x14ac:dyDescent="0.25">
      <c r="X353" s="8" t="s">
        <v>444</v>
      </c>
      <c r="Y353" s="8" t="s">
        <v>932</v>
      </c>
      <c r="Z353" s="8" t="s">
        <v>1004</v>
      </c>
      <c r="AA353" s="5">
        <v>52</v>
      </c>
      <c r="AB353" s="8" t="s">
        <v>954</v>
      </c>
      <c r="AC353" s="8" t="s">
        <v>969</v>
      </c>
      <c r="AD353" s="8" t="s">
        <v>1026</v>
      </c>
      <c r="AE353" s="8" t="s">
        <v>1026</v>
      </c>
      <c r="AF353" s="8" t="s">
        <v>1026</v>
      </c>
      <c r="AG353" s="8" t="s">
        <v>1026</v>
      </c>
      <c r="AH353" s="8" t="s">
        <v>1026</v>
      </c>
      <c r="AI353" s="8" t="s">
        <v>1026</v>
      </c>
    </row>
    <row r="354" spans="24:35" x14ac:dyDescent="0.25">
      <c r="X354" s="8" t="s">
        <v>445</v>
      </c>
      <c r="Y354" s="8" t="s">
        <v>973</v>
      </c>
      <c r="Z354" s="8" t="s">
        <v>933</v>
      </c>
      <c r="AA354" s="5">
        <v>66</v>
      </c>
      <c r="AB354" s="8" t="s">
        <v>942</v>
      </c>
      <c r="AC354" s="8" t="s">
        <v>960</v>
      </c>
      <c r="AD354" s="8" t="s">
        <v>1026</v>
      </c>
      <c r="AE354" s="8" t="s">
        <v>1026</v>
      </c>
      <c r="AF354" s="8" t="s">
        <v>1027</v>
      </c>
      <c r="AG354" s="8" t="s">
        <v>1027</v>
      </c>
      <c r="AH354" s="8" t="s">
        <v>1026</v>
      </c>
      <c r="AI354" s="8" t="s">
        <v>1026</v>
      </c>
    </row>
    <row r="355" spans="24:35" x14ac:dyDescent="0.25">
      <c r="X355" s="8" t="s">
        <v>446</v>
      </c>
      <c r="Y355" s="8" t="s">
        <v>938</v>
      </c>
      <c r="Z355" s="8" t="s">
        <v>963</v>
      </c>
      <c r="AA355" s="5">
        <v>90</v>
      </c>
      <c r="AB355" s="8" t="s">
        <v>1014</v>
      </c>
      <c r="AC355" s="8" t="s">
        <v>921</v>
      </c>
      <c r="AD355" s="8" t="s">
        <v>1027</v>
      </c>
      <c r="AE355" s="8" t="s">
        <v>1027</v>
      </c>
      <c r="AF355" s="8" t="s">
        <v>1025</v>
      </c>
      <c r="AG355" s="8" t="s">
        <v>1025</v>
      </c>
      <c r="AH355" s="8" t="s">
        <v>1025</v>
      </c>
      <c r="AI355" s="8" t="s">
        <v>1026</v>
      </c>
    </row>
    <row r="356" spans="24:35" x14ac:dyDescent="0.25">
      <c r="X356" s="8" t="s">
        <v>447</v>
      </c>
      <c r="Y356" s="8" t="s">
        <v>956</v>
      </c>
      <c r="Z356" s="8" t="s">
        <v>975</v>
      </c>
      <c r="AA356" s="5">
        <v>66</v>
      </c>
      <c r="AB356" s="8" t="s">
        <v>937</v>
      </c>
      <c r="AC356" s="8" t="s">
        <v>975</v>
      </c>
      <c r="AD356" s="8" t="s">
        <v>1026</v>
      </c>
      <c r="AE356" s="8" t="s">
        <v>1025</v>
      </c>
      <c r="AF356" s="8" t="s">
        <v>1027</v>
      </c>
      <c r="AG356" s="8" t="s">
        <v>1026</v>
      </c>
      <c r="AH356" s="8" t="s">
        <v>1026</v>
      </c>
      <c r="AI356" s="8" t="s">
        <v>1025</v>
      </c>
    </row>
    <row r="357" spans="24:35" x14ac:dyDescent="0.25">
      <c r="X357" s="8" t="s">
        <v>448</v>
      </c>
      <c r="Y357" s="8" t="s">
        <v>926</v>
      </c>
      <c r="Z357" s="8" t="s">
        <v>958</v>
      </c>
      <c r="AA357" s="5">
        <v>62</v>
      </c>
      <c r="AB357" s="8" t="s">
        <v>931</v>
      </c>
      <c r="AC357" s="8" t="s">
        <v>953</v>
      </c>
      <c r="AD357" s="8" t="s">
        <v>1026</v>
      </c>
      <c r="AE357" s="8" t="s">
        <v>1025</v>
      </c>
      <c r="AF357" s="8" t="s">
        <v>1026</v>
      </c>
      <c r="AG357" s="8" t="s">
        <v>1027</v>
      </c>
      <c r="AH357" s="8" t="s">
        <v>1026</v>
      </c>
      <c r="AI357" s="8" t="s">
        <v>1025</v>
      </c>
    </row>
    <row r="358" spans="24:35" x14ac:dyDescent="0.25">
      <c r="X358" s="8" t="s">
        <v>449</v>
      </c>
      <c r="Y358" s="8" t="s">
        <v>966</v>
      </c>
      <c r="Z358" s="8" t="s">
        <v>949</v>
      </c>
      <c r="AA358" s="5">
        <v>49</v>
      </c>
      <c r="AB358" s="8" t="s">
        <v>947</v>
      </c>
      <c r="AC358" s="8" t="s">
        <v>974</v>
      </c>
      <c r="AD358" s="8" t="s">
        <v>1026</v>
      </c>
      <c r="AE358" s="8" t="s">
        <v>1027</v>
      </c>
      <c r="AF358" s="8" t="s">
        <v>1027</v>
      </c>
      <c r="AG358" s="8" t="s">
        <v>1026</v>
      </c>
      <c r="AH358" s="8" t="s">
        <v>1026</v>
      </c>
      <c r="AI358" s="8" t="s">
        <v>1026</v>
      </c>
    </row>
    <row r="359" spans="24:35" x14ac:dyDescent="0.25">
      <c r="X359" s="8" t="s">
        <v>450</v>
      </c>
      <c r="Y359" s="8" t="s">
        <v>956</v>
      </c>
      <c r="Z359" s="8" t="s">
        <v>958</v>
      </c>
      <c r="AA359" s="5">
        <v>55</v>
      </c>
      <c r="AB359" s="8" t="s">
        <v>937</v>
      </c>
      <c r="AC359" s="8" t="s">
        <v>948</v>
      </c>
      <c r="AD359" s="8" t="s">
        <v>1027</v>
      </c>
      <c r="AE359" s="8" t="s">
        <v>1027</v>
      </c>
      <c r="AF359" s="8" t="s">
        <v>1025</v>
      </c>
      <c r="AG359" s="8" t="s">
        <v>1026</v>
      </c>
      <c r="AH359" s="8" t="s">
        <v>1027</v>
      </c>
      <c r="AI359" s="8" t="s">
        <v>1025</v>
      </c>
    </row>
    <row r="360" spans="24:35" x14ac:dyDescent="0.25">
      <c r="X360" s="8" t="s">
        <v>451</v>
      </c>
      <c r="Y360" s="8" t="s">
        <v>1001</v>
      </c>
      <c r="Z360" s="8" t="s">
        <v>941</v>
      </c>
      <c r="AA360" s="5">
        <v>68</v>
      </c>
      <c r="AB360" s="8" t="s">
        <v>958</v>
      </c>
      <c r="AC360" s="8" t="s">
        <v>940</v>
      </c>
      <c r="AD360" s="8" t="s">
        <v>1026</v>
      </c>
      <c r="AE360" s="8" t="s">
        <v>1026</v>
      </c>
      <c r="AF360" s="8" t="s">
        <v>1025</v>
      </c>
      <c r="AG360" s="8" t="s">
        <v>1027</v>
      </c>
      <c r="AH360" s="8" t="s">
        <v>1026</v>
      </c>
      <c r="AI360" s="8" t="s">
        <v>1025</v>
      </c>
    </row>
    <row r="361" spans="24:35" x14ac:dyDescent="0.25">
      <c r="X361" s="8" t="s">
        <v>452</v>
      </c>
      <c r="Y361" s="8" t="s">
        <v>983</v>
      </c>
      <c r="Z361" s="8" t="s">
        <v>925</v>
      </c>
      <c r="AA361" s="5">
        <v>72</v>
      </c>
      <c r="AB361" s="8" t="s">
        <v>969</v>
      </c>
      <c r="AC361" s="8" t="s">
        <v>938</v>
      </c>
      <c r="AD361" s="8" t="s">
        <v>1027</v>
      </c>
      <c r="AE361" s="8" t="s">
        <v>1025</v>
      </c>
      <c r="AF361" s="8" t="s">
        <v>1028</v>
      </c>
      <c r="AG361" s="8" t="s">
        <v>1026</v>
      </c>
      <c r="AH361" s="8" t="s">
        <v>1027</v>
      </c>
      <c r="AI361" s="8" t="s">
        <v>1025</v>
      </c>
    </row>
    <row r="362" spans="24:35" x14ac:dyDescent="0.25">
      <c r="X362" s="8" t="s">
        <v>453</v>
      </c>
      <c r="Y362" s="8" t="s">
        <v>960</v>
      </c>
      <c r="Z362" s="8" t="s">
        <v>938</v>
      </c>
      <c r="AA362" s="5">
        <v>51</v>
      </c>
      <c r="AB362" s="8" t="s">
        <v>941</v>
      </c>
      <c r="AC362" s="8" t="s">
        <v>930</v>
      </c>
      <c r="AD362" s="8" t="s">
        <v>1027</v>
      </c>
      <c r="AE362" s="8" t="s">
        <v>1026</v>
      </c>
      <c r="AF362" s="8" t="s">
        <v>1026</v>
      </c>
      <c r="AG362" s="8" t="s">
        <v>1025</v>
      </c>
      <c r="AH362" s="8" t="s">
        <v>1027</v>
      </c>
      <c r="AI362" s="8" t="s">
        <v>1026</v>
      </c>
    </row>
    <row r="363" spans="24:35" x14ac:dyDescent="0.25">
      <c r="X363" s="8" t="s">
        <v>454</v>
      </c>
      <c r="Y363" s="8" t="s">
        <v>976</v>
      </c>
      <c r="Z363" s="8" t="s">
        <v>942</v>
      </c>
      <c r="AA363" s="5">
        <v>51</v>
      </c>
      <c r="AB363" s="8" t="s">
        <v>976</v>
      </c>
      <c r="AC363" s="8" t="s">
        <v>930</v>
      </c>
      <c r="AD363" s="8" t="s">
        <v>1027</v>
      </c>
      <c r="AE363" s="8" t="s">
        <v>1027</v>
      </c>
      <c r="AF363" s="8" t="s">
        <v>1027</v>
      </c>
      <c r="AG363" s="8" t="s">
        <v>1026</v>
      </c>
      <c r="AH363" s="8" t="s">
        <v>1026</v>
      </c>
      <c r="AI363" s="8" t="s">
        <v>1025</v>
      </c>
    </row>
    <row r="364" spans="24:35" x14ac:dyDescent="0.25">
      <c r="X364" s="8" t="s">
        <v>455</v>
      </c>
      <c r="Y364" s="8" t="s">
        <v>939</v>
      </c>
      <c r="Z364" s="8" t="s">
        <v>941</v>
      </c>
      <c r="AA364" s="5">
        <v>78</v>
      </c>
      <c r="AB364" s="8" t="s">
        <v>972</v>
      </c>
      <c r="AC364" s="8" t="s">
        <v>985</v>
      </c>
      <c r="AD364" s="8" t="s">
        <v>1026</v>
      </c>
      <c r="AE364" s="8" t="s">
        <v>1026</v>
      </c>
      <c r="AF364" s="8" t="s">
        <v>1026</v>
      </c>
      <c r="AG364" s="8" t="s">
        <v>1026</v>
      </c>
      <c r="AH364" s="8" t="s">
        <v>1026</v>
      </c>
      <c r="AI364" s="8" t="s">
        <v>1025</v>
      </c>
    </row>
    <row r="365" spans="24:35" x14ac:dyDescent="0.25">
      <c r="X365" s="8" t="s">
        <v>456</v>
      </c>
      <c r="Y365" s="8" t="s">
        <v>967</v>
      </c>
      <c r="Z365" s="8" t="s">
        <v>943</v>
      </c>
      <c r="AA365" s="5">
        <v>44</v>
      </c>
      <c r="AB365" s="8" t="s">
        <v>953</v>
      </c>
      <c r="AC365" s="8" t="s">
        <v>978</v>
      </c>
      <c r="AD365" s="8" t="s">
        <v>1027</v>
      </c>
      <c r="AE365" s="8" t="s">
        <v>1027</v>
      </c>
      <c r="AF365" s="8" t="s">
        <v>1027</v>
      </c>
      <c r="AG365" s="8" t="s">
        <v>1026</v>
      </c>
      <c r="AH365" s="8" t="s">
        <v>1026</v>
      </c>
      <c r="AI365" s="8" t="s">
        <v>1025</v>
      </c>
    </row>
    <row r="366" spans="24:35" x14ac:dyDescent="0.25">
      <c r="X366" s="8" t="s">
        <v>457</v>
      </c>
      <c r="Y366" s="8" t="s">
        <v>930</v>
      </c>
      <c r="Z366" s="8" t="s">
        <v>956</v>
      </c>
      <c r="AA366" s="5">
        <v>35</v>
      </c>
      <c r="AB366" s="8" t="s">
        <v>959</v>
      </c>
      <c r="AC366" s="8" t="s">
        <v>979</v>
      </c>
      <c r="AD366" s="8" t="s">
        <v>1027</v>
      </c>
      <c r="AE366" s="8" t="s">
        <v>1026</v>
      </c>
      <c r="AF366" s="8" t="s">
        <v>1027</v>
      </c>
      <c r="AG366" s="8" t="s">
        <v>1026</v>
      </c>
      <c r="AH366" s="8" t="s">
        <v>1026</v>
      </c>
      <c r="AI366" s="8" t="s">
        <v>1025</v>
      </c>
    </row>
    <row r="367" spans="24:35" x14ac:dyDescent="0.25">
      <c r="X367" s="8" t="s">
        <v>458</v>
      </c>
      <c r="Y367" s="8" t="s">
        <v>1003</v>
      </c>
      <c r="Z367" s="8" t="s">
        <v>961</v>
      </c>
      <c r="AA367" s="5">
        <v>74</v>
      </c>
      <c r="AB367" s="8" t="s">
        <v>925</v>
      </c>
      <c r="AC367" s="8" t="s">
        <v>996</v>
      </c>
      <c r="AD367" s="8" t="s">
        <v>1028</v>
      </c>
      <c r="AE367" s="8" t="s">
        <v>1028</v>
      </c>
      <c r="AF367" s="8" t="s">
        <v>1026</v>
      </c>
      <c r="AG367" s="8" t="s">
        <v>1025</v>
      </c>
      <c r="AH367" s="8" t="s">
        <v>1026</v>
      </c>
      <c r="AI367" s="8" t="s">
        <v>1028</v>
      </c>
    </row>
    <row r="368" spans="24:35" x14ac:dyDescent="0.25">
      <c r="X368" s="8" t="s">
        <v>459</v>
      </c>
      <c r="Y368" s="8" t="s">
        <v>995</v>
      </c>
      <c r="Z368" s="8" t="s">
        <v>922</v>
      </c>
      <c r="AA368" s="5">
        <v>78</v>
      </c>
      <c r="AB368" s="8" t="s">
        <v>929</v>
      </c>
      <c r="AC368" s="8" t="s">
        <v>929</v>
      </c>
      <c r="AD368" s="8" t="s">
        <v>1026</v>
      </c>
      <c r="AE368" s="8" t="s">
        <v>1026</v>
      </c>
      <c r="AF368" s="8" t="s">
        <v>1026</v>
      </c>
      <c r="AG368" s="8" t="s">
        <v>1026</v>
      </c>
      <c r="AH368" s="8" t="s">
        <v>1027</v>
      </c>
      <c r="AI368" s="8" t="s">
        <v>1026</v>
      </c>
    </row>
    <row r="369" spans="24:35" x14ac:dyDescent="0.25">
      <c r="X369" s="8" t="s">
        <v>460</v>
      </c>
      <c r="Y369" s="8" t="s">
        <v>940</v>
      </c>
      <c r="Z369" s="8" t="s">
        <v>942</v>
      </c>
      <c r="AA369" s="5">
        <v>80</v>
      </c>
      <c r="AB369" s="8" t="s">
        <v>1014</v>
      </c>
      <c r="AC369" s="8" t="s">
        <v>1018</v>
      </c>
      <c r="AD369" s="8" t="s">
        <v>1027</v>
      </c>
      <c r="AE369" s="8" t="s">
        <v>1025</v>
      </c>
      <c r="AF369" s="8" t="s">
        <v>1026</v>
      </c>
      <c r="AG369" s="8" t="s">
        <v>1026</v>
      </c>
      <c r="AH369" s="8" t="s">
        <v>1026</v>
      </c>
      <c r="AI369" s="8" t="s">
        <v>1025</v>
      </c>
    </row>
    <row r="370" spans="24:35" x14ac:dyDescent="0.25">
      <c r="X370" s="8" t="s">
        <v>461</v>
      </c>
      <c r="Y370" s="8" t="s">
        <v>991</v>
      </c>
      <c r="Z370" s="8" t="s">
        <v>944</v>
      </c>
      <c r="AA370" s="5">
        <v>31</v>
      </c>
      <c r="AB370" s="8" t="s">
        <v>970</v>
      </c>
      <c r="AC370" s="8" t="s">
        <v>977</v>
      </c>
      <c r="AD370" s="8" t="s">
        <v>1026</v>
      </c>
      <c r="AE370" s="8" t="s">
        <v>1026</v>
      </c>
      <c r="AF370" s="8" t="s">
        <v>1026</v>
      </c>
      <c r="AG370" s="8" t="s">
        <v>1026</v>
      </c>
      <c r="AH370" s="8" t="s">
        <v>1026</v>
      </c>
      <c r="AI370" s="8" t="s">
        <v>1026</v>
      </c>
    </row>
    <row r="371" spans="24:35" x14ac:dyDescent="0.25">
      <c r="X371" s="8" t="s">
        <v>462</v>
      </c>
      <c r="Y371" s="8" t="s">
        <v>936</v>
      </c>
      <c r="Z371" s="8" t="s">
        <v>960</v>
      </c>
      <c r="AA371" s="5">
        <v>66</v>
      </c>
      <c r="AB371" s="8" t="s">
        <v>958</v>
      </c>
      <c r="AC371" s="8" t="s">
        <v>925</v>
      </c>
      <c r="AD371" s="8" t="s">
        <v>1027</v>
      </c>
      <c r="AE371" s="8" t="s">
        <v>1025</v>
      </c>
      <c r="AF371" s="8" t="s">
        <v>1025</v>
      </c>
      <c r="AG371" s="8" t="s">
        <v>1026</v>
      </c>
      <c r="AH371" s="8" t="s">
        <v>1025</v>
      </c>
      <c r="AI371" s="8" t="s">
        <v>1025</v>
      </c>
    </row>
    <row r="372" spans="24:35" x14ac:dyDescent="0.25">
      <c r="X372" s="8" t="s">
        <v>463</v>
      </c>
      <c r="Y372" s="8" t="s">
        <v>998</v>
      </c>
      <c r="Z372" s="8" t="s">
        <v>998</v>
      </c>
      <c r="AA372" s="5">
        <v>69</v>
      </c>
      <c r="AB372" s="8" t="s">
        <v>926</v>
      </c>
      <c r="AC372" s="8" t="s">
        <v>998</v>
      </c>
      <c r="AD372" s="8" t="s">
        <v>1028</v>
      </c>
      <c r="AE372" s="8" t="s">
        <v>1025</v>
      </c>
      <c r="AF372" s="8" t="s">
        <v>1027</v>
      </c>
      <c r="AG372" s="8" t="s">
        <v>1028</v>
      </c>
      <c r="AH372" s="8" t="s">
        <v>1025</v>
      </c>
      <c r="AI372" s="8" t="s">
        <v>1028</v>
      </c>
    </row>
    <row r="373" spans="24:35" x14ac:dyDescent="0.25">
      <c r="X373" s="8" t="s">
        <v>464</v>
      </c>
      <c r="Y373" s="8" t="s">
        <v>1010</v>
      </c>
      <c r="Z373" s="8" t="s">
        <v>980</v>
      </c>
      <c r="AA373" s="5">
        <v>62</v>
      </c>
      <c r="AB373" s="8" t="s">
        <v>960</v>
      </c>
      <c r="AC373" s="8" t="s">
        <v>971</v>
      </c>
      <c r="AD373" s="8" t="s">
        <v>1026</v>
      </c>
      <c r="AE373" s="8" t="s">
        <v>1026</v>
      </c>
      <c r="AF373" s="8" t="s">
        <v>1027</v>
      </c>
      <c r="AG373" s="8" t="s">
        <v>1026</v>
      </c>
      <c r="AH373" s="8" t="s">
        <v>1026</v>
      </c>
      <c r="AI373" s="8" t="s">
        <v>1025</v>
      </c>
    </row>
    <row r="374" spans="24:35" x14ac:dyDescent="0.25">
      <c r="X374" s="8" t="s">
        <v>465</v>
      </c>
      <c r="Y374" s="8" t="s">
        <v>973</v>
      </c>
      <c r="Z374" s="8" t="s">
        <v>933</v>
      </c>
      <c r="AA374" s="5">
        <v>53</v>
      </c>
      <c r="AB374" s="8" t="s">
        <v>939</v>
      </c>
      <c r="AC374" s="8" t="s">
        <v>969</v>
      </c>
      <c r="AD374" s="8" t="s">
        <v>1027</v>
      </c>
      <c r="AE374" s="8" t="s">
        <v>1026</v>
      </c>
      <c r="AF374" s="8" t="s">
        <v>1025</v>
      </c>
      <c r="AG374" s="8" t="s">
        <v>1026</v>
      </c>
      <c r="AH374" s="8" t="s">
        <v>1026</v>
      </c>
      <c r="AI374" s="8" t="s">
        <v>1025</v>
      </c>
    </row>
    <row r="375" spans="24:35" x14ac:dyDescent="0.25">
      <c r="X375" s="8" t="s">
        <v>466</v>
      </c>
      <c r="Y375" s="8" t="s">
        <v>954</v>
      </c>
      <c r="Z375" s="8" t="s">
        <v>926</v>
      </c>
      <c r="AA375" s="5">
        <v>65</v>
      </c>
      <c r="AB375" s="8" t="s">
        <v>968</v>
      </c>
      <c r="AC375" s="8" t="s">
        <v>1012</v>
      </c>
      <c r="AD375" s="8" t="s">
        <v>1027</v>
      </c>
      <c r="AE375" s="8" t="s">
        <v>1026</v>
      </c>
      <c r="AF375" s="8" t="s">
        <v>1027</v>
      </c>
      <c r="AG375" s="8" t="s">
        <v>1026</v>
      </c>
      <c r="AH375" s="8" t="s">
        <v>1026</v>
      </c>
      <c r="AI375" s="8" t="s">
        <v>1027</v>
      </c>
    </row>
    <row r="376" spans="24:35" x14ac:dyDescent="0.25">
      <c r="X376" s="8" t="s">
        <v>467</v>
      </c>
      <c r="Y376" s="8" t="s">
        <v>971</v>
      </c>
      <c r="Z376" s="8" t="s">
        <v>965</v>
      </c>
      <c r="AA376" s="5">
        <v>75</v>
      </c>
      <c r="AB376" s="8" t="s">
        <v>956</v>
      </c>
      <c r="AC376" s="8" t="s">
        <v>921</v>
      </c>
      <c r="AD376" s="8" t="s">
        <v>1027</v>
      </c>
      <c r="AE376" s="8" t="s">
        <v>1025</v>
      </c>
      <c r="AF376" s="8" t="s">
        <v>1026</v>
      </c>
      <c r="AG376" s="8" t="s">
        <v>1025</v>
      </c>
      <c r="AH376" s="8" t="s">
        <v>1026</v>
      </c>
      <c r="AI376" s="8" t="s">
        <v>1028</v>
      </c>
    </row>
    <row r="377" spans="24:35" x14ac:dyDescent="0.25">
      <c r="X377" s="8" t="s">
        <v>468</v>
      </c>
      <c r="Y377" s="8" t="s">
        <v>960</v>
      </c>
      <c r="Z377" s="8" t="s">
        <v>928</v>
      </c>
      <c r="AA377" s="5">
        <v>67</v>
      </c>
      <c r="AB377" s="8" t="s">
        <v>975</v>
      </c>
      <c r="AC377" s="8" t="s">
        <v>928</v>
      </c>
      <c r="AD377" s="8" t="s">
        <v>1025</v>
      </c>
      <c r="AE377" s="8" t="s">
        <v>1027</v>
      </c>
      <c r="AF377" s="8" t="s">
        <v>1028</v>
      </c>
      <c r="AG377" s="8" t="s">
        <v>1027</v>
      </c>
      <c r="AH377" s="8" t="s">
        <v>1026</v>
      </c>
      <c r="AI377" s="8" t="s">
        <v>1028</v>
      </c>
    </row>
    <row r="378" spans="24:35" x14ac:dyDescent="0.25">
      <c r="X378" s="8" t="s">
        <v>469</v>
      </c>
      <c r="Y378" s="8" t="s">
        <v>942</v>
      </c>
      <c r="Z378" s="8" t="s">
        <v>926</v>
      </c>
      <c r="AA378" s="5">
        <v>48</v>
      </c>
      <c r="AB378" s="8" t="s">
        <v>923</v>
      </c>
      <c r="AC378" s="8" t="s">
        <v>994</v>
      </c>
      <c r="AD378" s="8" t="s">
        <v>1027</v>
      </c>
      <c r="AE378" s="8" t="s">
        <v>1025</v>
      </c>
      <c r="AF378" s="8" t="s">
        <v>1026</v>
      </c>
      <c r="AG378" s="8" t="s">
        <v>1026</v>
      </c>
      <c r="AH378" s="8" t="s">
        <v>1027</v>
      </c>
      <c r="AI378" s="8" t="s">
        <v>1026</v>
      </c>
    </row>
    <row r="379" spans="24:35" x14ac:dyDescent="0.25">
      <c r="X379" s="8" t="s">
        <v>470</v>
      </c>
      <c r="Y379" s="8" t="s">
        <v>930</v>
      </c>
      <c r="Z379" s="8" t="s">
        <v>931</v>
      </c>
      <c r="AA379" s="5">
        <v>72</v>
      </c>
      <c r="AB379" s="8" t="s">
        <v>958</v>
      </c>
      <c r="AC379" s="8" t="s">
        <v>960</v>
      </c>
      <c r="AD379" s="8" t="s">
        <v>1026</v>
      </c>
      <c r="AE379" s="8" t="s">
        <v>1026</v>
      </c>
      <c r="AF379" s="8" t="s">
        <v>1027</v>
      </c>
      <c r="AG379" s="8" t="s">
        <v>1026</v>
      </c>
      <c r="AH379" s="8" t="s">
        <v>1027</v>
      </c>
      <c r="AI379" s="8" t="s">
        <v>1025</v>
      </c>
    </row>
    <row r="380" spans="24:35" x14ac:dyDescent="0.25">
      <c r="X380" s="8" t="s">
        <v>471</v>
      </c>
      <c r="Y380" s="8" t="s">
        <v>937</v>
      </c>
      <c r="Z380" s="8" t="s">
        <v>958</v>
      </c>
      <c r="AA380" s="5">
        <v>36</v>
      </c>
      <c r="AB380" s="8" t="s">
        <v>986</v>
      </c>
      <c r="AC380" s="8" t="s">
        <v>946</v>
      </c>
      <c r="AD380" s="8" t="s">
        <v>1027</v>
      </c>
      <c r="AE380" s="8" t="s">
        <v>1026</v>
      </c>
      <c r="AF380" s="8" t="s">
        <v>1026</v>
      </c>
      <c r="AG380" s="8" t="s">
        <v>1027</v>
      </c>
      <c r="AH380" s="8" t="s">
        <v>1026</v>
      </c>
      <c r="AI380" s="8" t="s">
        <v>1026</v>
      </c>
    </row>
    <row r="381" spans="24:35" x14ac:dyDescent="0.25">
      <c r="X381" s="8" t="s">
        <v>472</v>
      </c>
      <c r="Y381" s="8" t="s">
        <v>964</v>
      </c>
      <c r="Z381" s="8" t="s">
        <v>941</v>
      </c>
      <c r="AA381" s="5">
        <v>65</v>
      </c>
      <c r="AB381" s="8" t="s">
        <v>951</v>
      </c>
      <c r="AC381" s="8" t="s">
        <v>999</v>
      </c>
      <c r="AD381" s="8" t="s">
        <v>1027</v>
      </c>
      <c r="AE381" s="8" t="s">
        <v>1026</v>
      </c>
      <c r="AF381" s="8" t="s">
        <v>1026</v>
      </c>
      <c r="AG381" s="8" t="s">
        <v>1026</v>
      </c>
      <c r="AH381" s="8" t="s">
        <v>1026</v>
      </c>
      <c r="AI381" s="8" t="s">
        <v>1027</v>
      </c>
    </row>
    <row r="382" spans="24:35" x14ac:dyDescent="0.25">
      <c r="X382" s="8" t="s">
        <v>473</v>
      </c>
      <c r="Y382" s="8" t="s">
        <v>937</v>
      </c>
      <c r="Z382" s="8" t="s">
        <v>993</v>
      </c>
      <c r="AA382" s="5">
        <v>79</v>
      </c>
      <c r="AB382" s="8" t="s">
        <v>971</v>
      </c>
      <c r="AC382" s="8" t="s">
        <v>1007</v>
      </c>
      <c r="AD382" s="8" t="s">
        <v>1027</v>
      </c>
      <c r="AE382" s="8" t="s">
        <v>1027</v>
      </c>
      <c r="AF382" s="8" t="s">
        <v>1025</v>
      </c>
      <c r="AG382" s="8" t="s">
        <v>1026</v>
      </c>
      <c r="AH382" s="8" t="s">
        <v>1025</v>
      </c>
      <c r="AI382" s="8" t="s">
        <v>1025</v>
      </c>
    </row>
    <row r="383" spans="24:35" x14ac:dyDescent="0.25">
      <c r="X383" s="8" t="s">
        <v>474</v>
      </c>
      <c r="Y383" s="8" t="s">
        <v>936</v>
      </c>
      <c r="Z383" s="8" t="s">
        <v>926</v>
      </c>
      <c r="AA383" s="5">
        <v>68</v>
      </c>
      <c r="AB383" s="8" t="s">
        <v>956</v>
      </c>
      <c r="AC383" s="8" t="s">
        <v>938</v>
      </c>
      <c r="AD383" s="8" t="s">
        <v>1025</v>
      </c>
      <c r="AE383" s="8" t="s">
        <v>1027</v>
      </c>
      <c r="AF383" s="8" t="s">
        <v>1025</v>
      </c>
      <c r="AG383" s="8" t="s">
        <v>1027</v>
      </c>
      <c r="AH383" s="8" t="s">
        <v>1025</v>
      </c>
      <c r="AI383" s="8" t="s">
        <v>1028</v>
      </c>
    </row>
    <row r="384" spans="24:35" x14ac:dyDescent="0.25">
      <c r="X384" s="8" t="s">
        <v>475</v>
      </c>
      <c r="Y384" s="8" t="s">
        <v>942</v>
      </c>
      <c r="Z384" s="8" t="s">
        <v>938</v>
      </c>
      <c r="AA384" s="5">
        <v>27</v>
      </c>
      <c r="AB384" s="8" t="s">
        <v>957</v>
      </c>
      <c r="AC384" s="8" t="s">
        <v>997</v>
      </c>
      <c r="AD384" s="8" t="s">
        <v>1025</v>
      </c>
      <c r="AE384" s="8" t="s">
        <v>1026</v>
      </c>
      <c r="AF384" s="8" t="s">
        <v>1026</v>
      </c>
      <c r="AG384" s="8" t="s">
        <v>1025</v>
      </c>
      <c r="AH384" s="8" t="s">
        <v>1026</v>
      </c>
      <c r="AI384" s="8" t="s">
        <v>1025</v>
      </c>
    </row>
    <row r="385" spans="24:35" x14ac:dyDescent="0.25">
      <c r="X385" s="8" t="s">
        <v>476</v>
      </c>
      <c r="Y385" s="8" t="s">
        <v>990</v>
      </c>
      <c r="Z385" s="8" t="s">
        <v>999</v>
      </c>
      <c r="AA385" s="5">
        <v>70</v>
      </c>
      <c r="AB385" s="8" t="s">
        <v>940</v>
      </c>
      <c r="AC385" s="8" t="s">
        <v>926</v>
      </c>
      <c r="AD385" s="8" t="s">
        <v>1026</v>
      </c>
      <c r="AE385" s="8" t="s">
        <v>1026</v>
      </c>
      <c r="AF385" s="8" t="s">
        <v>1027</v>
      </c>
      <c r="AG385" s="8" t="s">
        <v>1026</v>
      </c>
      <c r="AH385" s="8" t="s">
        <v>1026</v>
      </c>
      <c r="AI385" s="8" t="s">
        <v>1027</v>
      </c>
    </row>
    <row r="386" spans="24:35" x14ac:dyDescent="0.25">
      <c r="X386" s="8" t="s">
        <v>477</v>
      </c>
      <c r="Y386" s="8" t="s">
        <v>938</v>
      </c>
      <c r="Z386" s="8" t="s">
        <v>985</v>
      </c>
      <c r="AA386" s="5">
        <v>62</v>
      </c>
      <c r="AB386" s="8" t="s">
        <v>925</v>
      </c>
      <c r="AC386" s="8" t="s">
        <v>921</v>
      </c>
      <c r="AD386" s="8" t="s">
        <v>1027</v>
      </c>
      <c r="AE386" s="8" t="s">
        <v>1025</v>
      </c>
      <c r="AF386" s="8" t="s">
        <v>1026</v>
      </c>
      <c r="AG386" s="8" t="s">
        <v>1025</v>
      </c>
      <c r="AH386" s="8" t="s">
        <v>1027</v>
      </c>
      <c r="AI386" s="8" t="s">
        <v>1026</v>
      </c>
    </row>
    <row r="387" spans="24:35" x14ac:dyDescent="0.25">
      <c r="X387" s="8" t="s">
        <v>478</v>
      </c>
      <c r="Y387" s="8" t="s">
        <v>995</v>
      </c>
      <c r="Z387" s="8" t="s">
        <v>1016</v>
      </c>
      <c r="AA387" s="5">
        <v>30</v>
      </c>
      <c r="AB387" s="8" t="s">
        <v>945</v>
      </c>
      <c r="AC387" s="8" t="s">
        <v>997</v>
      </c>
      <c r="AD387" s="8" t="s">
        <v>1026</v>
      </c>
      <c r="AE387" s="8" t="s">
        <v>1026</v>
      </c>
      <c r="AF387" s="8" t="s">
        <v>1027</v>
      </c>
      <c r="AG387" s="8" t="s">
        <v>1026</v>
      </c>
      <c r="AH387" s="8" t="s">
        <v>1027</v>
      </c>
      <c r="AI387" s="8" t="s">
        <v>1027</v>
      </c>
    </row>
    <row r="388" spans="24:35" x14ac:dyDescent="0.25">
      <c r="X388" s="8" t="s">
        <v>479</v>
      </c>
      <c r="Y388" s="8" t="s">
        <v>968</v>
      </c>
      <c r="Z388" s="8" t="s">
        <v>944</v>
      </c>
      <c r="AA388" s="5">
        <v>72</v>
      </c>
      <c r="AB388" s="8" t="s">
        <v>954</v>
      </c>
      <c r="AC388" s="8" t="s">
        <v>969</v>
      </c>
      <c r="AD388" s="8" t="s">
        <v>1026</v>
      </c>
      <c r="AE388" s="8" t="s">
        <v>1027</v>
      </c>
      <c r="AF388" s="8" t="s">
        <v>1026</v>
      </c>
      <c r="AG388" s="8" t="s">
        <v>1026</v>
      </c>
      <c r="AH388" s="8" t="s">
        <v>1026</v>
      </c>
      <c r="AI388" s="8" t="s">
        <v>1025</v>
      </c>
    </row>
    <row r="389" spans="24:35" x14ac:dyDescent="0.25">
      <c r="X389" s="8" t="s">
        <v>480</v>
      </c>
      <c r="Y389" s="8" t="s">
        <v>951</v>
      </c>
      <c r="Z389" s="8" t="s">
        <v>1012</v>
      </c>
      <c r="AA389" s="5">
        <v>72</v>
      </c>
      <c r="AB389" s="8" t="s">
        <v>938</v>
      </c>
      <c r="AC389" s="8" t="s">
        <v>998</v>
      </c>
      <c r="AD389" s="8" t="s">
        <v>1026</v>
      </c>
      <c r="AE389" s="8" t="s">
        <v>1026</v>
      </c>
      <c r="AF389" s="8" t="s">
        <v>1027</v>
      </c>
      <c r="AG389" s="8" t="s">
        <v>1026</v>
      </c>
      <c r="AH389" s="8" t="s">
        <v>1026</v>
      </c>
      <c r="AI389" s="8" t="s">
        <v>1025</v>
      </c>
    </row>
    <row r="390" spans="24:35" x14ac:dyDescent="0.25">
      <c r="X390" s="8" t="s">
        <v>481</v>
      </c>
      <c r="Y390" s="8" t="s">
        <v>939</v>
      </c>
      <c r="Z390" s="8" t="s">
        <v>930</v>
      </c>
      <c r="AA390" s="5">
        <v>48</v>
      </c>
      <c r="AB390" s="8" t="s">
        <v>949</v>
      </c>
      <c r="AC390" s="8" t="s">
        <v>976</v>
      </c>
      <c r="AD390" s="8" t="s">
        <v>1026</v>
      </c>
      <c r="AE390" s="8" t="s">
        <v>1027</v>
      </c>
      <c r="AF390" s="8" t="s">
        <v>1026</v>
      </c>
      <c r="AG390" s="8" t="s">
        <v>1027</v>
      </c>
      <c r="AH390" s="8" t="s">
        <v>1026</v>
      </c>
      <c r="AI390" s="8" t="s">
        <v>1027</v>
      </c>
    </row>
    <row r="391" spans="24:35" x14ac:dyDescent="0.25">
      <c r="X391" s="8" t="s">
        <v>482</v>
      </c>
      <c r="Y391" s="8" t="s">
        <v>983</v>
      </c>
      <c r="Z391" s="8" t="s">
        <v>1003</v>
      </c>
      <c r="AA391" s="5">
        <v>66</v>
      </c>
      <c r="AB391" s="8" t="s">
        <v>955</v>
      </c>
      <c r="AC391" s="8" t="s">
        <v>965</v>
      </c>
      <c r="AD391" s="8" t="s">
        <v>1025</v>
      </c>
      <c r="AE391" s="8" t="s">
        <v>1028</v>
      </c>
      <c r="AF391" s="8" t="s">
        <v>1026</v>
      </c>
      <c r="AG391" s="8" t="s">
        <v>1028</v>
      </c>
      <c r="AH391" s="8" t="s">
        <v>1026</v>
      </c>
      <c r="AI391" s="8" t="s">
        <v>1027</v>
      </c>
    </row>
    <row r="392" spans="24:35" x14ac:dyDescent="0.25">
      <c r="X392" s="8" t="s">
        <v>483</v>
      </c>
      <c r="Y392" s="8" t="s">
        <v>933</v>
      </c>
      <c r="Z392" s="8" t="s">
        <v>931</v>
      </c>
      <c r="AA392" s="5">
        <v>53</v>
      </c>
      <c r="AB392" s="8" t="s">
        <v>1016</v>
      </c>
      <c r="AC392" s="8" t="s">
        <v>937</v>
      </c>
      <c r="AD392" s="8" t="s">
        <v>1026</v>
      </c>
      <c r="AE392" s="8" t="s">
        <v>1027</v>
      </c>
      <c r="AF392" s="8" t="s">
        <v>1027</v>
      </c>
      <c r="AG392" s="8" t="s">
        <v>1026</v>
      </c>
      <c r="AH392" s="8" t="s">
        <v>1026</v>
      </c>
      <c r="AI392" s="8" t="s">
        <v>1026</v>
      </c>
    </row>
    <row r="393" spans="24:35" x14ac:dyDescent="0.25">
      <c r="X393" s="8" t="s">
        <v>484</v>
      </c>
      <c r="Y393" s="8" t="s">
        <v>926</v>
      </c>
      <c r="Z393" s="8" t="s">
        <v>972</v>
      </c>
      <c r="AA393" s="5">
        <v>39</v>
      </c>
      <c r="AB393" s="8" t="s">
        <v>934</v>
      </c>
      <c r="AC393" s="8" t="s">
        <v>966</v>
      </c>
      <c r="AD393" s="8" t="s">
        <v>1027</v>
      </c>
      <c r="AE393" s="8" t="s">
        <v>1026</v>
      </c>
      <c r="AF393" s="8" t="s">
        <v>1026</v>
      </c>
      <c r="AG393" s="8" t="s">
        <v>1025</v>
      </c>
      <c r="AH393" s="8" t="s">
        <v>1026</v>
      </c>
      <c r="AI393" s="8" t="s">
        <v>1026</v>
      </c>
    </row>
    <row r="394" spans="24:35" x14ac:dyDescent="0.25">
      <c r="X394" s="8" t="s">
        <v>485</v>
      </c>
      <c r="Y394" s="8" t="s">
        <v>937</v>
      </c>
      <c r="Z394" s="8" t="s">
        <v>949</v>
      </c>
      <c r="AA394" s="5">
        <v>70</v>
      </c>
      <c r="AB394" s="8" t="s">
        <v>994</v>
      </c>
      <c r="AC394" s="8" t="s">
        <v>989</v>
      </c>
      <c r="AD394" s="8" t="s">
        <v>1026</v>
      </c>
      <c r="AE394" s="8" t="s">
        <v>1027</v>
      </c>
      <c r="AF394" s="8" t="s">
        <v>1025</v>
      </c>
      <c r="AG394" s="8" t="s">
        <v>1026</v>
      </c>
      <c r="AH394" s="8" t="s">
        <v>1026</v>
      </c>
      <c r="AI394" s="8" t="s">
        <v>1026</v>
      </c>
    </row>
    <row r="395" spans="24:35" x14ac:dyDescent="0.25">
      <c r="X395" s="8" t="s">
        <v>486</v>
      </c>
      <c r="Y395" s="8" t="s">
        <v>955</v>
      </c>
      <c r="Z395" s="8" t="s">
        <v>925</v>
      </c>
      <c r="AA395" s="5">
        <v>14</v>
      </c>
      <c r="AB395" s="8" t="s">
        <v>950</v>
      </c>
      <c r="AC395" s="8" t="s">
        <v>993</v>
      </c>
      <c r="AD395" s="8" t="s">
        <v>1025</v>
      </c>
      <c r="AE395" s="8" t="s">
        <v>1026</v>
      </c>
      <c r="AF395" s="8" t="s">
        <v>1026</v>
      </c>
      <c r="AG395" s="8" t="s">
        <v>1027</v>
      </c>
      <c r="AH395" s="8" t="s">
        <v>1026</v>
      </c>
      <c r="AI395" s="8" t="s">
        <v>1027</v>
      </c>
    </row>
    <row r="396" spans="24:35" x14ac:dyDescent="0.25">
      <c r="X396" s="8" t="s">
        <v>487</v>
      </c>
      <c r="Y396" s="8" t="s">
        <v>960</v>
      </c>
      <c r="Z396" s="8" t="s">
        <v>942</v>
      </c>
      <c r="AA396" s="5">
        <v>42</v>
      </c>
      <c r="AB396" s="8" t="s">
        <v>978</v>
      </c>
      <c r="AC396" s="8" t="s">
        <v>934</v>
      </c>
      <c r="AD396" s="8" t="s">
        <v>1026</v>
      </c>
      <c r="AE396" s="8" t="s">
        <v>1026</v>
      </c>
      <c r="AF396" s="8" t="s">
        <v>1025</v>
      </c>
      <c r="AG396" s="8" t="s">
        <v>1026</v>
      </c>
      <c r="AH396" s="8" t="s">
        <v>1026</v>
      </c>
      <c r="AI396" s="8" t="s">
        <v>1028</v>
      </c>
    </row>
    <row r="397" spans="24:35" x14ac:dyDescent="0.25">
      <c r="X397" s="8" t="s">
        <v>488</v>
      </c>
      <c r="Y397" s="8" t="s">
        <v>996</v>
      </c>
      <c r="Z397" s="8" t="s">
        <v>1015</v>
      </c>
      <c r="AA397" s="5">
        <v>76</v>
      </c>
      <c r="AB397" s="8" t="s">
        <v>953</v>
      </c>
      <c r="AC397" s="8" t="s">
        <v>985</v>
      </c>
      <c r="AD397" s="8" t="s">
        <v>1028</v>
      </c>
      <c r="AE397" s="8" t="s">
        <v>1027</v>
      </c>
      <c r="AF397" s="8" t="s">
        <v>1028</v>
      </c>
      <c r="AG397" s="8" t="s">
        <v>1028</v>
      </c>
      <c r="AH397" s="8" t="s">
        <v>1026</v>
      </c>
      <c r="AI397" s="8" t="s">
        <v>1027</v>
      </c>
    </row>
    <row r="398" spans="24:35" x14ac:dyDescent="0.25">
      <c r="X398" s="8" t="s">
        <v>489</v>
      </c>
      <c r="Y398" s="8" t="s">
        <v>921</v>
      </c>
      <c r="Z398" s="8" t="s">
        <v>930</v>
      </c>
      <c r="AA398" s="5">
        <v>45</v>
      </c>
      <c r="AB398" s="8" t="s">
        <v>923</v>
      </c>
      <c r="AC398" s="8" t="s">
        <v>948</v>
      </c>
      <c r="AD398" s="8" t="s">
        <v>1026</v>
      </c>
      <c r="AE398" s="8" t="s">
        <v>1025</v>
      </c>
      <c r="AF398" s="8" t="s">
        <v>1027</v>
      </c>
      <c r="AG398" s="8" t="s">
        <v>1026</v>
      </c>
      <c r="AH398" s="8" t="s">
        <v>1026</v>
      </c>
      <c r="AI398" s="8" t="s">
        <v>1026</v>
      </c>
    </row>
    <row r="399" spans="24:35" x14ac:dyDescent="0.25">
      <c r="X399" s="8" t="s">
        <v>490</v>
      </c>
      <c r="Y399" s="8" t="s">
        <v>972</v>
      </c>
      <c r="Z399" s="8" t="s">
        <v>921</v>
      </c>
      <c r="AA399" s="5">
        <v>41</v>
      </c>
      <c r="AB399" s="8" t="s">
        <v>995</v>
      </c>
      <c r="AC399" s="8" t="s">
        <v>974</v>
      </c>
      <c r="AD399" s="8" t="s">
        <v>1025</v>
      </c>
      <c r="AE399" s="8" t="s">
        <v>1027</v>
      </c>
      <c r="AF399" s="8" t="s">
        <v>1027</v>
      </c>
      <c r="AG399" s="8" t="s">
        <v>1026</v>
      </c>
      <c r="AH399" s="8" t="s">
        <v>1026</v>
      </c>
      <c r="AI399" s="8" t="s">
        <v>1026</v>
      </c>
    </row>
    <row r="400" spans="24:35" x14ac:dyDescent="0.25">
      <c r="X400" s="8" t="s">
        <v>491</v>
      </c>
      <c r="Y400" s="8" t="s">
        <v>983</v>
      </c>
      <c r="Z400" s="8" t="s">
        <v>985</v>
      </c>
      <c r="AA400" s="5">
        <v>53</v>
      </c>
      <c r="AB400" s="8" t="s">
        <v>934</v>
      </c>
      <c r="AC400" s="8" t="s">
        <v>975</v>
      </c>
      <c r="AD400" s="8" t="s">
        <v>1027</v>
      </c>
      <c r="AE400" s="8" t="s">
        <v>1027</v>
      </c>
      <c r="AF400" s="8" t="s">
        <v>1026</v>
      </c>
      <c r="AG400" s="8" t="s">
        <v>1028</v>
      </c>
      <c r="AH400" s="8" t="s">
        <v>1025</v>
      </c>
      <c r="AI400" s="8" t="s">
        <v>1026</v>
      </c>
    </row>
    <row r="401" spans="24:35" x14ac:dyDescent="0.25">
      <c r="X401" s="8" t="s">
        <v>492</v>
      </c>
      <c r="Y401" s="8" t="s">
        <v>949</v>
      </c>
      <c r="Z401" s="8" t="s">
        <v>926</v>
      </c>
      <c r="AA401" s="5">
        <v>23</v>
      </c>
      <c r="AB401" s="8" t="s">
        <v>927</v>
      </c>
      <c r="AC401" s="8" t="s">
        <v>974</v>
      </c>
      <c r="AD401" s="8" t="s">
        <v>1026</v>
      </c>
      <c r="AE401" s="8" t="s">
        <v>1026</v>
      </c>
      <c r="AF401" s="8" t="s">
        <v>1026</v>
      </c>
      <c r="AG401" s="8" t="s">
        <v>1025</v>
      </c>
      <c r="AH401" s="8" t="s">
        <v>1026</v>
      </c>
      <c r="AI401" s="8" t="s">
        <v>1026</v>
      </c>
    </row>
    <row r="402" spans="24:35" x14ac:dyDescent="0.25">
      <c r="X402" s="8" t="s">
        <v>493</v>
      </c>
      <c r="Y402" s="8" t="s">
        <v>951</v>
      </c>
      <c r="Z402" s="8" t="s">
        <v>988</v>
      </c>
      <c r="AA402" s="5">
        <v>71</v>
      </c>
      <c r="AB402" s="8" t="s">
        <v>938</v>
      </c>
      <c r="AC402" s="8" t="s">
        <v>926</v>
      </c>
      <c r="AD402" s="8" t="s">
        <v>1026</v>
      </c>
      <c r="AE402" s="8" t="s">
        <v>1026</v>
      </c>
      <c r="AF402" s="8" t="s">
        <v>1026</v>
      </c>
      <c r="AG402" s="8" t="s">
        <v>1026</v>
      </c>
      <c r="AH402" s="8" t="s">
        <v>1026</v>
      </c>
      <c r="AI402" s="8" t="s">
        <v>1027</v>
      </c>
    </row>
    <row r="403" spans="24:35" x14ac:dyDescent="0.25">
      <c r="X403" s="8" t="s">
        <v>494</v>
      </c>
      <c r="Y403" s="8" t="s">
        <v>979</v>
      </c>
      <c r="Z403" s="8" t="s">
        <v>962</v>
      </c>
      <c r="AA403" s="5">
        <v>78</v>
      </c>
      <c r="AB403" s="8" t="s">
        <v>965</v>
      </c>
      <c r="AC403" s="8" t="s">
        <v>954</v>
      </c>
      <c r="AD403" s="8" t="s">
        <v>1026</v>
      </c>
      <c r="AE403" s="8" t="s">
        <v>1026</v>
      </c>
      <c r="AF403" s="8" t="s">
        <v>1026</v>
      </c>
      <c r="AG403" s="8" t="s">
        <v>1026</v>
      </c>
      <c r="AH403" s="8" t="s">
        <v>1027</v>
      </c>
      <c r="AI403" s="8" t="s">
        <v>1026</v>
      </c>
    </row>
    <row r="404" spans="24:35" x14ac:dyDescent="0.25">
      <c r="X404" s="8" t="s">
        <v>495</v>
      </c>
      <c r="Y404" s="8" t="s">
        <v>995</v>
      </c>
      <c r="Z404" s="8" t="s">
        <v>930</v>
      </c>
      <c r="AA404" s="5">
        <v>8</v>
      </c>
      <c r="AB404" s="8" t="s">
        <v>1006</v>
      </c>
      <c r="AC404" s="8" t="s">
        <v>988</v>
      </c>
      <c r="AD404" s="8" t="s">
        <v>1027</v>
      </c>
      <c r="AE404" s="8" t="s">
        <v>1027</v>
      </c>
      <c r="AF404" s="8" t="s">
        <v>1026</v>
      </c>
      <c r="AG404" s="8" t="s">
        <v>1026</v>
      </c>
      <c r="AH404" s="8" t="s">
        <v>1026</v>
      </c>
      <c r="AI404" s="8" t="s">
        <v>1026</v>
      </c>
    </row>
    <row r="405" spans="24:35" x14ac:dyDescent="0.25">
      <c r="X405" s="8" t="s">
        <v>496</v>
      </c>
      <c r="Y405" s="8" t="s">
        <v>928</v>
      </c>
      <c r="Z405" s="8" t="s">
        <v>964</v>
      </c>
      <c r="AA405" s="5">
        <v>86</v>
      </c>
      <c r="AB405" s="8" t="s">
        <v>971</v>
      </c>
      <c r="AC405" s="8" t="s">
        <v>1017</v>
      </c>
      <c r="AD405" s="8" t="s">
        <v>1025</v>
      </c>
      <c r="AE405" s="8" t="s">
        <v>1028</v>
      </c>
      <c r="AF405" s="8" t="s">
        <v>1025</v>
      </c>
      <c r="AG405" s="8" t="s">
        <v>1026</v>
      </c>
      <c r="AH405" s="8" t="s">
        <v>1025</v>
      </c>
      <c r="AI405" s="8" t="s">
        <v>1026</v>
      </c>
    </row>
    <row r="406" spans="24:35" x14ac:dyDescent="0.25">
      <c r="X406" s="8" t="s">
        <v>497</v>
      </c>
      <c r="Y406" s="8" t="s">
        <v>921</v>
      </c>
      <c r="Z406" s="8" t="s">
        <v>963</v>
      </c>
      <c r="AA406" s="5">
        <v>75</v>
      </c>
      <c r="AB406" s="8" t="s">
        <v>982</v>
      </c>
      <c r="AC406" s="8" t="s">
        <v>985</v>
      </c>
      <c r="AD406" s="8" t="s">
        <v>1026</v>
      </c>
      <c r="AE406" s="8" t="s">
        <v>1027</v>
      </c>
      <c r="AF406" s="8" t="s">
        <v>1027</v>
      </c>
      <c r="AG406" s="8" t="s">
        <v>1025</v>
      </c>
      <c r="AH406" s="8" t="s">
        <v>1028</v>
      </c>
      <c r="AI406" s="8" t="s">
        <v>1026</v>
      </c>
    </row>
    <row r="407" spans="24:35" x14ac:dyDescent="0.25">
      <c r="X407" s="8" t="s">
        <v>498</v>
      </c>
      <c r="Y407" s="8" t="s">
        <v>931</v>
      </c>
      <c r="Z407" s="8" t="s">
        <v>962</v>
      </c>
      <c r="AA407" s="5">
        <v>74</v>
      </c>
      <c r="AB407" s="8" t="s">
        <v>936</v>
      </c>
      <c r="AC407" s="8" t="s">
        <v>925</v>
      </c>
      <c r="AD407" s="8" t="s">
        <v>1026</v>
      </c>
      <c r="AE407" s="8" t="s">
        <v>1026</v>
      </c>
      <c r="AF407" s="8" t="s">
        <v>1027</v>
      </c>
      <c r="AG407" s="8" t="s">
        <v>1026</v>
      </c>
      <c r="AH407" s="8" t="s">
        <v>1027</v>
      </c>
      <c r="AI407" s="8" t="s">
        <v>1027</v>
      </c>
    </row>
    <row r="408" spans="24:35" x14ac:dyDescent="0.25">
      <c r="X408" s="8" t="s">
        <v>499</v>
      </c>
      <c r="Y408" s="8" t="s">
        <v>956</v>
      </c>
      <c r="Z408" s="8" t="s">
        <v>960</v>
      </c>
      <c r="AA408" s="5">
        <v>44</v>
      </c>
      <c r="AB408" s="8" t="s">
        <v>984</v>
      </c>
      <c r="AC408" s="8" t="s">
        <v>943</v>
      </c>
      <c r="AD408" s="8" t="s">
        <v>1026</v>
      </c>
      <c r="AE408" s="8" t="s">
        <v>1026</v>
      </c>
      <c r="AF408" s="8" t="s">
        <v>1026</v>
      </c>
      <c r="AG408" s="8" t="s">
        <v>1025</v>
      </c>
      <c r="AH408" s="8" t="s">
        <v>1027</v>
      </c>
      <c r="AI408" s="8" t="s">
        <v>1026</v>
      </c>
    </row>
    <row r="409" spans="24:35" x14ac:dyDescent="0.25">
      <c r="X409" s="8" t="s">
        <v>500</v>
      </c>
      <c r="Y409" s="8" t="s">
        <v>965</v>
      </c>
      <c r="Z409" s="8" t="s">
        <v>960</v>
      </c>
      <c r="AA409" s="5">
        <v>74</v>
      </c>
      <c r="AB409" s="8" t="s">
        <v>936</v>
      </c>
      <c r="AC409" s="8" t="s">
        <v>940</v>
      </c>
      <c r="AD409" s="8" t="s">
        <v>1025</v>
      </c>
      <c r="AE409" s="8" t="s">
        <v>1025</v>
      </c>
      <c r="AF409" s="8" t="s">
        <v>1025</v>
      </c>
      <c r="AG409" s="8" t="s">
        <v>1026</v>
      </c>
      <c r="AH409" s="8" t="s">
        <v>1025</v>
      </c>
      <c r="AI409" s="8" t="s">
        <v>1026</v>
      </c>
    </row>
    <row r="410" spans="24:35" x14ac:dyDescent="0.25">
      <c r="X410" s="8" t="s">
        <v>501</v>
      </c>
      <c r="Y410" s="8" t="s">
        <v>960</v>
      </c>
      <c r="Z410" s="8" t="s">
        <v>969</v>
      </c>
      <c r="AA410" s="5">
        <v>41</v>
      </c>
      <c r="AB410" s="8" t="s">
        <v>941</v>
      </c>
      <c r="AC410" s="8" t="s">
        <v>949</v>
      </c>
      <c r="AD410" s="8" t="s">
        <v>1027</v>
      </c>
      <c r="AE410" s="8" t="s">
        <v>1025</v>
      </c>
      <c r="AF410" s="8" t="s">
        <v>1026</v>
      </c>
      <c r="AG410" s="8" t="s">
        <v>1026</v>
      </c>
      <c r="AH410" s="8" t="s">
        <v>1026</v>
      </c>
      <c r="AI410" s="8" t="s">
        <v>1027</v>
      </c>
    </row>
    <row r="411" spans="24:35" x14ac:dyDescent="0.25">
      <c r="X411" s="8" t="s">
        <v>502</v>
      </c>
      <c r="Y411" s="8" t="s">
        <v>972</v>
      </c>
      <c r="Z411" s="8" t="s">
        <v>921</v>
      </c>
      <c r="AA411" s="5">
        <v>41</v>
      </c>
      <c r="AB411" s="8" t="s">
        <v>923</v>
      </c>
      <c r="AC411" s="8" t="s">
        <v>948</v>
      </c>
      <c r="AD411" s="8" t="s">
        <v>1027</v>
      </c>
      <c r="AE411" s="8" t="s">
        <v>1025</v>
      </c>
      <c r="AF411" s="8" t="s">
        <v>1027</v>
      </c>
      <c r="AG411" s="8" t="s">
        <v>1025</v>
      </c>
      <c r="AH411" s="8" t="s">
        <v>1027</v>
      </c>
      <c r="AI411" s="8" t="s">
        <v>1026</v>
      </c>
    </row>
    <row r="412" spans="24:35" x14ac:dyDescent="0.25">
      <c r="X412" s="8" t="s">
        <v>503</v>
      </c>
      <c r="Y412" s="8" t="s">
        <v>927</v>
      </c>
      <c r="Z412" s="8" t="s">
        <v>980</v>
      </c>
      <c r="AA412" s="5">
        <v>86</v>
      </c>
      <c r="AB412" s="8" t="s">
        <v>1018</v>
      </c>
      <c r="AC412" s="8" t="s">
        <v>983</v>
      </c>
      <c r="AD412" s="8" t="s">
        <v>1026</v>
      </c>
      <c r="AE412" s="8" t="s">
        <v>1026</v>
      </c>
      <c r="AF412" s="8" t="s">
        <v>1026</v>
      </c>
      <c r="AG412" s="8" t="s">
        <v>1026</v>
      </c>
      <c r="AH412" s="8" t="s">
        <v>1025</v>
      </c>
      <c r="AI412" s="8" t="s">
        <v>1027</v>
      </c>
    </row>
    <row r="413" spans="24:35" x14ac:dyDescent="0.25">
      <c r="X413" s="8" t="s">
        <v>504</v>
      </c>
      <c r="Y413" s="8" t="s">
        <v>961</v>
      </c>
      <c r="Z413" s="8" t="s">
        <v>1014</v>
      </c>
      <c r="AA413" s="5">
        <v>69</v>
      </c>
      <c r="AB413" s="8" t="s">
        <v>939</v>
      </c>
      <c r="AC413" s="8" t="s">
        <v>958</v>
      </c>
      <c r="AD413" s="8" t="s">
        <v>1025</v>
      </c>
      <c r="AE413" s="8" t="s">
        <v>1027</v>
      </c>
      <c r="AF413" s="8" t="s">
        <v>1026</v>
      </c>
      <c r="AG413" s="8" t="s">
        <v>1028</v>
      </c>
      <c r="AH413" s="8" t="s">
        <v>1025</v>
      </c>
      <c r="AI413" s="8" t="s">
        <v>1026</v>
      </c>
    </row>
    <row r="414" spans="24:35" x14ac:dyDescent="0.25">
      <c r="X414" s="8" t="s">
        <v>505</v>
      </c>
      <c r="Y414" s="8" t="s">
        <v>942</v>
      </c>
      <c r="Z414" s="8" t="s">
        <v>958</v>
      </c>
      <c r="AA414" s="5">
        <v>53</v>
      </c>
      <c r="AB414" s="8" t="s">
        <v>931</v>
      </c>
      <c r="AC414" s="8" t="s">
        <v>937</v>
      </c>
      <c r="AD414" s="8" t="s">
        <v>1026</v>
      </c>
      <c r="AE414" s="8" t="s">
        <v>1027</v>
      </c>
      <c r="AF414" s="8" t="s">
        <v>1027</v>
      </c>
      <c r="AG414" s="8" t="s">
        <v>1025</v>
      </c>
      <c r="AH414" s="8" t="s">
        <v>1027</v>
      </c>
      <c r="AI414" s="8" t="s">
        <v>1026</v>
      </c>
    </row>
    <row r="415" spans="24:35" x14ac:dyDescent="0.25">
      <c r="X415" s="8" t="s">
        <v>506</v>
      </c>
      <c r="Y415" s="8" t="s">
        <v>930</v>
      </c>
      <c r="Z415" s="8" t="s">
        <v>960</v>
      </c>
      <c r="AA415" s="5">
        <v>28</v>
      </c>
      <c r="AB415" s="8" t="s">
        <v>980</v>
      </c>
      <c r="AC415" s="8" t="s">
        <v>924</v>
      </c>
      <c r="AD415" s="8" t="s">
        <v>1027</v>
      </c>
      <c r="AE415" s="8" t="s">
        <v>1026</v>
      </c>
      <c r="AF415" s="8" t="s">
        <v>1026</v>
      </c>
      <c r="AG415" s="8" t="s">
        <v>1027</v>
      </c>
      <c r="AH415" s="8" t="s">
        <v>1026</v>
      </c>
      <c r="AI415" s="8" t="s">
        <v>1026</v>
      </c>
    </row>
    <row r="416" spans="24:35" x14ac:dyDescent="0.25">
      <c r="X416" s="8" t="s">
        <v>507</v>
      </c>
      <c r="Y416" s="8" t="s">
        <v>926</v>
      </c>
      <c r="Z416" s="8" t="s">
        <v>930</v>
      </c>
      <c r="AA416" s="5">
        <v>52</v>
      </c>
      <c r="AB416" s="8" t="s">
        <v>931</v>
      </c>
      <c r="AC416" s="8" t="s">
        <v>973</v>
      </c>
      <c r="AD416" s="8" t="s">
        <v>1026</v>
      </c>
      <c r="AE416" s="8" t="s">
        <v>1026</v>
      </c>
      <c r="AF416" s="8" t="s">
        <v>1026</v>
      </c>
      <c r="AG416" s="8" t="s">
        <v>1025</v>
      </c>
      <c r="AH416" s="8" t="s">
        <v>1026</v>
      </c>
      <c r="AI416" s="8" t="s">
        <v>1026</v>
      </c>
    </row>
    <row r="417" spans="24:35" x14ac:dyDescent="0.25">
      <c r="X417" s="8" t="s">
        <v>508</v>
      </c>
      <c r="Y417" s="8" t="s">
        <v>971</v>
      </c>
      <c r="Z417" s="8" t="s">
        <v>925</v>
      </c>
      <c r="AA417" s="5">
        <v>60</v>
      </c>
      <c r="AB417" s="8" t="s">
        <v>997</v>
      </c>
      <c r="AC417" s="8" t="s">
        <v>949</v>
      </c>
      <c r="AD417" s="8" t="s">
        <v>1026</v>
      </c>
      <c r="AE417" s="8" t="s">
        <v>1026</v>
      </c>
      <c r="AF417" s="8" t="s">
        <v>1027</v>
      </c>
      <c r="AG417" s="8" t="s">
        <v>1028</v>
      </c>
      <c r="AH417" s="8" t="s">
        <v>1027</v>
      </c>
      <c r="AI417" s="8" t="s">
        <v>1026</v>
      </c>
    </row>
    <row r="418" spans="24:35" x14ac:dyDescent="0.25">
      <c r="X418" s="8" t="s">
        <v>509</v>
      </c>
      <c r="Y418" s="8" t="s">
        <v>1001</v>
      </c>
      <c r="Z418" s="8" t="s">
        <v>981</v>
      </c>
      <c r="AA418" s="5">
        <v>70</v>
      </c>
      <c r="AB418" s="8" t="s">
        <v>921</v>
      </c>
      <c r="AC418" s="8" t="s">
        <v>966</v>
      </c>
      <c r="AD418" s="8" t="s">
        <v>1026</v>
      </c>
      <c r="AE418" s="8" t="s">
        <v>1026</v>
      </c>
      <c r="AF418" s="8" t="s">
        <v>1027</v>
      </c>
      <c r="AG418" s="8" t="s">
        <v>1026</v>
      </c>
      <c r="AH418" s="8" t="s">
        <v>1026</v>
      </c>
      <c r="AI418" s="8" t="s">
        <v>1026</v>
      </c>
    </row>
    <row r="419" spans="24:35" x14ac:dyDescent="0.25">
      <c r="X419" s="8" t="s">
        <v>510</v>
      </c>
      <c r="Y419" s="8" t="s">
        <v>975</v>
      </c>
      <c r="Z419" s="8" t="s">
        <v>969</v>
      </c>
      <c r="AA419" s="5">
        <v>66</v>
      </c>
      <c r="AB419" s="8" t="s">
        <v>949</v>
      </c>
      <c r="AC419" s="8" t="s">
        <v>939</v>
      </c>
      <c r="AD419" s="8" t="s">
        <v>1027</v>
      </c>
      <c r="AE419" s="8" t="s">
        <v>1025</v>
      </c>
      <c r="AF419" s="8" t="s">
        <v>1027</v>
      </c>
      <c r="AG419" s="8" t="s">
        <v>1026</v>
      </c>
      <c r="AH419" s="8" t="s">
        <v>1026</v>
      </c>
      <c r="AI419" s="8" t="s">
        <v>1026</v>
      </c>
    </row>
    <row r="420" spans="24:35" x14ac:dyDescent="0.25">
      <c r="X420" s="8" t="s">
        <v>511</v>
      </c>
      <c r="Y420" s="8" t="s">
        <v>976</v>
      </c>
      <c r="Z420" s="8" t="s">
        <v>932</v>
      </c>
      <c r="AA420" s="5">
        <v>76</v>
      </c>
      <c r="AB420" s="8" t="s">
        <v>960</v>
      </c>
      <c r="AC420" s="8" t="s">
        <v>969</v>
      </c>
      <c r="AD420" s="8" t="s">
        <v>1026</v>
      </c>
      <c r="AE420" s="8" t="s">
        <v>1026</v>
      </c>
      <c r="AF420" s="8" t="s">
        <v>1026</v>
      </c>
      <c r="AG420" s="8" t="s">
        <v>1027</v>
      </c>
      <c r="AH420" s="8" t="s">
        <v>1027</v>
      </c>
      <c r="AI420" s="8" t="s">
        <v>1026</v>
      </c>
    </row>
    <row r="421" spans="24:35" x14ac:dyDescent="0.25">
      <c r="X421" s="8" t="s">
        <v>512</v>
      </c>
      <c r="Y421" s="8" t="s">
        <v>922</v>
      </c>
      <c r="Z421" s="8" t="s">
        <v>977</v>
      </c>
      <c r="AA421" s="5">
        <v>84</v>
      </c>
      <c r="AB421" s="8" t="s">
        <v>1002</v>
      </c>
      <c r="AC421" s="8" t="s">
        <v>971</v>
      </c>
      <c r="AD421" s="8" t="s">
        <v>1027</v>
      </c>
      <c r="AE421" s="8" t="s">
        <v>1026</v>
      </c>
      <c r="AF421" s="8" t="s">
        <v>1026</v>
      </c>
      <c r="AG421" s="8" t="s">
        <v>1026</v>
      </c>
      <c r="AH421" s="8" t="s">
        <v>1026</v>
      </c>
      <c r="AI421" s="8" t="s">
        <v>1026</v>
      </c>
    </row>
    <row r="422" spans="24:35" x14ac:dyDescent="0.25">
      <c r="X422" s="8" t="s">
        <v>513</v>
      </c>
      <c r="Y422" s="8" t="s">
        <v>935</v>
      </c>
      <c r="Z422" s="8" t="s">
        <v>970</v>
      </c>
      <c r="AA422" s="5">
        <v>88</v>
      </c>
      <c r="AB422" s="8" t="s">
        <v>983</v>
      </c>
      <c r="AC422" s="8" t="s">
        <v>924</v>
      </c>
      <c r="AD422" s="8" t="s">
        <v>1026</v>
      </c>
      <c r="AE422" s="8" t="s">
        <v>1026</v>
      </c>
      <c r="AF422" s="8" t="s">
        <v>1026</v>
      </c>
      <c r="AG422" s="8" t="s">
        <v>1026</v>
      </c>
      <c r="AH422" s="8" t="s">
        <v>1026</v>
      </c>
      <c r="AI422" s="8" t="s">
        <v>1026</v>
      </c>
    </row>
    <row r="423" spans="24:35" x14ac:dyDescent="0.25">
      <c r="X423" s="8" t="s">
        <v>514</v>
      </c>
      <c r="Y423" s="8" t="s">
        <v>986</v>
      </c>
      <c r="Z423" s="8" t="s">
        <v>1009</v>
      </c>
      <c r="AA423" s="5">
        <v>31</v>
      </c>
      <c r="AB423" s="8" t="s">
        <v>949</v>
      </c>
      <c r="AC423" s="8" t="s">
        <v>967</v>
      </c>
      <c r="AD423" s="8" t="s">
        <v>1026</v>
      </c>
      <c r="AE423" s="8" t="s">
        <v>1026</v>
      </c>
      <c r="AF423" s="8" t="s">
        <v>1026</v>
      </c>
      <c r="AG423" s="8" t="s">
        <v>1026</v>
      </c>
      <c r="AH423" s="8" t="s">
        <v>1026</v>
      </c>
      <c r="AI423" s="8" t="s">
        <v>1026</v>
      </c>
    </row>
    <row r="424" spans="24:35" x14ac:dyDescent="0.25">
      <c r="X424" s="8" t="s">
        <v>515</v>
      </c>
      <c r="Y424" s="8" t="s">
        <v>936</v>
      </c>
      <c r="Z424" s="8" t="s">
        <v>926</v>
      </c>
      <c r="AA424" s="5">
        <v>75</v>
      </c>
      <c r="AB424" s="8" t="s">
        <v>925</v>
      </c>
      <c r="AC424" s="8" t="s">
        <v>921</v>
      </c>
      <c r="AD424" s="8" t="s">
        <v>1027</v>
      </c>
      <c r="AE424" s="8" t="s">
        <v>1025</v>
      </c>
      <c r="AF424" s="8" t="s">
        <v>1025</v>
      </c>
      <c r="AG424" s="8" t="s">
        <v>1026</v>
      </c>
      <c r="AH424" s="8" t="s">
        <v>1027</v>
      </c>
      <c r="AI424" s="8" t="s">
        <v>1025</v>
      </c>
    </row>
    <row r="425" spans="24:35" x14ac:dyDescent="0.25">
      <c r="X425" s="8" t="s">
        <v>516</v>
      </c>
      <c r="Y425" s="8" t="s">
        <v>982</v>
      </c>
      <c r="Z425" s="8" t="s">
        <v>929</v>
      </c>
      <c r="AA425" s="5">
        <v>78</v>
      </c>
      <c r="AB425" s="8" t="s">
        <v>949</v>
      </c>
      <c r="AC425" s="8" t="s">
        <v>940</v>
      </c>
      <c r="AD425" s="8" t="s">
        <v>1025</v>
      </c>
      <c r="AE425" s="8" t="s">
        <v>1028</v>
      </c>
      <c r="AF425" s="8" t="s">
        <v>1028</v>
      </c>
      <c r="AG425" s="8" t="s">
        <v>1026</v>
      </c>
      <c r="AH425" s="8" t="s">
        <v>1027</v>
      </c>
      <c r="AI425" s="8" t="s">
        <v>1026</v>
      </c>
    </row>
    <row r="426" spans="24:35" x14ac:dyDescent="0.25">
      <c r="X426" s="8" t="s">
        <v>517</v>
      </c>
      <c r="Y426" s="8" t="s">
        <v>988</v>
      </c>
      <c r="Z426" s="8" t="s">
        <v>968</v>
      </c>
      <c r="AA426" s="5">
        <v>81</v>
      </c>
      <c r="AB426" s="8" t="s">
        <v>953</v>
      </c>
      <c r="AC426" s="8" t="s">
        <v>1011</v>
      </c>
      <c r="AD426" s="8" t="s">
        <v>1026</v>
      </c>
      <c r="AE426" s="8" t="s">
        <v>1026</v>
      </c>
      <c r="AF426" s="8" t="s">
        <v>1027</v>
      </c>
      <c r="AG426" s="8" t="s">
        <v>1027</v>
      </c>
      <c r="AH426" s="8" t="s">
        <v>1026</v>
      </c>
      <c r="AI426" s="8" t="s">
        <v>1027</v>
      </c>
    </row>
    <row r="427" spans="24:35" x14ac:dyDescent="0.25">
      <c r="X427" s="8" t="s">
        <v>518</v>
      </c>
      <c r="Y427" s="8" t="s">
        <v>942</v>
      </c>
      <c r="Z427" s="8" t="s">
        <v>1016</v>
      </c>
      <c r="AA427" s="5">
        <v>80</v>
      </c>
      <c r="AB427" s="8" t="s">
        <v>938</v>
      </c>
      <c r="AC427" s="8" t="s">
        <v>952</v>
      </c>
      <c r="AD427" s="8" t="s">
        <v>1025</v>
      </c>
      <c r="AE427" s="8" t="s">
        <v>1026</v>
      </c>
      <c r="AF427" s="8" t="s">
        <v>1027</v>
      </c>
      <c r="AG427" s="8" t="s">
        <v>1026</v>
      </c>
      <c r="AH427" s="8" t="s">
        <v>1026</v>
      </c>
      <c r="AI427" s="8" t="s">
        <v>1025</v>
      </c>
    </row>
    <row r="428" spans="24:35" x14ac:dyDescent="0.25">
      <c r="X428" s="8" t="s">
        <v>519</v>
      </c>
      <c r="Y428" s="8" t="s">
        <v>969</v>
      </c>
      <c r="Z428" s="8" t="s">
        <v>942</v>
      </c>
      <c r="AA428" s="5">
        <v>61</v>
      </c>
      <c r="AB428" s="8" t="s">
        <v>994</v>
      </c>
      <c r="AC428" s="8" t="s">
        <v>955</v>
      </c>
      <c r="AD428" s="8" t="s">
        <v>1027</v>
      </c>
      <c r="AE428" s="8" t="s">
        <v>1026</v>
      </c>
      <c r="AF428" s="8" t="s">
        <v>1027</v>
      </c>
      <c r="AG428" s="8" t="s">
        <v>1025</v>
      </c>
      <c r="AH428" s="8" t="s">
        <v>1026</v>
      </c>
      <c r="AI428" s="8" t="s">
        <v>1026</v>
      </c>
    </row>
    <row r="429" spans="24:35" x14ac:dyDescent="0.25">
      <c r="X429" s="8" t="s">
        <v>520</v>
      </c>
      <c r="Y429" s="8" t="s">
        <v>925</v>
      </c>
      <c r="Z429" s="8" t="s">
        <v>994</v>
      </c>
      <c r="AA429" s="5">
        <v>75</v>
      </c>
      <c r="AB429" s="8" t="s">
        <v>930</v>
      </c>
      <c r="AC429" s="8" t="s">
        <v>969</v>
      </c>
      <c r="AD429" s="8" t="s">
        <v>1026</v>
      </c>
      <c r="AE429" s="8" t="s">
        <v>1025</v>
      </c>
      <c r="AF429" s="8" t="s">
        <v>1027</v>
      </c>
      <c r="AG429" s="8" t="s">
        <v>1026</v>
      </c>
      <c r="AH429" s="8" t="s">
        <v>1025</v>
      </c>
      <c r="AI429" s="8" t="s">
        <v>1026</v>
      </c>
    </row>
    <row r="430" spans="24:35" x14ac:dyDescent="0.25">
      <c r="X430" s="8" t="s">
        <v>521</v>
      </c>
      <c r="Y430" s="8" t="s">
        <v>939</v>
      </c>
      <c r="Z430" s="8" t="s">
        <v>958</v>
      </c>
      <c r="AA430" s="5">
        <v>46</v>
      </c>
      <c r="AB430" s="8" t="s">
        <v>995</v>
      </c>
      <c r="AC430" s="8" t="s">
        <v>995</v>
      </c>
      <c r="AD430" s="8" t="s">
        <v>1026</v>
      </c>
      <c r="AE430" s="8" t="s">
        <v>1026</v>
      </c>
      <c r="AF430" s="8" t="s">
        <v>1026</v>
      </c>
      <c r="AG430" s="8" t="s">
        <v>1025</v>
      </c>
      <c r="AH430" s="8" t="s">
        <v>1026</v>
      </c>
      <c r="AI430" s="8" t="s">
        <v>1026</v>
      </c>
    </row>
    <row r="431" spans="24:35" x14ac:dyDescent="0.25">
      <c r="X431" s="8" t="s">
        <v>521</v>
      </c>
      <c r="Y431" s="8" t="s">
        <v>926</v>
      </c>
      <c r="Z431" s="8" t="s">
        <v>956</v>
      </c>
      <c r="AA431" s="5">
        <v>37</v>
      </c>
      <c r="AB431" s="8" t="s">
        <v>1016</v>
      </c>
      <c r="AC431" s="8" t="s">
        <v>949</v>
      </c>
      <c r="AD431" s="8" t="s">
        <v>1027</v>
      </c>
      <c r="AE431" s="8" t="s">
        <v>1027</v>
      </c>
      <c r="AF431" s="8" t="s">
        <v>1026</v>
      </c>
      <c r="AG431" s="8" t="s">
        <v>1027</v>
      </c>
      <c r="AH431" s="8" t="s">
        <v>1026</v>
      </c>
      <c r="AI431" s="8" t="s">
        <v>1026</v>
      </c>
    </row>
    <row r="432" spans="24:35" x14ac:dyDescent="0.25">
      <c r="X432" s="8" t="s">
        <v>522</v>
      </c>
      <c r="Y432" s="8" t="s">
        <v>967</v>
      </c>
      <c r="Z432" s="8" t="s">
        <v>931</v>
      </c>
      <c r="AA432" s="5">
        <v>70</v>
      </c>
      <c r="AB432" s="8" t="s">
        <v>921</v>
      </c>
      <c r="AC432" s="8" t="s">
        <v>987</v>
      </c>
      <c r="AD432" s="8" t="s">
        <v>1026</v>
      </c>
      <c r="AE432" s="8" t="s">
        <v>1027</v>
      </c>
      <c r="AF432" s="8" t="s">
        <v>1027</v>
      </c>
      <c r="AG432" s="8" t="s">
        <v>1027</v>
      </c>
      <c r="AH432" s="8" t="s">
        <v>1026</v>
      </c>
      <c r="AI432" s="8" t="s">
        <v>1026</v>
      </c>
    </row>
    <row r="433" spans="24:35" x14ac:dyDescent="0.25">
      <c r="X433" s="8" t="s">
        <v>523</v>
      </c>
      <c r="Y433" s="8" t="s">
        <v>944</v>
      </c>
      <c r="Z433" s="8" t="s">
        <v>990</v>
      </c>
      <c r="AA433" s="5">
        <v>32</v>
      </c>
      <c r="AB433" s="8" t="s">
        <v>955</v>
      </c>
      <c r="AC433" s="8" t="s">
        <v>978</v>
      </c>
      <c r="AD433" s="8" t="s">
        <v>1026</v>
      </c>
      <c r="AE433" s="8" t="s">
        <v>1026</v>
      </c>
      <c r="AF433" s="8" t="s">
        <v>1026</v>
      </c>
      <c r="AG433" s="8" t="s">
        <v>1027</v>
      </c>
      <c r="AH433" s="8" t="s">
        <v>1026</v>
      </c>
      <c r="AI433" s="8" t="s">
        <v>1026</v>
      </c>
    </row>
    <row r="434" spans="24:35" x14ac:dyDescent="0.25">
      <c r="X434" s="8" t="s">
        <v>524</v>
      </c>
      <c r="Y434" s="8" t="s">
        <v>987</v>
      </c>
      <c r="Z434" s="8" t="s">
        <v>1017</v>
      </c>
      <c r="AA434" s="5">
        <v>30</v>
      </c>
      <c r="AB434" s="8" t="s">
        <v>980</v>
      </c>
      <c r="AC434" s="8" t="s">
        <v>997</v>
      </c>
      <c r="AD434" s="8" t="s">
        <v>1028</v>
      </c>
      <c r="AE434" s="8" t="s">
        <v>1028</v>
      </c>
      <c r="AF434" s="8" t="s">
        <v>1026</v>
      </c>
      <c r="AG434" s="8" t="s">
        <v>1025</v>
      </c>
      <c r="AH434" s="8" t="s">
        <v>1026</v>
      </c>
      <c r="AI434" s="8" t="s">
        <v>1026</v>
      </c>
    </row>
    <row r="435" spans="24:35" x14ac:dyDescent="0.25">
      <c r="X435" s="8" t="s">
        <v>525</v>
      </c>
      <c r="Y435" s="8" t="s">
        <v>1001</v>
      </c>
      <c r="Z435" s="8" t="s">
        <v>927</v>
      </c>
      <c r="AA435" s="5">
        <v>71</v>
      </c>
      <c r="AB435" s="8" t="s">
        <v>930</v>
      </c>
      <c r="AC435" s="8" t="s">
        <v>947</v>
      </c>
      <c r="AD435" s="8" t="s">
        <v>1026</v>
      </c>
      <c r="AE435" s="8" t="s">
        <v>1026</v>
      </c>
      <c r="AF435" s="8" t="s">
        <v>1026</v>
      </c>
      <c r="AG435" s="8" t="s">
        <v>1026</v>
      </c>
      <c r="AH435" s="8" t="s">
        <v>1026</v>
      </c>
      <c r="AI435" s="8" t="s">
        <v>1027</v>
      </c>
    </row>
    <row r="436" spans="24:35" x14ac:dyDescent="0.25">
      <c r="X436" s="8" t="s">
        <v>526</v>
      </c>
      <c r="Y436" s="8" t="s">
        <v>972</v>
      </c>
      <c r="Z436" s="8" t="s">
        <v>1007</v>
      </c>
      <c r="AA436" s="5">
        <v>48</v>
      </c>
      <c r="AB436" s="8" t="s">
        <v>943</v>
      </c>
      <c r="AC436" s="8" t="s">
        <v>969</v>
      </c>
      <c r="AD436" s="8" t="s">
        <v>1028</v>
      </c>
      <c r="AE436" s="8" t="s">
        <v>1025</v>
      </c>
      <c r="AF436" s="8" t="s">
        <v>1027</v>
      </c>
      <c r="AG436" s="8" t="s">
        <v>1025</v>
      </c>
      <c r="AH436" s="8" t="s">
        <v>1026</v>
      </c>
      <c r="AI436" s="8" t="s">
        <v>1026</v>
      </c>
    </row>
    <row r="437" spans="24:35" x14ac:dyDescent="0.25">
      <c r="X437" s="8" t="s">
        <v>527</v>
      </c>
      <c r="Y437" s="8" t="s">
        <v>952</v>
      </c>
      <c r="Z437" s="8" t="s">
        <v>958</v>
      </c>
      <c r="AA437" s="5">
        <v>81</v>
      </c>
      <c r="AB437" s="8" t="s">
        <v>954</v>
      </c>
      <c r="AC437" s="8" t="s">
        <v>983</v>
      </c>
      <c r="AD437" s="8" t="s">
        <v>1028</v>
      </c>
      <c r="AE437" s="8" t="s">
        <v>1027</v>
      </c>
      <c r="AF437" s="8" t="s">
        <v>1025</v>
      </c>
      <c r="AG437" s="8" t="s">
        <v>1027</v>
      </c>
      <c r="AH437" s="8" t="s">
        <v>1028</v>
      </c>
      <c r="AI437" s="8" t="s">
        <v>1026</v>
      </c>
    </row>
    <row r="438" spans="24:35" x14ac:dyDescent="0.25">
      <c r="X438" s="8" t="s">
        <v>528</v>
      </c>
      <c r="Y438" s="8" t="s">
        <v>925</v>
      </c>
      <c r="Z438" s="8" t="s">
        <v>985</v>
      </c>
      <c r="AA438" s="5">
        <v>45</v>
      </c>
      <c r="AB438" s="8" t="s">
        <v>993</v>
      </c>
      <c r="AC438" s="8" t="s">
        <v>931</v>
      </c>
      <c r="AD438" s="8" t="s">
        <v>1025</v>
      </c>
      <c r="AE438" s="8" t="s">
        <v>1027</v>
      </c>
      <c r="AF438" s="8" t="s">
        <v>1026</v>
      </c>
      <c r="AG438" s="8" t="s">
        <v>1027</v>
      </c>
      <c r="AH438" s="8" t="s">
        <v>1025</v>
      </c>
      <c r="AI438" s="8" t="s">
        <v>1026</v>
      </c>
    </row>
    <row r="439" spans="24:35" x14ac:dyDescent="0.25">
      <c r="X439" s="8" t="s">
        <v>529</v>
      </c>
      <c r="Y439" s="8" t="s">
        <v>960</v>
      </c>
      <c r="Z439" s="8" t="s">
        <v>926</v>
      </c>
      <c r="AA439" s="5">
        <v>62</v>
      </c>
      <c r="AB439" s="8" t="s">
        <v>955</v>
      </c>
      <c r="AC439" s="8" t="s">
        <v>969</v>
      </c>
      <c r="AD439" s="8" t="s">
        <v>1026</v>
      </c>
      <c r="AE439" s="8" t="s">
        <v>1026</v>
      </c>
      <c r="AF439" s="8" t="s">
        <v>1027</v>
      </c>
      <c r="AG439" s="8" t="s">
        <v>1025</v>
      </c>
      <c r="AH439" s="8" t="s">
        <v>1026</v>
      </c>
      <c r="AI439" s="8" t="s">
        <v>1026</v>
      </c>
    </row>
    <row r="440" spans="24:35" x14ac:dyDescent="0.25">
      <c r="X440" s="8" t="s">
        <v>530</v>
      </c>
      <c r="Y440" s="8" t="s">
        <v>972</v>
      </c>
      <c r="Z440" s="8" t="s">
        <v>921</v>
      </c>
      <c r="AA440" s="5">
        <v>71</v>
      </c>
      <c r="AB440" s="8" t="s">
        <v>960</v>
      </c>
      <c r="AC440" s="8" t="s">
        <v>926</v>
      </c>
      <c r="AD440" s="8" t="s">
        <v>1027</v>
      </c>
      <c r="AE440" s="8" t="s">
        <v>1025</v>
      </c>
      <c r="AF440" s="8" t="s">
        <v>1025</v>
      </c>
      <c r="AG440" s="8" t="s">
        <v>1026</v>
      </c>
      <c r="AH440" s="8" t="s">
        <v>1025</v>
      </c>
      <c r="AI440" s="8" t="s">
        <v>1026</v>
      </c>
    </row>
    <row r="441" spans="24:35" x14ac:dyDescent="0.25">
      <c r="X441" s="8" t="s">
        <v>531</v>
      </c>
      <c r="Y441" s="8" t="s">
        <v>1003</v>
      </c>
      <c r="Z441" s="8" t="s">
        <v>998</v>
      </c>
      <c r="AA441" s="5">
        <v>78</v>
      </c>
      <c r="AB441" s="8" t="s">
        <v>955</v>
      </c>
      <c r="AC441" s="8" t="s">
        <v>938</v>
      </c>
      <c r="AD441" s="8" t="s">
        <v>1028</v>
      </c>
      <c r="AE441" s="8" t="s">
        <v>1028</v>
      </c>
      <c r="AF441" s="8" t="s">
        <v>1027</v>
      </c>
      <c r="AG441" s="8" t="s">
        <v>1028</v>
      </c>
      <c r="AH441" s="8" t="s">
        <v>1027</v>
      </c>
      <c r="AI441" s="8" t="s">
        <v>1026</v>
      </c>
    </row>
    <row r="442" spans="24:35" x14ac:dyDescent="0.25">
      <c r="X442" s="8" t="s">
        <v>532</v>
      </c>
      <c r="Y442" s="8" t="s">
        <v>938</v>
      </c>
      <c r="Z442" s="8" t="s">
        <v>971</v>
      </c>
      <c r="AA442" s="5">
        <v>68</v>
      </c>
      <c r="AB442" s="8" t="s">
        <v>967</v>
      </c>
      <c r="AC442" s="8" t="s">
        <v>971</v>
      </c>
      <c r="AD442" s="8" t="s">
        <v>1028</v>
      </c>
      <c r="AE442" s="8" t="s">
        <v>1026</v>
      </c>
      <c r="AF442" s="8" t="s">
        <v>1026</v>
      </c>
      <c r="AG442" s="8" t="s">
        <v>1025</v>
      </c>
      <c r="AH442" s="8" t="s">
        <v>1025</v>
      </c>
      <c r="AI442" s="8" t="s">
        <v>1026</v>
      </c>
    </row>
    <row r="443" spans="24:35" x14ac:dyDescent="0.25">
      <c r="X443" s="8" t="s">
        <v>533</v>
      </c>
      <c r="Y443" s="8" t="s">
        <v>926</v>
      </c>
      <c r="Z443" s="8" t="s">
        <v>1016</v>
      </c>
      <c r="AA443" s="5">
        <v>67</v>
      </c>
      <c r="AB443" s="8" t="s">
        <v>921</v>
      </c>
      <c r="AC443" s="8" t="s">
        <v>958</v>
      </c>
      <c r="AD443" s="8" t="s">
        <v>1027</v>
      </c>
      <c r="AE443" s="8" t="s">
        <v>1027</v>
      </c>
      <c r="AF443" s="8" t="s">
        <v>1025</v>
      </c>
      <c r="AG443" s="8" t="s">
        <v>1026</v>
      </c>
      <c r="AH443" s="8" t="s">
        <v>1025</v>
      </c>
      <c r="AI443" s="8" t="s">
        <v>1026</v>
      </c>
    </row>
    <row r="444" spans="24:35" x14ac:dyDescent="0.25">
      <c r="X444" s="8" t="s">
        <v>534</v>
      </c>
      <c r="Y444" s="8" t="s">
        <v>933</v>
      </c>
      <c r="Z444" s="8" t="s">
        <v>968</v>
      </c>
      <c r="AA444" s="5">
        <v>73</v>
      </c>
      <c r="AB444" s="8" t="s">
        <v>938</v>
      </c>
      <c r="AC444" s="8" t="s">
        <v>1014</v>
      </c>
      <c r="AD444" s="8" t="s">
        <v>1027</v>
      </c>
      <c r="AE444" s="8" t="s">
        <v>1026</v>
      </c>
      <c r="AF444" s="8" t="s">
        <v>1027</v>
      </c>
      <c r="AG444" s="8" t="s">
        <v>1026</v>
      </c>
      <c r="AH444" s="8" t="s">
        <v>1026</v>
      </c>
      <c r="AI444" s="8" t="s">
        <v>1026</v>
      </c>
    </row>
    <row r="445" spans="24:35" x14ac:dyDescent="0.25">
      <c r="X445" s="8" t="s">
        <v>535</v>
      </c>
      <c r="Y445" s="8" t="s">
        <v>954</v>
      </c>
      <c r="Z445" s="8" t="s">
        <v>975</v>
      </c>
      <c r="AA445" s="5">
        <v>26</v>
      </c>
      <c r="AB445" s="8" t="s">
        <v>963</v>
      </c>
      <c r="AC445" s="8" t="s">
        <v>1016</v>
      </c>
      <c r="AD445" s="8" t="s">
        <v>1026</v>
      </c>
      <c r="AE445" s="8" t="s">
        <v>1025</v>
      </c>
      <c r="AF445" s="8" t="s">
        <v>1027</v>
      </c>
      <c r="AG445" s="8" t="s">
        <v>1026</v>
      </c>
      <c r="AH445" s="8" t="s">
        <v>1026</v>
      </c>
      <c r="AI445" s="8" t="s">
        <v>1026</v>
      </c>
    </row>
    <row r="446" spans="24:35" x14ac:dyDescent="0.25">
      <c r="X446" s="8" t="s">
        <v>536</v>
      </c>
      <c r="Y446" s="8" t="s">
        <v>937</v>
      </c>
      <c r="Z446" s="8" t="s">
        <v>960</v>
      </c>
      <c r="AA446" s="5">
        <v>45</v>
      </c>
      <c r="AB446" s="8" t="s">
        <v>962</v>
      </c>
      <c r="AC446" s="8" t="s">
        <v>945</v>
      </c>
      <c r="AD446" s="8" t="s">
        <v>1025</v>
      </c>
      <c r="AE446" s="8" t="s">
        <v>1027</v>
      </c>
      <c r="AF446" s="8" t="s">
        <v>1026</v>
      </c>
      <c r="AG446" s="8" t="s">
        <v>1026</v>
      </c>
      <c r="AH446" s="8" t="s">
        <v>1026</v>
      </c>
      <c r="AI446" s="8" t="s">
        <v>1026</v>
      </c>
    </row>
    <row r="447" spans="24:35" x14ac:dyDescent="0.25">
      <c r="X447" s="8" t="s">
        <v>537</v>
      </c>
      <c r="Y447" s="8" t="s">
        <v>955</v>
      </c>
      <c r="Z447" s="8" t="s">
        <v>953</v>
      </c>
      <c r="AA447" s="5">
        <v>43</v>
      </c>
      <c r="AB447" s="8" t="s">
        <v>934</v>
      </c>
      <c r="AC447" s="8" t="s">
        <v>1013</v>
      </c>
      <c r="AD447" s="8" t="s">
        <v>1026</v>
      </c>
      <c r="AE447" s="8" t="s">
        <v>1025</v>
      </c>
      <c r="AF447" s="8" t="s">
        <v>1027</v>
      </c>
      <c r="AG447" s="8" t="s">
        <v>1026</v>
      </c>
      <c r="AH447" s="8" t="s">
        <v>1026</v>
      </c>
      <c r="AI447" s="8" t="s">
        <v>1026</v>
      </c>
    </row>
    <row r="448" spans="24:35" x14ac:dyDescent="0.25">
      <c r="X448" s="8" t="s">
        <v>538</v>
      </c>
      <c r="Y448" s="8" t="s">
        <v>938</v>
      </c>
      <c r="Z448" s="8" t="s">
        <v>973</v>
      </c>
      <c r="AA448" s="5">
        <v>89</v>
      </c>
      <c r="AB448" s="8" t="s">
        <v>952</v>
      </c>
      <c r="AC448" s="8" t="s">
        <v>969</v>
      </c>
      <c r="AD448" s="8" t="s">
        <v>1027</v>
      </c>
      <c r="AE448" s="8" t="s">
        <v>1027</v>
      </c>
      <c r="AF448" s="8" t="s">
        <v>1025</v>
      </c>
      <c r="AG448" s="8" t="s">
        <v>1027</v>
      </c>
      <c r="AH448" s="8" t="s">
        <v>1025</v>
      </c>
      <c r="AI448" s="8" t="s">
        <v>1026</v>
      </c>
    </row>
    <row r="449" spans="24:35" x14ac:dyDescent="0.25">
      <c r="X449" s="8" t="s">
        <v>539</v>
      </c>
      <c r="Y449" s="8" t="s">
        <v>948</v>
      </c>
      <c r="Z449" s="8" t="s">
        <v>962</v>
      </c>
      <c r="AA449" s="5">
        <v>76</v>
      </c>
      <c r="AB449" s="8" t="s">
        <v>952</v>
      </c>
      <c r="AC449" s="8" t="s">
        <v>954</v>
      </c>
      <c r="AD449" s="8" t="s">
        <v>1026</v>
      </c>
      <c r="AE449" s="8" t="s">
        <v>1027</v>
      </c>
      <c r="AF449" s="8" t="s">
        <v>1025</v>
      </c>
      <c r="AG449" s="8" t="s">
        <v>1026</v>
      </c>
      <c r="AH449" s="8" t="s">
        <v>1027</v>
      </c>
      <c r="AI449" s="8" t="s">
        <v>1026</v>
      </c>
    </row>
    <row r="450" spans="24:35" x14ac:dyDescent="0.25">
      <c r="X450" s="8" t="s">
        <v>540</v>
      </c>
      <c r="Y450" s="8" t="s">
        <v>1013</v>
      </c>
      <c r="Z450" s="8" t="s">
        <v>946</v>
      </c>
      <c r="AA450" s="5">
        <v>74</v>
      </c>
      <c r="AB450" s="8" t="s">
        <v>1015</v>
      </c>
      <c r="AC450" s="8" t="s">
        <v>925</v>
      </c>
      <c r="AD450" s="8" t="s">
        <v>1026</v>
      </c>
      <c r="AE450" s="8" t="s">
        <v>1026</v>
      </c>
      <c r="AF450" s="8" t="s">
        <v>1026</v>
      </c>
      <c r="AG450" s="8" t="s">
        <v>1026</v>
      </c>
      <c r="AH450" s="8" t="s">
        <v>1026</v>
      </c>
      <c r="AI450" s="8" t="s">
        <v>1026</v>
      </c>
    </row>
    <row r="451" spans="24:35" x14ac:dyDescent="0.25">
      <c r="X451" s="8" t="s">
        <v>541</v>
      </c>
      <c r="Y451" s="8" t="s">
        <v>935</v>
      </c>
      <c r="Z451" s="8" t="s">
        <v>1005</v>
      </c>
      <c r="AA451" s="5">
        <v>82</v>
      </c>
      <c r="AB451" s="8" t="s">
        <v>936</v>
      </c>
      <c r="AC451" s="8" t="s">
        <v>940</v>
      </c>
      <c r="AD451" s="8" t="s">
        <v>1026</v>
      </c>
      <c r="AE451" s="8" t="s">
        <v>1026</v>
      </c>
      <c r="AF451" s="8" t="s">
        <v>1026</v>
      </c>
      <c r="AG451" s="8" t="s">
        <v>1026</v>
      </c>
      <c r="AH451" s="8" t="s">
        <v>1027</v>
      </c>
      <c r="AI451" s="8" t="s">
        <v>1026</v>
      </c>
    </row>
    <row r="452" spans="24:35" x14ac:dyDescent="0.25">
      <c r="X452" s="8" t="s">
        <v>542</v>
      </c>
      <c r="Y452" s="8" t="s">
        <v>960</v>
      </c>
      <c r="Z452" s="8" t="s">
        <v>958</v>
      </c>
      <c r="AA452" s="5">
        <v>65</v>
      </c>
      <c r="AB452" s="8" t="s">
        <v>939</v>
      </c>
      <c r="AC452" s="8" t="s">
        <v>966</v>
      </c>
      <c r="AD452" s="8" t="s">
        <v>1025</v>
      </c>
      <c r="AE452" s="8" t="s">
        <v>1026</v>
      </c>
      <c r="AF452" s="8" t="s">
        <v>1026</v>
      </c>
      <c r="AG452" s="8" t="s">
        <v>1027</v>
      </c>
      <c r="AH452" s="8" t="s">
        <v>1025</v>
      </c>
      <c r="AI452" s="8" t="s">
        <v>1027</v>
      </c>
    </row>
    <row r="453" spans="24:35" x14ac:dyDescent="0.25">
      <c r="X453" s="8" t="s">
        <v>543</v>
      </c>
      <c r="Y453" s="8" t="s">
        <v>1009</v>
      </c>
      <c r="Z453" s="8" t="s">
        <v>980</v>
      </c>
      <c r="AA453" s="5">
        <v>60</v>
      </c>
      <c r="AB453" s="8" t="s">
        <v>972</v>
      </c>
      <c r="AC453" s="8" t="s">
        <v>933</v>
      </c>
      <c r="AD453" s="8" t="s">
        <v>1026</v>
      </c>
      <c r="AE453" s="8" t="s">
        <v>1026</v>
      </c>
      <c r="AF453" s="8" t="s">
        <v>1026</v>
      </c>
      <c r="AG453" s="8" t="s">
        <v>1026</v>
      </c>
      <c r="AH453" s="8" t="s">
        <v>1026</v>
      </c>
      <c r="AI453" s="8" t="s">
        <v>1026</v>
      </c>
    </row>
    <row r="454" spans="24:35" x14ac:dyDescent="0.25">
      <c r="X454" s="8" t="s">
        <v>544</v>
      </c>
      <c r="Y454" s="8" t="s">
        <v>926</v>
      </c>
      <c r="Z454" s="8" t="s">
        <v>958</v>
      </c>
      <c r="AA454" s="5">
        <v>25</v>
      </c>
      <c r="AB454" s="8" t="s">
        <v>1010</v>
      </c>
      <c r="AC454" s="8" t="s">
        <v>984</v>
      </c>
      <c r="AD454" s="8" t="s">
        <v>1027</v>
      </c>
      <c r="AE454" s="8" t="s">
        <v>1026</v>
      </c>
      <c r="AF454" s="8" t="s">
        <v>1026</v>
      </c>
      <c r="AG454" s="8" t="s">
        <v>1027</v>
      </c>
      <c r="AH454" s="8" t="s">
        <v>1025</v>
      </c>
      <c r="AI454" s="8" t="s">
        <v>1027</v>
      </c>
    </row>
    <row r="455" spans="24:35" x14ac:dyDescent="0.25">
      <c r="X455" s="8" t="s">
        <v>545</v>
      </c>
      <c r="Y455" s="8" t="s">
        <v>943</v>
      </c>
      <c r="Z455" s="8" t="s">
        <v>943</v>
      </c>
      <c r="AA455" s="5">
        <v>68</v>
      </c>
      <c r="AB455" s="8" t="s">
        <v>940</v>
      </c>
      <c r="AC455" s="8" t="s">
        <v>925</v>
      </c>
      <c r="AD455" s="8" t="s">
        <v>1026</v>
      </c>
      <c r="AE455" s="8" t="s">
        <v>1026</v>
      </c>
      <c r="AF455" s="8" t="s">
        <v>1027</v>
      </c>
      <c r="AG455" s="8" t="s">
        <v>1026</v>
      </c>
      <c r="AH455" s="8" t="s">
        <v>1026</v>
      </c>
      <c r="AI455" s="8" t="s">
        <v>1026</v>
      </c>
    </row>
    <row r="456" spans="24:35" x14ac:dyDescent="0.25">
      <c r="X456" s="8" t="s">
        <v>546</v>
      </c>
      <c r="Y456" s="8" t="s">
        <v>929</v>
      </c>
      <c r="Z456" s="8" t="s">
        <v>925</v>
      </c>
      <c r="AA456" s="5">
        <v>86</v>
      </c>
      <c r="AB456" s="8" t="s">
        <v>938</v>
      </c>
      <c r="AC456" s="8" t="s">
        <v>936</v>
      </c>
      <c r="AD456" s="8" t="s">
        <v>1028</v>
      </c>
      <c r="AE456" s="8" t="s">
        <v>1025</v>
      </c>
      <c r="AF456" s="8" t="s">
        <v>1025</v>
      </c>
      <c r="AG456" s="8" t="s">
        <v>1025</v>
      </c>
      <c r="AH456" s="8" t="s">
        <v>1025</v>
      </c>
      <c r="AI456" s="8" t="s">
        <v>1026</v>
      </c>
    </row>
    <row r="457" spans="24:35" x14ac:dyDescent="0.25">
      <c r="X457" s="8" t="s">
        <v>547</v>
      </c>
      <c r="Y457" s="8" t="s">
        <v>965</v>
      </c>
      <c r="Z457" s="8" t="s">
        <v>954</v>
      </c>
      <c r="AA457" s="5">
        <v>81</v>
      </c>
      <c r="AB457" s="8" t="s">
        <v>971</v>
      </c>
      <c r="AC457" s="8" t="s">
        <v>948</v>
      </c>
      <c r="AD457" s="8" t="s">
        <v>1027</v>
      </c>
      <c r="AE457" s="8" t="s">
        <v>1025</v>
      </c>
      <c r="AF457" s="8" t="s">
        <v>1025</v>
      </c>
      <c r="AG457" s="8" t="s">
        <v>1026</v>
      </c>
      <c r="AH457" s="8" t="s">
        <v>1028</v>
      </c>
      <c r="AI457" s="8" t="s">
        <v>1026</v>
      </c>
    </row>
    <row r="458" spans="24:35" x14ac:dyDescent="0.25">
      <c r="X458" s="8" t="s">
        <v>548</v>
      </c>
      <c r="Y458" s="8" t="s">
        <v>940</v>
      </c>
      <c r="Z458" s="8" t="s">
        <v>958</v>
      </c>
      <c r="AA458" s="5">
        <v>63</v>
      </c>
      <c r="AB458" s="8" t="s">
        <v>931</v>
      </c>
      <c r="AC458" s="8" t="s">
        <v>956</v>
      </c>
      <c r="AD458" s="8" t="s">
        <v>1025</v>
      </c>
      <c r="AE458" s="8" t="s">
        <v>1026</v>
      </c>
      <c r="AF458" s="8" t="s">
        <v>1027</v>
      </c>
      <c r="AG458" s="8" t="s">
        <v>1025</v>
      </c>
      <c r="AH458" s="8" t="s">
        <v>1027</v>
      </c>
      <c r="AI458" s="8" t="s">
        <v>1026</v>
      </c>
    </row>
    <row r="459" spans="24:35" x14ac:dyDescent="0.25">
      <c r="X459" s="8" t="s">
        <v>549</v>
      </c>
      <c r="Y459" s="8" t="s">
        <v>930</v>
      </c>
      <c r="Z459" s="8" t="s">
        <v>992</v>
      </c>
      <c r="AA459" s="5">
        <v>74</v>
      </c>
      <c r="AB459" s="8" t="s">
        <v>938</v>
      </c>
      <c r="AC459" s="8" t="s">
        <v>960</v>
      </c>
      <c r="AD459" s="8" t="s">
        <v>1026</v>
      </c>
      <c r="AE459" s="8" t="s">
        <v>1025</v>
      </c>
      <c r="AF459" s="8" t="s">
        <v>1027</v>
      </c>
      <c r="AG459" s="8" t="s">
        <v>1026</v>
      </c>
      <c r="AH459" s="8" t="s">
        <v>1026</v>
      </c>
      <c r="AI459" s="8" t="s">
        <v>1025</v>
      </c>
    </row>
    <row r="460" spans="24:35" x14ac:dyDescent="0.25">
      <c r="X460" s="8" t="s">
        <v>550</v>
      </c>
      <c r="Y460" s="8" t="s">
        <v>921</v>
      </c>
      <c r="Z460" s="8" t="s">
        <v>1007</v>
      </c>
      <c r="AA460" s="5">
        <v>43</v>
      </c>
      <c r="AB460" s="8" t="s">
        <v>945</v>
      </c>
      <c r="AC460" s="8" t="s">
        <v>937</v>
      </c>
      <c r="AD460" s="8" t="s">
        <v>1025</v>
      </c>
      <c r="AE460" s="8" t="s">
        <v>1028</v>
      </c>
      <c r="AF460" s="8" t="s">
        <v>1026</v>
      </c>
      <c r="AG460" s="8" t="s">
        <v>1026</v>
      </c>
      <c r="AH460" s="8" t="s">
        <v>1026</v>
      </c>
      <c r="AI460" s="8" t="s">
        <v>1028</v>
      </c>
    </row>
    <row r="461" spans="24:35" x14ac:dyDescent="0.25">
      <c r="X461" s="8" t="s">
        <v>551</v>
      </c>
      <c r="Y461" s="8" t="s">
        <v>930</v>
      </c>
      <c r="Z461" s="8" t="s">
        <v>956</v>
      </c>
      <c r="AA461" s="5">
        <v>40</v>
      </c>
      <c r="AB461" s="8" t="s">
        <v>927</v>
      </c>
      <c r="AC461" s="8" t="s">
        <v>959</v>
      </c>
      <c r="AD461" s="8" t="s">
        <v>1027</v>
      </c>
      <c r="AE461" s="8" t="s">
        <v>1025</v>
      </c>
      <c r="AF461" s="8" t="s">
        <v>1026</v>
      </c>
      <c r="AG461" s="8" t="s">
        <v>1026</v>
      </c>
      <c r="AH461" s="8" t="s">
        <v>1027</v>
      </c>
      <c r="AI461" s="8" t="s">
        <v>1026</v>
      </c>
    </row>
    <row r="462" spans="24:35" x14ac:dyDescent="0.25">
      <c r="X462" s="8" t="s">
        <v>552</v>
      </c>
      <c r="Y462" s="8" t="s">
        <v>988</v>
      </c>
      <c r="Z462" s="8" t="s">
        <v>932</v>
      </c>
      <c r="AA462" s="5">
        <v>74</v>
      </c>
      <c r="AB462" s="8" t="s">
        <v>938</v>
      </c>
      <c r="AC462" s="8" t="s">
        <v>960</v>
      </c>
      <c r="AD462" s="8" t="s">
        <v>1026</v>
      </c>
      <c r="AE462" s="8" t="s">
        <v>1026</v>
      </c>
      <c r="AF462" s="8" t="s">
        <v>1026</v>
      </c>
      <c r="AG462" s="8" t="s">
        <v>1026</v>
      </c>
      <c r="AH462" s="8" t="s">
        <v>1027</v>
      </c>
      <c r="AI462" s="8" t="s">
        <v>1026</v>
      </c>
    </row>
    <row r="463" spans="24:35" x14ac:dyDescent="0.25">
      <c r="X463" s="8" t="s">
        <v>553</v>
      </c>
      <c r="Y463" s="8" t="s">
        <v>926</v>
      </c>
      <c r="Z463" s="8" t="s">
        <v>974</v>
      </c>
      <c r="AA463" s="5">
        <v>90</v>
      </c>
      <c r="AB463" s="8" t="s">
        <v>965</v>
      </c>
      <c r="AC463" s="8" t="s">
        <v>955</v>
      </c>
      <c r="AD463" s="8" t="s">
        <v>1025</v>
      </c>
      <c r="AE463" s="8" t="s">
        <v>1026</v>
      </c>
      <c r="AF463" s="8" t="s">
        <v>1026</v>
      </c>
      <c r="AG463" s="8" t="s">
        <v>1026</v>
      </c>
      <c r="AH463" s="8" t="s">
        <v>1025</v>
      </c>
      <c r="AI463" s="8" t="s">
        <v>1026</v>
      </c>
    </row>
    <row r="464" spans="24:35" x14ac:dyDescent="0.25">
      <c r="X464" s="8" t="s">
        <v>554</v>
      </c>
      <c r="Y464" s="8" t="s">
        <v>956</v>
      </c>
      <c r="Z464" s="8" t="s">
        <v>921</v>
      </c>
      <c r="AA464" s="5">
        <v>17</v>
      </c>
      <c r="AB464" s="8" t="s">
        <v>927</v>
      </c>
      <c r="AC464" s="8" t="s">
        <v>963</v>
      </c>
      <c r="AD464" s="8" t="s">
        <v>1025</v>
      </c>
      <c r="AE464" s="8" t="s">
        <v>1026</v>
      </c>
      <c r="AF464" s="8" t="s">
        <v>1026</v>
      </c>
      <c r="AG464" s="8" t="s">
        <v>1025</v>
      </c>
      <c r="AH464" s="8" t="s">
        <v>1027</v>
      </c>
      <c r="AI464" s="8" t="s">
        <v>1026</v>
      </c>
    </row>
    <row r="465" spans="24:35" x14ac:dyDescent="0.25">
      <c r="X465" s="8" t="s">
        <v>555</v>
      </c>
      <c r="Y465" s="8" t="s">
        <v>935</v>
      </c>
      <c r="Z465" s="8" t="s">
        <v>1004</v>
      </c>
      <c r="AA465" s="5">
        <v>64</v>
      </c>
      <c r="AB465" s="8" t="s">
        <v>960</v>
      </c>
      <c r="AC465" s="8" t="s">
        <v>933</v>
      </c>
      <c r="AD465" s="8" t="s">
        <v>1026</v>
      </c>
      <c r="AE465" s="8" t="s">
        <v>1026</v>
      </c>
      <c r="AF465" s="8" t="s">
        <v>1026</v>
      </c>
      <c r="AG465" s="8" t="s">
        <v>1026</v>
      </c>
      <c r="AH465" s="8" t="s">
        <v>1027</v>
      </c>
      <c r="AI465" s="8" t="s">
        <v>1026</v>
      </c>
    </row>
    <row r="466" spans="24:35" x14ac:dyDescent="0.25">
      <c r="X466" s="8" t="s">
        <v>556</v>
      </c>
      <c r="Y466" s="8" t="s">
        <v>956</v>
      </c>
      <c r="Z466" s="8" t="s">
        <v>925</v>
      </c>
      <c r="AA466" s="5">
        <v>40</v>
      </c>
      <c r="AB466" s="8" t="s">
        <v>979</v>
      </c>
      <c r="AC466" s="8" t="s">
        <v>966</v>
      </c>
      <c r="AD466" s="8" t="s">
        <v>1026</v>
      </c>
      <c r="AE466" s="8" t="s">
        <v>1027</v>
      </c>
      <c r="AF466" s="8" t="s">
        <v>1026</v>
      </c>
      <c r="AG466" s="8" t="s">
        <v>1025</v>
      </c>
      <c r="AH466" s="8" t="s">
        <v>1026</v>
      </c>
      <c r="AI466" s="8" t="s">
        <v>1026</v>
      </c>
    </row>
    <row r="467" spans="24:35" x14ac:dyDescent="0.25">
      <c r="X467" s="8" t="s">
        <v>557</v>
      </c>
      <c r="Y467" s="8" t="s">
        <v>926</v>
      </c>
      <c r="Z467" s="8" t="s">
        <v>940</v>
      </c>
      <c r="AA467" s="5">
        <v>35</v>
      </c>
      <c r="AB467" s="8" t="s">
        <v>945</v>
      </c>
      <c r="AC467" s="8" t="s">
        <v>921</v>
      </c>
      <c r="AD467" s="8" t="s">
        <v>1026</v>
      </c>
      <c r="AE467" s="8" t="s">
        <v>1026</v>
      </c>
      <c r="AF467" s="8" t="s">
        <v>1027</v>
      </c>
      <c r="AG467" s="8" t="s">
        <v>1025</v>
      </c>
      <c r="AH467" s="8" t="s">
        <v>1026</v>
      </c>
      <c r="AI467" s="8" t="s">
        <v>1026</v>
      </c>
    </row>
    <row r="468" spans="24:35" x14ac:dyDescent="0.25">
      <c r="X468" s="8" t="s">
        <v>558</v>
      </c>
      <c r="Y468" s="8" t="s">
        <v>929</v>
      </c>
      <c r="Z468" s="8" t="s">
        <v>965</v>
      </c>
      <c r="AA468" s="5">
        <v>79</v>
      </c>
      <c r="AB468" s="8" t="s">
        <v>921</v>
      </c>
      <c r="AC468" s="8" t="s">
        <v>987</v>
      </c>
      <c r="AD468" s="8" t="s">
        <v>1025</v>
      </c>
      <c r="AE468" s="8" t="s">
        <v>1025</v>
      </c>
      <c r="AF468" s="8" t="s">
        <v>1025</v>
      </c>
      <c r="AG468" s="8" t="s">
        <v>1027</v>
      </c>
      <c r="AH468" s="8" t="s">
        <v>1027</v>
      </c>
      <c r="AI468" s="8" t="s">
        <v>1028</v>
      </c>
    </row>
    <row r="469" spans="24:35" x14ac:dyDescent="0.25">
      <c r="X469" s="8" t="s">
        <v>559</v>
      </c>
      <c r="Y469" s="8" t="s">
        <v>978</v>
      </c>
      <c r="Z469" s="8" t="s">
        <v>963</v>
      </c>
      <c r="AA469" s="5">
        <v>75</v>
      </c>
      <c r="AB469" s="8" t="s">
        <v>958</v>
      </c>
      <c r="AC469" s="8" t="s">
        <v>997</v>
      </c>
      <c r="AD469" s="8" t="s">
        <v>1027</v>
      </c>
      <c r="AE469" s="8" t="s">
        <v>1027</v>
      </c>
      <c r="AF469" s="8" t="s">
        <v>1026</v>
      </c>
      <c r="AG469" s="8" t="s">
        <v>1026</v>
      </c>
      <c r="AH469" s="8" t="s">
        <v>1026</v>
      </c>
      <c r="AI469" s="8" t="s">
        <v>1026</v>
      </c>
    </row>
    <row r="470" spans="24:35" x14ac:dyDescent="0.25">
      <c r="X470" s="8" t="s">
        <v>560</v>
      </c>
      <c r="Y470" s="8" t="s">
        <v>957</v>
      </c>
      <c r="Z470" s="8" t="s">
        <v>935</v>
      </c>
      <c r="AA470" s="5">
        <v>71</v>
      </c>
      <c r="AB470" s="8" t="s">
        <v>960</v>
      </c>
      <c r="AC470" s="8" t="s">
        <v>953</v>
      </c>
      <c r="AD470" s="8" t="s">
        <v>1026</v>
      </c>
      <c r="AE470" s="8" t="s">
        <v>1026</v>
      </c>
      <c r="AF470" s="8" t="s">
        <v>1026</v>
      </c>
      <c r="AG470" s="8" t="s">
        <v>1026</v>
      </c>
      <c r="AH470" s="8" t="s">
        <v>1027</v>
      </c>
      <c r="AI470" s="8" t="s">
        <v>1027</v>
      </c>
    </row>
    <row r="471" spans="24:35" x14ac:dyDescent="0.25">
      <c r="X471" s="8" t="s">
        <v>561</v>
      </c>
      <c r="Y471" s="8" t="s">
        <v>985</v>
      </c>
      <c r="Z471" s="8" t="s">
        <v>971</v>
      </c>
      <c r="AA471" s="5">
        <v>71</v>
      </c>
      <c r="AB471" s="8" t="s">
        <v>973</v>
      </c>
      <c r="AC471" s="8" t="s">
        <v>978</v>
      </c>
      <c r="AD471" s="8" t="s">
        <v>1028</v>
      </c>
      <c r="AE471" s="8" t="s">
        <v>1025</v>
      </c>
      <c r="AF471" s="8" t="s">
        <v>1027</v>
      </c>
      <c r="AG471" s="8" t="s">
        <v>1025</v>
      </c>
      <c r="AH471" s="8" t="s">
        <v>1027</v>
      </c>
      <c r="AI471" s="8" t="s">
        <v>1028</v>
      </c>
    </row>
    <row r="472" spans="24:35" x14ac:dyDescent="0.25">
      <c r="X472" s="8" t="s">
        <v>562</v>
      </c>
      <c r="Y472" s="8" t="s">
        <v>930</v>
      </c>
      <c r="Z472" s="8" t="s">
        <v>930</v>
      </c>
      <c r="AA472" s="5">
        <v>53</v>
      </c>
      <c r="AB472" s="8" t="s">
        <v>941</v>
      </c>
      <c r="AC472" s="8" t="s">
        <v>948</v>
      </c>
      <c r="AD472" s="8" t="s">
        <v>1025</v>
      </c>
      <c r="AE472" s="8" t="s">
        <v>1026</v>
      </c>
      <c r="AF472" s="8" t="s">
        <v>1026</v>
      </c>
      <c r="AG472" s="8" t="s">
        <v>1027</v>
      </c>
      <c r="AH472" s="8" t="s">
        <v>1026</v>
      </c>
      <c r="AI472" s="8" t="s">
        <v>1025</v>
      </c>
    </row>
    <row r="473" spans="24:35" x14ac:dyDescent="0.25">
      <c r="X473" s="8" t="s">
        <v>563</v>
      </c>
      <c r="Y473" s="8" t="s">
        <v>978</v>
      </c>
      <c r="Z473" s="8" t="s">
        <v>1018</v>
      </c>
      <c r="AA473" s="5">
        <v>35</v>
      </c>
      <c r="AB473" s="8" t="s">
        <v>981</v>
      </c>
      <c r="AC473" s="8" t="s">
        <v>955</v>
      </c>
      <c r="AD473" s="8" t="s">
        <v>1027</v>
      </c>
      <c r="AE473" s="8" t="s">
        <v>1025</v>
      </c>
      <c r="AF473" s="8" t="s">
        <v>1026</v>
      </c>
      <c r="AG473" s="8" t="s">
        <v>1026</v>
      </c>
      <c r="AH473" s="8" t="s">
        <v>1026</v>
      </c>
      <c r="AI473" s="8" t="s">
        <v>1026</v>
      </c>
    </row>
    <row r="474" spans="24:35" x14ac:dyDescent="0.25">
      <c r="X474" s="8" t="s">
        <v>564</v>
      </c>
      <c r="Y474" s="8" t="s">
        <v>969</v>
      </c>
      <c r="Z474" s="8" t="s">
        <v>953</v>
      </c>
      <c r="AA474" s="5">
        <v>56</v>
      </c>
      <c r="AB474" s="8" t="s">
        <v>948</v>
      </c>
      <c r="AC474" s="8" t="s">
        <v>975</v>
      </c>
      <c r="AD474" s="8" t="s">
        <v>1026</v>
      </c>
      <c r="AE474" s="8" t="s">
        <v>1026</v>
      </c>
      <c r="AF474" s="8" t="s">
        <v>1027</v>
      </c>
      <c r="AG474" s="8" t="s">
        <v>1025</v>
      </c>
      <c r="AH474" s="8" t="s">
        <v>1027</v>
      </c>
      <c r="AI474" s="8" t="s">
        <v>1026</v>
      </c>
    </row>
    <row r="475" spans="24:35" x14ac:dyDescent="0.25">
      <c r="X475" s="8" t="s">
        <v>565</v>
      </c>
      <c r="Y475" s="8" t="s">
        <v>989</v>
      </c>
      <c r="Z475" s="8" t="s">
        <v>976</v>
      </c>
      <c r="AA475" s="5">
        <v>55</v>
      </c>
      <c r="AB475" s="8" t="s">
        <v>935</v>
      </c>
      <c r="AC475" s="8" t="s">
        <v>1013</v>
      </c>
      <c r="AD475" s="8" t="s">
        <v>1027</v>
      </c>
      <c r="AE475" s="8" t="s">
        <v>1026</v>
      </c>
      <c r="AF475" s="8" t="s">
        <v>1026</v>
      </c>
      <c r="AG475" s="8" t="s">
        <v>1027</v>
      </c>
      <c r="AH475" s="8" t="s">
        <v>1027</v>
      </c>
      <c r="AI475" s="8" t="s">
        <v>1026</v>
      </c>
    </row>
    <row r="476" spans="24:35" x14ac:dyDescent="0.25">
      <c r="X476" s="8" t="s">
        <v>566</v>
      </c>
      <c r="Y476" s="8" t="s">
        <v>930</v>
      </c>
      <c r="Z476" s="8" t="s">
        <v>930</v>
      </c>
      <c r="AA476" s="5">
        <v>72</v>
      </c>
      <c r="AB476" s="8" t="s">
        <v>940</v>
      </c>
      <c r="AC476" s="8" t="s">
        <v>921</v>
      </c>
      <c r="AD476" s="8" t="s">
        <v>1026</v>
      </c>
      <c r="AE476" s="8" t="s">
        <v>1026</v>
      </c>
      <c r="AF476" s="8" t="s">
        <v>1027</v>
      </c>
      <c r="AG476" s="8" t="s">
        <v>1027</v>
      </c>
      <c r="AH476" s="8" t="s">
        <v>1026</v>
      </c>
      <c r="AI476" s="8" t="s">
        <v>1026</v>
      </c>
    </row>
    <row r="477" spans="24:35" x14ac:dyDescent="0.25">
      <c r="X477" s="8" t="s">
        <v>567</v>
      </c>
      <c r="Y477" s="8" t="s">
        <v>960</v>
      </c>
      <c r="Z477" s="8" t="s">
        <v>981</v>
      </c>
      <c r="AA477" s="5">
        <v>93</v>
      </c>
      <c r="AB477" s="8" t="s">
        <v>1007</v>
      </c>
      <c r="AC477" s="8" t="s">
        <v>954</v>
      </c>
      <c r="AD477" s="8" t="s">
        <v>1025</v>
      </c>
      <c r="AE477" s="8" t="s">
        <v>1027</v>
      </c>
      <c r="AF477" s="8" t="s">
        <v>1027</v>
      </c>
      <c r="AG477" s="8" t="s">
        <v>1026</v>
      </c>
      <c r="AH477" s="8" t="s">
        <v>1025</v>
      </c>
      <c r="AI477" s="8" t="s">
        <v>1026</v>
      </c>
    </row>
    <row r="478" spans="24:35" x14ac:dyDescent="0.25">
      <c r="X478" s="8" t="s">
        <v>568</v>
      </c>
      <c r="Y478" s="8" t="s">
        <v>933</v>
      </c>
      <c r="Z478" s="8" t="s">
        <v>925</v>
      </c>
      <c r="AA478" s="5">
        <v>39</v>
      </c>
      <c r="AB478" s="8" t="s">
        <v>968</v>
      </c>
      <c r="AC478" s="8" t="s">
        <v>967</v>
      </c>
      <c r="AD478" s="8" t="s">
        <v>1026</v>
      </c>
      <c r="AE478" s="8" t="s">
        <v>1025</v>
      </c>
      <c r="AF478" s="8" t="s">
        <v>1026</v>
      </c>
      <c r="AG478" s="8" t="s">
        <v>1026</v>
      </c>
      <c r="AH478" s="8" t="s">
        <v>1026</v>
      </c>
      <c r="AI478" s="8" t="s">
        <v>1026</v>
      </c>
    </row>
    <row r="479" spans="24:35" x14ac:dyDescent="0.25">
      <c r="X479" s="8" t="s">
        <v>569</v>
      </c>
      <c r="Y479" s="8" t="s">
        <v>971</v>
      </c>
      <c r="Z479" s="8" t="s">
        <v>960</v>
      </c>
      <c r="AA479" s="5">
        <v>80</v>
      </c>
      <c r="AB479" s="8" t="s">
        <v>938</v>
      </c>
      <c r="AC479" s="8" t="s">
        <v>972</v>
      </c>
      <c r="AD479" s="8" t="s">
        <v>1027</v>
      </c>
      <c r="AE479" s="8" t="s">
        <v>1027</v>
      </c>
      <c r="AF479" s="8" t="s">
        <v>1025</v>
      </c>
      <c r="AG479" s="8" t="s">
        <v>1025</v>
      </c>
      <c r="AH479" s="8" t="s">
        <v>1025</v>
      </c>
      <c r="AI479" s="8" t="s">
        <v>1026</v>
      </c>
    </row>
    <row r="480" spans="24:35" x14ac:dyDescent="0.25">
      <c r="X480" s="8" t="s">
        <v>570</v>
      </c>
      <c r="Y480" s="8" t="s">
        <v>981</v>
      </c>
      <c r="Z480" s="8" t="s">
        <v>947</v>
      </c>
      <c r="AA480" s="5">
        <v>71</v>
      </c>
      <c r="AB480" s="8" t="s">
        <v>940</v>
      </c>
      <c r="AC480" s="8" t="s">
        <v>954</v>
      </c>
      <c r="AD480" s="8" t="s">
        <v>1026</v>
      </c>
      <c r="AE480" s="8" t="s">
        <v>1026</v>
      </c>
      <c r="AF480" s="8" t="s">
        <v>1027</v>
      </c>
      <c r="AG480" s="8" t="s">
        <v>1026</v>
      </c>
      <c r="AH480" s="8" t="s">
        <v>1027</v>
      </c>
      <c r="AI480" s="8" t="s">
        <v>1027</v>
      </c>
    </row>
    <row r="481" spans="24:35" x14ac:dyDescent="0.25">
      <c r="X481" s="8" t="s">
        <v>571</v>
      </c>
      <c r="Y481" s="8" t="s">
        <v>989</v>
      </c>
      <c r="Z481" s="8" t="s">
        <v>944</v>
      </c>
      <c r="AA481" s="5">
        <v>78</v>
      </c>
      <c r="AB481" s="8" t="s">
        <v>996</v>
      </c>
      <c r="AC481" s="8" t="s">
        <v>965</v>
      </c>
      <c r="AD481" s="8" t="s">
        <v>1026</v>
      </c>
      <c r="AE481" s="8" t="s">
        <v>1026</v>
      </c>
      <c r="AF481" s="8" t="s">
        <v>1027</v>
      </c>
      <c r="AG481" s="8" t="s">
        <v>1026</v>
      </c>
      <c r="AH481" s="8" t="s">
        <v>1027</v>
      </c>
      <c r="AI481" s="8" t="s">
        <v>1026</v>
      </c>
    </row>
    <row r="482" spans="24:35" x14ac:dyDescent="0.25">
      <c r="X482" s="8" t="s">
        <v>572</v>
      </c>
      <c r="Y482" s="8" t="s">
        <v>939</v>
      </c>
      <c r="Z482" s="8" t="s">
        <v>995</v>
      </c>
      <c r="AA482" s="5">
        <v>74</v>
      </c>
      <c r="AB482" s="8" t="s">
        <v>1007</v>
      </c>
      <c r="AC482" s="8" t="s">
        <v>940</v>
      </c>
      <c r="AD482" s="8" t="s">
        <v>1026</v>
      </c>
      <c r="AE482" s="8" t="s">
        <v>1027</v>
      </c>
      <c r="AF482" s="8" t="s">
        <v>1025</v>
      </c>
      <c r="AG482" s="8" t="s">
        <v>1026</v>
      </c>
      <c r="AH482" s="8" t="s">
        <v>1026</v>
      </c>
      <c r="AI482" s="8" t="s">
        <v>1026</v>
      </c>
    </row>
    <row r="483" spans="24:35" x14ac:dyDescent="0.25">
      <c r="X483" s="8" t="s">
        <v>573</v>
      </c>
      <c r="Y483" s="8" t="s">
        <v>1011</v>
      </c>
      <c r="Z483" s="8" t="s">
        <v>1007</v>
      </c>
      <c r="AA483" s="5">
        <v>89</v>
      </c>
      <c r="AB483" s="8" t="s">
        <v>985</v>
      </c>
      <c r="AC483" s="8" t="s">
        <v>926</v>
      </c>
      <c r="AD483" s="8" t="s">
        <v>1028</v>
      </c>
      <c r="AE483" s="8" t="s">
        <v>1025</v>
      </c>
      <c r="AF483" s="8" t="s">
        <v>1025</v>
      </c>
      <c r="AG483" s="8" t="s">
        <v>1025</v>
      </c>
      <c r="AH483" s="8" t="s">
        <v>1028</v>
      </c>
      <c r="AI483" s="8" t="s">
        <v>1026</v>
      </c>
    </row>
    <row r="484" spans="24:35" x14ac:dyDescent="0.25">
      <c r="X484" s="8" t="s">
        <v>574</v>
      </c>
      <c r="Y484" s="8" t="s">
        <v>922</v>
      </c>
      <c r="Z484" s="8" t="s">
        <v>927</v>
      </c>
      <c r="AA484" s="5">
        <v>77</v>
      </c>
      <c r="AB484" s="8" t="s">
        <v>949</v>
      </c>
      <c r="AC484" s="8" t="s">
        <v>989</v>
      </c>
      <c r="AD484" s="8" t="s">
        <v>1027</v>
      </c>
      <c r="AE484" s="8" t="s">
        <v>1026</v>
      </c>
      <c r="AF484" s="8" t="s">
        <v>1026</v>
      </c>
      <c r="AG484" s="8" t="s">
        <v>1026</v>
      </c>
      <c r="AH484" s="8" t="s">
        <v>1025</v>
      </c>
      <c r="AI484" s="8" t="s">
        <v>1026</v>
      </c>
    </row>
    <row r="485" spans="24:35" x14ac:dyDescent="0.25">
      <c r="X485" s="8" t="s">
        <v>575</v>
      </c>
      <c r="Y485" s="8" t="s">
        <v>953</v>
      </c>
      <c r="Z485" s="8" t="s">
        <v>949</v>
      </c>
      <c r="AA485" s="5">
        <v>76</v>
      </c>
      <c r="AB485" s="8" t="s">
        <v>938</v>
      </c>
      <c r="AC485" s="8" t="s">
        <v>930</v>
      </c>
      <c r="AD485" s="8" t="s">
        <v>1026</v>
      </c>
      <c r="AE485" s="8" t="s">
        <v>1026</v>
      </c>
      <c r="AF485" s="8" t="s">
        <v>1025</v>
      </c>
      <c r="AG485" s="8" t="s">
        <v>1026</v>
      </c>
      <c r="AH485" s="8" t="s">
        <v>1025</v>
      </c>
      <c r="AI485" s="8" t="s">
        <v>1026</v>
      </c>
    </row>
    <row r="486" spans="24:35" x14ac:dyDescent="0.25">
      <c r="X486" s="8" t="s">
        <v>576</v>
      </c>
      <c r="Y486" s="8" t="s">
        <v>933</v>
      </c>
      <c r="Z486" s="8" t="s">
        <v>962</v>
      </c>
      <c r="AA486" s="5">
        <v>63</v>
      </c>
      <c r="AB486" s="8" t="s">
        <v>975</v>
      </c>
      <c r="AC486" s="8" t="s">
        <v>936</v>
      </c>
      <c r="AD486" s="8" t="s">
        <v>1026</v>
      </c>
      <c r="AE486" s="8" t="s">
        <v>1027</v>
      </c>
      <c r="AF486" s="8" t="s">
        <v>1027</v>
      </c>
      <c r="AG486" s="8" t="s">
        <v>1026</v>
      </c>
      <c r="AH486" s="8" t="s">
        <v>1026</v>
      </c>
      <c r="AI486" s="8" t="s">
        <v>1026</v>
      </c>
    </row>
    <row r="487" spans="24:35" x14ac:dyDescent="0.25">
      <c r="X487" s="8" t="s">
        <v>577</v>
      </c>
      <c r="Y487" s="8" t="s">
        <v>948</v>
      </c>
      <c r="Z487" s="8" t="s">
        <v>925</v>
      </c>
      <c r="AA487" s="5">
        <v>45</v>
      </c>
      <c r="AB487" s="8" t="s">
        <v>979</v>
      </c>
      <c r="AC487" s="8" t="s">
        <v>933</v>
      </c>
      <c r="AD487" s="8" t="s">
        <v>1027</v>
      </c>
      <c r="AE487" s="8" t="s">
        <v>1026</v>
      </c>
      <c r="AF487" s="8" t="s">
        <v>1027</v>
      </c>
      <c r="AG487" s="8" t="s">
        <v>1026</v>
      </c>
      <c r="AH487" s="8" t="s">
        <v>1027</v>
      </c>
      <c r="AI487" s="8" t="s">
        <v>1026</v>
      </c>
    </row>
    <row r="488" spans="24:35" x14ac:dyDescent="0.25">
      <c r="X488" s="8" t="s">
        <v>578</v>
      </c>
      <c r="Y488" s="8" t="s">
        <v>925</v>
      </c>
      <c r="Z488" s="8" t="s">
        <v>967</v>
      </c>
      <c r="AA488" s="5">
        <v>81</v>
      </c>
      <c r="AB488" s="8" t="s">
        <v>987</v>
      </c>
      <c r="AC488" s="8" t="s">
        <v>982</v>
      </c>
      <c r="AD488" s="8" t="s">
        <v>1027</v>
      </c>
      <c r="AE488" s="8" t="s">
        <v>1026</v>
      </c>
      <c r="AF488" s="8" t="s">
        <v>1025</v>
      </c>
      <c r="AG488" s="8" t="s">
        <v>1027</v>
      </c>
      <c r="AH488" s="8" t="s">
        <v>1025</v>
      </c>
      <c r="AI488" s="8" t="s">
        <v>1026</v>
      </c>
    </row>
    <row r="489" spans="24:35" x14ac:dyDescent="0.25">
      <c r="X489" s="8" t="s">
        <v>579</v>
      </c>
      <c r="Y489" s="8" t="s">
        <v>948</v>
      </c>
      <c r="Z489" s="8" t="s">
        <v>958</v>
      </c>
      <c r="AA489" s="5">
        <v>50</v>
      </c>
      <c r="AB489" s="8" t="s">
        <v>967</v>
      </c>
      <c r="AC489" s="8" t="s">
        <v>948</v>
      </c>
      <c r="AD489" s="8" t="s">
        <v>1025</v>
      </c>
      <c r="AE489" s="8" t="s">
        <v>1026</v>
      </c>
      <c r="AF489" s="8" t="s">
        <v>1027</v>
      </c>
      <c r="AG489" s="8" t="s">
        <v>1026</v>
      </c>
      <c r="AH489" s="8" t="s">
        <v>1026</v>
      </c>
      <c r="AI489" s="8" t="s">
        <v>1025</v>
      </c>
    </row>
    <row r="490" spans="24:35" x14ac:dyDescent="0.25">
      <c r="X490" s="8" t="s">
        <v>580</v>
      </c>
      <c r="Y490" s="8" t="s">
        <v>960</v>
      </c>
      <c r="Z490" s="8" t="s">
        <v>987</v>
      </c>
      <c r="AA490" s="5">
        <v>50</v>
      </c>
      <c r="AB490" s="8" t="s">
        <v>934</v>
      </c>
      <c r="AC490" s="8" t="s">
        <v>976</v>
      </c>
      <c r="AD490" s="8" t="s">
        <v>1025</v>
      </c>
      <c r="AE490" s="8" t="s">
        <v>1025</v>
      </c>
      <c r="AF490" s="8" t="s">
        <v>1027</v>
      </c>
      <c r="AG490" s="8" t="s">
        <v>1026</v>
      </c>
      <c r="AH490" s="8" t="s">
        <v>1027</v>
      </c>
      <c r="AI490" s="8" t="s">
        <v>1028</v>
      </c>
    </row>
    <row r="491" spans="24:35" x14ac:dyDescent="0.25">
      <c r="X491" s="8" t="s">
        <v>581</v>
      </c>
      <c r="Y491" s="8" t="s">
        <v>923</v>
      </c>
      <c r="Z491" s="8" t="s">
        <v>1013</v>
      </c>
      <c r="AA491" s="5">
        <v>31</v>
      </c>
      <c r="AB491" s="8" t="s">
        <v>958</v>
      </c>
      <c r="AC491" s="8" t="s">
        <v>937</v>
      </c>
      <c r="AD491" s="8" t="s">
        <v>1026</v>
      </c>
      <c r="AE491" s="8" t="s">
        <v>1026</v>
      </c>
      <c r="AF491" s="8" t="s">
        <v>1027</v>
      </c>
      <c r="AG491" s="8" t="s">
        <v>1026</v>
      </c>
      <c r="AH491" s="8" t="s">
        <v>1026</v>
      </c>
      <c r="AI491" s="8" t="s">
        <v>1027</v>
      </c>
    </row>
    <row r="492" spans="24:35" x14ac:dyDescent="0.25">
      <c r="X492" s="8" t="s">
        <v>582</v>
      </c>
      <c r="Y492" s="8" t="s">
        <v>953</v>
      </c>
      <c r="Z492" s="8" t="s">
        <v>930</v>
      </c>
      <c r="AA492" s="5">
        <v>46</v>
      </c>
      <c r="AB492" s="8" t="s">
        <v>923</v>
      </c>
      <c r="AC492" s="8" t="s">
        <v>973</v>
      </c>
      <c r="AD492" s="8" t="s">
        <v>1026</v>
      </c>
      <c r="AE492" s="8" t="s">
        <v>1026</v>
      </c>
      <c r="AF492" s="8" t="s">
        <v>1027</v>
      </c>
      <c r="AG492" s="8" t="s">
        <v>1026</v>
      </c>
      <c r="AH492" s="8" t="s">
        <v>1025</v>
      </c>
      <c r="AI492" s="8" t="s">
        <v>1025</v>
      </c>
    </row>
    <row r="493" spans="24:35" x14ac:dyDescent="0.25">
      <c r="X493" s="8" t="s">
        <v>583</v>
      </c>
      <c r="Y493" s="8" t="s">
        <v>978</v>
      </c>
      <c r="Z493" s="8" t="s">
        <v>931</v>
      </c>
      <c r="AA493" s="5">
        <v>65</v>
      </c>
      <c r="AB493" s="8" t="s">
        <v>975</v>
      </c>
      <c r="AC493" s="8" t="s">
        <v>972</v>
      </c>
      <c r="AD493" s="8" t="s">
        <v>1026</v>
      </c>
      <c r="AE493" s="8" t="s">
        <v>1026</v>
      </c>
      <c r="AF493" s="8" t="s">
        <v>1026</v>
      </c>
      <c r="AG493" s="8" t="s">
        <v>1027</v>
      </c>
      <c r="AH493" s="8" t="s">
        <v>1027</v>
      </c>
      <c r="AI493" s="8" t="s">
        <v>1026</v>
      </c>
    </row>
    <row r="494" spans="24:35" x14ac:dyDescent="0.25">
      <c r="X494" s="8" t="s">
        <v>584</v>
      </c>
      <c r="Y494" s="8" t="s">
        <v>924</v>
      </c>
      <c r="Z494" s="8" t="s">
        <v>964</v>
      </c>
      <c r="AA494" s="5">
        <v>80</v>
      </c>
      <c r="AB494" s="8" t="s">
        <v>983</v>
      </c>
      <c r="AC494" s="8" t="s">
        <v>949</v>
      </c>
      <c r="AD494" s="8" t="s">
        <v>1026</v>
      </c>
      <c r="AE494" s="8" t="s">
        <v>1026</v>
      </c>
      <c r="AF494" s="8" t="s">
        <v>1026</v>
      </c>
      <c r="AG494" s="8" t="s">
        <v>1026</v>
      </c>
      <c r="AH494" s="8" t="s">
        <v>1027</v>
      </c>
      <c r="AI494" s="8" t="s">
        <v>1026</v>
      </c>
    </row>
    <row r="495" spans="24:35" x14ac:dyDescent="0.25">
      <c r="X495" s="8" t="s">
        <v>585</v>
      </c>
      <c r="Y495" s="8" t="s">
        <v>921</v>
      </c>
      <c r="Z495" s="8" t="s">
        <v>1007</v>
      </c>
      <c r="AA495" s="5">
        <v>69</v>
      </c>
      <c r="AB495" s="8" t="s">
        <v>924</v>
      </c>
      <c r="AC495" s="8" t="s">
        <v>993</v>
      </c>
      <c r="AD495" s="8" t="s">
        <v>1026</v>
      </c>
      <c r="AE495" s="8" t="s">
        <v>1026</v>
      </c>
      <c r="AF495" s="8" t="s">
        <v>1025</v>
      </c>
      <c r="AG495" s="8" t="s">
        <v>1025</v>
      </c>
      <c r="AH495" s="8" t="s">
        <v>1026</v>
      </c>
      <c r="AI495" s="8" t="s">
        <v>1026</v>
      </c>
    </row>
    <row r="496" spans="24:35" x14ac:dyDescent="0.25">
      <c r="X496" s="8" t="s">
        <v>586</v>
      </c>
      <c r="Y496" s="8" t="s">
        <v>960</v>
      </c>
      <c r="Z496" s="8" t="s">
        <v>987</v>
      </c>
      <c r="AA496" s="5">
        <v>69</v>
      </c>
      <c r="AB496" s="8" t="s">
        <v>973</v>
      </c>
      <c r="AC496" s="8" t="s">
        <v>958</v>
      </c>
      <c r="AD496" s="8" t="s">
        <v>1028</v>
      </c>
      <c r="AE496" s="8" t="s">
        <v>1027</v>
      </c>
      <c r="AF496" s="8" t="s">
        <v>1027</v>
      </c>
      <c r="AG496" s="8" t="s">
        <v>1025</v>
      </c>
      <c r="AH496" s="8" t="s">
        <v>1025</v>
      </c>
      <c r="AI496" s="8" t="s">
        <v>1026</v>
      </c>
    </row>
    <row r="497" spans="24:35" x14ac:dyDescent="0.25">
      <c r="X497" s="8" t="s">
        <v>587</v>
      </c>
      <c r="Y497" s="8" t="s">
        <v>951</v>
      </c>
      <c r="Z497" s="8" t="s">
        <v>991</v>
      </c>
      <c r="AA497" s="5">
        <v>56</v>
      </c>
      <c r="AB497" s="8" t="s">
        <v>958</v>
      </c>
      <c r="AC497" s="8" t="s">
        <v>948</v>
      </c>
      <c r="AD497" s="8" t="s">
        <v>1026</v>
      </c>
      <c r="AE497" s="8" t="s">
        <v>1026</v>
      </c>
      <c r="AF497" s="8" t="s">
        <v>1026</v>
      </c>
      <c r="AG497" s="8" t="s">
        <v>1026</v>
      </c>
      <c r="AH497" s="8" t="s">
        <v>1027</v>
      </c>
      <c r="AI497" s="8" t="s">
        <v>1027</v>
      </c>
    </row>
    <row r="498" spans="24:35" x14ac:dyDescent="0.25">
      <c r="X498" s="8" t="s">
        <v>588</v>
      </c>
      <c r="Y498" s="8" t="s">
        <v>969</v>
      </c>
      <c r="Z498" s="8" t="s">
        <v>925</v>
      </c>
      <c r="AA498" s="5">
        <v>31</v>
      </c>
      <c r="AB498" s="8" t="s">
        <v>993</v>
      </c>
      <c r="AC498" s="8" t="s">
        <v>974</v>
      </c>
      <c r="AD498" s="8" t="s">
        <v>1027</v>
      </c>
      <c r="AE498" s="8" t="s">
        <v>1025</v>
      </c>
      <c r="AF498" s="8" t="s">
        <v>1026</v>
      </c>
      <c r="AG498" s="8" t="s">
        <v>1026</v>
      </c>
      <c r="AH498" s="8" t="s">
        <v>1026</v>
      </c>
      <c r="AI498" s="8" t="s">
        <v>1026</v>
      </c>
    </row>
    <row r="499" spans="24:35" x14ac:dyDescent="0.25">
      <c r="X499" s="8" t="s">
        <v>589</v>
      </c>
      <c r="Y499" s="8" t="s">
        <v>942</v>
      </c>
      <c r="Z499" s="8" t="s">
        <v>921</v>
      </c>
      <c r="AA499" s="5">
        <v>59</v>
      </c>
      <c r="AB499" s="8" t="s">
        <v>931</v>
      </c>
      <c r="AC499" s="8" t="s">
        <v>955</v>
      </c>
      <c r="AD499" s="8" t="s">
        <v>1027</v>
      </c>
      <c r="AE499" s="8" t="s">
        <v>1026</v>
      </c>
      <c r="AF499" s="8" t="s">
        <v>1027</v>
      </c>
      <c r="AG499" s="8" t="s">
        <v>1027</v>
      </c>
      <c r="AH499" s="8" t="s">
        <v>1025</v>
      </c>
      <c r="AI499" s="8" t="s">
        <v>1025</v>
      </c>
    </row>
    <row r="500" spans="24:35" x14ac:dyDescent="0.25">
      <c r="X500" s="8" t="s">
        <v>590</v>
      </c>
      <c r="Y500" s="8" t="s">
        <v>974</v>
      </c>
      <c r="Z500" s="8" t="s">
        <v>976</v>
      </c>
      <c r="AA500" s="5">
        <v>25</v>
      </c>
      <c r="AB500" s="8" t="s">
        <v>1009</v>
      </c>
      <c r="AC500" s="8" t="s">
        <v>1010</v>
      </c>
      <c r="AD500" s="8" t="s">
        <v>1026</v>
      </c>
      <c r="AE500" s="8" t="s">
        <v>1026</v>
      </c>
      <c r="AF500" s="8" t="s">
        <v>1026</v>
      </c>
      <c r="AG500" s="8" t="s">
        <v>1027</v>
      </c>
      <c r="AH500" s="8" t="s">
        <v>1026</v>
      </c>
      <c r="AI500" s="8" t="s">
        <v>1026</v>
      </c>
    </row>
    <row r="501" spans="24:35" x14ac:dyDescent="0.25">
      <c r="X501" s="8" t="s">
        <v>591</v>
      </c>
      <c r="Y501" s="8" t="s">
        <v>948</v>
      </c>
      <c r="Z501" s="8" t="s">
        <v>972</v>
      </c>
      <c r="AA501" s="5">
        <v>29</v>
      </c>
      <c r="AB501" s="8" t="s">
        <v>951</v>
      </c>
      <c r="AC501" s="8" t="s">
        <v>944</v>
      </c>
      <c r="AD501" s="8" t="s">
        <v>1027</v>
      </c>
      <c r="AE501" s="8" t="s">
        <v>1026</v>
      </c>
      <c r="AF501" s="8" t="s">
        <v>1026</v>
      </c>
      <c r="AG501" s="8" t="s">
        <v>1025</v>
      </c>
      <c r="AH501" s="8" t="s">
        <v>1026</v>
      </c>
      <c r="AI501" s="8" t="s">
        <v>1026</v>
      </c>
    </row>
    <row r="502" spans="24:35" x14ac:dyDescent="0.25">
      <c r="X502" s="8" t="s">
        <v>592</v>
      </c>
      <c r="Y502" s="8" t="s">
        <v>930</v>
      </c>
      <c r="Z502" s="8" t="s">
        <v>1013</v>
      </c>
      <c r="AA502" s="5">
        <v>74</v>
      </c>
      <c r="AB502" s="8" t="s">
        <v>1007</v>
      </c>
      <c r="AC502" s="8" t="s">
        <v>940</v>
      </c>
      <c r="AD502" s="8" t="s">
        <v>1026</v>
      </c>
      <c r="AE502" s="8" t="s">
        <v>1026</v>
      </c>
      <c r="AF502" s="8" t="s">
        <v>1027</v>
      </c>
      <c r="AG502" s="8" t="s">
        <v>1026</v>
      </c>
      <c r="AH502" s="8" t="s">
        <v>1025</v>
      </c>
      <c r="AI502" s="8" t="s">
        <v>1027</v>
      </c>
    </row>
    <row r="503" spans="24:35" x14ac:dyDescent="0.25">
      <c r="X503" s="8" t="s">
        <v>593</v>
      </c>
      <c r="Y503" s="8" t="s">
        <v>987</v>
      </c>
      <c r="Z503" s="8" t="s">
        <v>984</v>
      </c>
      <c r="AA503" s="5">
        <v>85</v>
      </c>
      <c r="AB503" s="8" t="s">
        <v>971</v>
      </c>
      <c r="AC503" s="8" t="s">
        <v>985</v>
      </c>
      <c r="AD503" s="8" t="s">
        <v>1025</v>
      </c>
      <c r="AE503" s="8" t="s">
        <v>1027</v>
      </c>
      <c r="AF503" s="8" t="s">
        <v>1028</v>
      </c>
      <c r="AG503" s="8" t="s">
        <v>1026</v>
      </c>
      <c r="AH503" s="8" t="s">
        <v>1028</v>
      </c>
      <c r="AI503" s="8" t="s">
        <v>1028</v>
      </c>
    </row>
    <row r="504" spans="24:35" x14ac:dyDescent="0.25">
      <c r="X504" s="8" t="s">
        <v>594</v>
      </c>
      <c r="Y504" s="8" t="s">
        <v>942</v>
      </c>
      <c r="Z504" s="8" t="s">
        <v>956</v>
      </c>
      <c r="AA504" s="5">
        <v>72</v>
      </c>
      <c r="AB504" s="8" t="s">
        <v>923</v>
      </c>
      <c r="AC504" s="8" t="s">
        <v>967</v>
      </c>
      <c r="AD504" s="8" t="s">
        <v>1026</v>
      </c>
      <c r="AE504" s="8" t="s">
        <v>1026</v>
      </c>
      <c r="AF504" s="8" t="s">
        <v>1026</v>
      </c>
      <c r="AG504" s="8" t="s">
        <v>1025</v>
      </c>
      <c r="AH504" s="8" t="s">
        <v>1026</v>
      </c>
      <c r="AI504" s="8" t="s">
        <v>1026</v>
      </c>
    </row>
    <row r="505" spans="24:35" x14ac:dyDescent="0.25">
      <c r="X505" s="8" t="s">
        <v>595</v>
      </c>
      <c r="Y505" s="8" t="s">
        <v>974</v>
      </c>
      <c r="Z505" s="8" t="s">
        <v>953</v>
      </c>
      <c r="AA505" s="5">
        <v>25</v>
      </c>
      <c r="AB505" s="8" t="s">
        <v>962</v>
      </c>
      <c r="AC505" s="8" t="s">
        <v>992</v>
      </c>
      <c r="AD505" s="8" t="s">
        <v>1027</v>
      </c>
      <c r="AE505" s="8" t="s">
        <v>1027</v>
      </c>
      <c r="AF505" s="8" t="s">
        <v>1026</v>
      </c>
      <c r="AG505" s="8" t="s">
        <v>1026</v>
      </c>
      <c r="AH505" s="8" t="s">
        <v>1026</v>
      </c>
      <c r="AI505" s="8" t="s">
        <v>1026</v>
      </c>
    </row>
    <row r="506" spans="24:35" x14ac:dyDescent="0.25">
      <c r="X506" s="8" t="s">
        <v>596</v>
      </c>
      <c r="Y506" s="8" t="s">
        <v>986</v>
      </c>
      <c r="Z506" s="8" t="s">
        <v>932</v>
      </c>
      <c r="AA506" s="5">
        <v>70</v>
      </c>
      <c r="AB506" s="8" t="s">
        <v>965</v>
      </c>
      <c r="AC506" s="8" t="s">
        <v>993</v>
      </c>
      <c r="AD506" s="8" t="s">
        <v>1026</v>
      </c>
      <c r="AE506" s="8" t="s">
        <v>1026</v>
      </c>
      <c r="AF506" s="8" t="s">
        <v>1026</v>
      </c>
      <c r="AG506" s="8" t="s">
        <v>1026</v>
      </c>
      <c r="AH506" s="8" t="s">
        <v>1028</v>
      </c>
      <c r="AI506" s="8" t="s">
        <v>1026</v>
      </c>
    </row>
    <row r="507" spans="24:35" x14ac:dyDescent="0.25">
      <c r="X507" s="8" t="s">
        <v>597</v>
      </c>
      <c r="Y507" s="8" t="s">
        <v>938</v>
      </c>
      <c r="Z507" s="8" t="s">
        <v>982</v>
      </c>
      <c r="AA507" s="5">
        <v>53</v>
      </c>
      <c r="AB507" s="8" t="s">
        <v>943</v>
      </c>
      <c r="AC507" s="8" t="s">
        <v>936</v>
      </c>
      <c r="AD507" s="8" t="s">
        <v>1025</v>
      </c>
      <c r="AE507" s="8" t="s">
        <v>1026</v>
      </c>
      <c r="AF507" s="8" t="s">
        <v>1027</v>
      </c>
      <c r="AG507" s="8" t="s">
        <v>1028</v>
      </c>
      <c r="AH507" s="8" t="s">
        <v>1026</v>
      </c>
      <c r="AI507" s="8" t="s">
        <v>1027</v>
      </c>
    </row>
    <row r="508" spans="24:35" x14ac:dyDescent="0.25">
      <c r="X508" s="8" t="s">
        <v>598</v>
      </c>
      <c r="Y508" s="8" t="s">
        <v>958</v>
      </c>
      <c r="Z508" s="8" t="s">
        <v>921</v>
      </c>
      <c r="AA508" s="5">
        <v>16</v>
      </c>
      <c r="AB508" s="8" t="s">
        <v>1010</v>
      </c>
      <c r="AC508" s="8" t="s">
        <v>993</v>
      </c>
      <c r="AD508" s="8" t="s">
        <v>1027</v>
      </c>
      <c r="AE508" s="8" t="s">
        <v>1026</v>
      </c>
      <c r="AF508" s="8" t="s">
        <v>1026</v>
      </c>
      <c r="AG508" s="8" t="s">
        <v>1025</v>
      </c>
      <c r="AH508" s="8" t="s">
        <v>1026</v>
      </c>
      <c r="AI508" s="8" t="s">
        <v>1026</v>
      </c>
    </row>
    <row r="509" spans="24:35" x14ac:dyDescent="0.25">
      <c r="X509" s="8" t="s">
        <v>599</v>
      </c>
      <c r="Y509" s="8" t="s">
        <v>969</v>
      </c>
      <c r="Z509" s="8" t="s">
        <v>925</v>
      </c>
      <c r="AA509" s="5">
        <v>48</v>
      </c>
      <c r="AB509" s="8" t="s">
        <v>997</v>
      </c>
      <c r="AC509" s="8" t="s">
        <v>969</v>
      </c>
      <c r="AD509" s="8" t="s">
        <v>1027</v>
      </c>
      <c r="AE509" s="8" t="s">
        <v>1027</v>
      </c>
      <c r="AF509" s="8" t="s">
        <v>1026</v>
      </c>
      <c r="AG509" s="8" t="s">
        <v>1028</v>
      </c>
      <c r="AH509" s="8" t="s">
        <v>1026</v>
      </c>
      <c r="AI509" s="8" t="s">
        <v>1026</v>
      </c>
    </row>
    <row r="510" spans="24:35" x14ac:dyDescent="0.25">
      <c r="X510" s="8" t="s">
        <v>600</v>
      </c>
      <c r="Y510" s="8" t="s">
        <v>1000</v>
      </c>
      <c r="Z510" s="8" t="s">
        <v>999</v>
      </c>
      <c r="AA510" s="5">
        <v>60</v>
      </c>
      <c r="AB510" s="8" t="s">
        <v>926</v>
      </c>
      <c r="AC510" s="8" t="s">
        <v>947</v>
      </c>
      <c r="AD510" s="8" t="s">
        <v>1026</v>
      </c>
      <c r="AE510" s="8" t="s">
        <v>1026</v>
      </c>
      <c r="AF510" s="8" t="s">
        <v>1026</v>
      </c>
      <c r="AG510" s="8" t="s">
        <v>1026</v>
      </c>
      <c r="AH510" s="8" t="s">
        <v>1028</v>
      </c>
      <c r="AI510" s="8" t="s">
        <v>1026</v>
      </c>
    </row>
    <row r="511" spans="24:35" x14ac:dyDescent="0.25">
      <c r="X511" s="8" t="s">
        <v>601</v>
      </c>
      <c r="Y511" s="8" t="s">
        <v>958</v>
      </c>
      <c r="Z511" s="8" t="s">
        <v>921</v>
      </c>
      <c r="AA511" s="5">
        <v>52</v>
      </c>
      <c r="AB511" s="8" t="s">
        <v>964</v>
      </c>
      <c r="AC511" s="8" t="s">
        <v>922</v>
      </c>
      <c r="AD511" s="8" t="s">
        <v>1025</v>
      </c>
      <c r="AE511" s="8" t="s">
        <v>1027</v>
      </c>
      <c r="AF511" s="8" t="s">
        <v>1026</v>
      </c>
      <c r="AG511" s="8" t="s">
        <v>1026</v>
      </c>
      <c r="AH511" s="8" t="s">
        <v>1025</v>
      </c>
      <c r="AI511" s="8" t="s">
        <v>1026</v>
      </c>
    </row>
    <row r="512" spans="24:35" x14ac:dyDescent="0.25">
      <c r="X512" s="8" t="s">
        <v>602</v>
      </c>
      <c r="Y512" s="8" t="s">
        <v>959</v>
      </c>
      <c r="Z512" s="8" t="s">
        <v>967</v>
      </c>
      <c r="AA512" s="5">
        <v>31</v>
      </c>
      <c r="AB512" s="8" t="s">
        <v>933</v>
      </c>
      <c r="AC512" s="8" t="s">
        <v>934</v>
      </c>
      <c r="AD512" s="8" t="s">
        <v>1026</v>
      </c>
      <c r="AE512" s="8" t="s">
        <v>1026</v>
      </c>
      <c r="AF512" s="8" t="s">
        <v>1026</v>
      </c>
      <c r="AG512" s="8" t="s">
        <v>1027</v>
      </c>
      <c r="AH512" s="8" t="s">
        <v>1026</v>
      </c>
      <c r="AI512" s="8" t="s">
        <v>1026</v>
      </c>
    </row>
    <row r="513" spans="24:35" x14ac:dyDescent="0.25">
      <c r="X513" s="8" t="s">
        <v>603</v>
      </c>
      <c r="Y513" s="8" t="s">
        <v>948</v>
      </c>
      <c r="Z513" s="8" t="s">
        <v>942</v>
      </c>
      <c r="AA513" s="5">
        <v>87</v>
      </c>
      <c r="AB513" s="8" t="s">
        <v>969</v>
      </c>
      <c r="AC513" s="8" t="s">
        <v>942</v>
      </c>
      <c r="AD513" s="8" t="s">
        <v>1027</v>
      </c>
      <c r="AE513" s="8" t="s">
        <v>1026</v>
      </c>
      <c r="AF513" s="8" t="s">
        <v>1027</v>
      </c>
      <c r="AG513" s="8" t="s">
        <v>1027</v>
      </c>
      <c r="AH513" s="8" t="s">
        <v>1026</v>
      </c>
      <c r="AI513" s="8" t="s">
        <v>1026</v>
      </c>
    </row>
    <row r="514" spans="24:35" x14ac:dyDescent="0.25">
      <c r="X514" s="8" t="s">
        <v>604</v>
      </c>
      <c r="Y514" s="8" t="s">
        <v>985</v>
      </c>
      <c r="Z514" s="8" t="s">
        <v>987</v>
      </c>
      <c r="AA514" s="5">
        <v>56</v>
      </c>
      <c r="AB514" s="8" t="s">
        <v>994</v>
      </c>
      <c r="AC514" s="8" t="s">
        <v>921</v>
      </c>
      <c r="AD514" s="8" t="s">
        <v>1027</v>
      </c>
      <c r="AE514" s="8" t="s">
        <v>1027</v>
      </c>
      <c r="AF514" s="8" t="s">
        <v>1027</v>
      </c>
      <c r="AG514" s="8" t="s">
        <v>1028</v>
      </c>
      <c r="AH514" s="8" t="s">
        <v>1027</v>
      </c>
      <c r="AI514" s="8" t="s">
        <v>1026</v>
      </c>
    </row>
    <row r="515" spans="24:35" x14ac:dyDescent="0.25">
      <c r="X515" s="8" t="s">
        <v>605</v>
      </c>
      <c r="Y515" s="8" t="s">
        <v>942</v>
      </c>
      <c r="Z515" s="8" t="s">
        <v>936</v>
      </c>
      <c r="AA515" s="5">
        <v>64</v>
      </c>
      <c r="AB515" s="8" t="s">
        <v>979</v>
      </c>
      <c r="AC515" s="8" t="s">
        <v>959</v>
      </c>
      <c r="AD515" s="8" t="s">
        <v>1026</v>
      </c>
      <c r="AE515" s="8" t="s">
        <v>1025</v>
      </c>
      <c r="AF515" s="8" t="s">
        <v>1027</v>
      </c>
      <c r="AG515" s="8" t="s">
        <v>1026</v>
      </c>
      <c r="AH515" s="8" t="s">
        <v>1026</v>
      </c>
      <c r="AI515" s="8" t="s">
        <v>1027</v>
      </c>
    </row>
    <row r="516" spans="24:35" x14ac:dyDescent="0.25">
      <c r="X516" s="8" t="s">
        <v>605</v>
      </c>
      <c r="Y516" s="8" t="s">
        <v>938</v>
      </c>
      <c r="Z516" s="8" t="s">
        <v>960</v>
      </c>
      <c r="AA516" s="5">
        <v>68</v>
      </c>
      <c r="AB516" s="8" t="s">
        <v>938</v>
      </c>
      <c r="AC516" s="8" t="s">
        <v>965</v>
      </c>
      <c r="AD516" s="8" t="s">
        <v>1027</v>
      </c>
      <c r="AE516" s="8" t="s">
        <v>1025</v>
      </c>
      <c r="AF516" s="8" t="s">
        <v>1025</v>
      </c>
      <c r="AG516" s="8" t="s">
        <v>1026</v>
      </c>
      <c r="AH516" s="8" t="s">
        <v>1025</v>
      </c>
      <c r="AI516" s="8" t="s">
        <v>1026</v>
      </c>
    </row>
    <row r="517" spans="24:35" x14ac:dyDescent="0.25">
      <c r="X517" s="8" t="s">
        <v>606</v>
      </c>
      <c r="Y517" s="8" t="s">
        <v>982</v>
      </c>
      <c r="Z517" s="8" t="s">
        <v>1002</v>
      </c>
      <c r="AA517" s="5">
        <v>44</v>
      </c>
      <c r="AB517" s="8" t="s">
        <v>968</v>
      </c>
      <c r="AC517" s="8" t="s">
        <v>983</v>
      </c>
      <c r="AD517" s="8" t="s">
        <v>1025</v>
      </c>
      <c r="AE517" s="8" t="s">
        <v>1027</v>
      </c>
      <c r="AF517" s="8" t="s">
        <v>1026</v>
      </c>
      <c r="AG517" s="8" t="s">
        <v>1028</v>
      </c>
      <c r="AH517" s="8" t="s">
        <v>1027</v>
      </c>
      <c r="AI517" s="8" t="s">
        <v>1026</v>
      </c>
    </row>
    <row r="518" spans="24:35" x14ac:dyDescent="0.25">
      <c r="X518" s="8" t="s">
        <v>607</v>
      </c>
      <c r="Y518" s="8" t="s">
        <v>926</v>
      </c>
      <c r="Z518" s="8" t="s">
        <v>937</v>
      </c>
      <c r="AA518" s="5">
        <v>56</v>
      </c>
      <c r="AB518" s="8" t="s">
        <v>967</v>
      </c>
      <c r="AC518" s="8" t="s">
        <v>937</v>
      </c>
      <c r="AD518" s="8" t="s">
        <v>1026</v>
      </c>
      <c r="AE518" s="8" t="s">
        <v>1026</v>
      </c>
      <c r="AF518" s="8" t="s">
        <v>1027</v>
      </c>
      <c r="AG518" s="8" t="s">
        <v>1028</v>
      </c>
      <c r="AH518" s="8" t="s">
        <v>1027</v>
      </c>
      <c r="AI518" s="8" t="s">
        <v>1026</v>
      </c>
    </row>
    <row r="519" spans="24:35" x14ac:dyDescent="0.25">
      <c r="X519" s="8" t="s">
        <v>608</v>
      </c>
      <c r="Y519" s="8" t="s">
        <v>983</v>
      </c>
      <c r="Z519" s="8" t="s">
        <v>971</v>
      </c>
      <c r="AA519" s="5">
        <v>51</v>
      </c>
      <c r="AB519" s="8" t="s">
        <v>949</v>
      </c>
      <c r="AC519" s="8" t="s">
        <v>1014</v>
      </c>
      <c r="AD519" s="8" t="s">
        <v>1027</v>
      </c>
      <c r="AE519" s="8" t="s">
        <v>1025</v>
      </c>
      <c r="AF519" s="8" t="s">
        <v>1026</v>
      </c>
      <c r="AG519" s="8" t="s">
        <v>1028</v>
      </c>
      <c r="AH519" s="8" t="s">
        <v>1026</v>
      </c>
      <c r="AI519" s="8" t="s">
        <v>1026</v>
      </c>
    </row>
    <row r="520" spans="24:35" x14ac:dyDescent="0.25">
      <c r="X520" s="8" t="s">
        <v>609</v>
      </c>
      <c r="Y520" s="8" t="s">
        <v>924</v>
      </c>
      <c r="Z520" s="8" t="s">
        <v>1009</v>
      </c>
      <c r="AA520" s="5">
        <v>7</v>
      </c>
      <c r="AB520" s="8" t="s">
        <v>963</v>
      </c>
      <c r="AC520" s="8" t="s">
        <v>1009</v>
      </c>
      <c r="AD520" s="8" t="s">
        <v>1026</v>
      </c>
      <c r="AE520" s="8" t="s">
        <v>1026</v>
      </c>
      <c r="AF520" s="8" t="s">
        <v>1026</v>
      </c>
      <c r="AG520" s="8" t="s">
        <v>1026</v>
      </c>
      <c r="AH520" s="8" t="s">
        <v>1026</v>
      </c>
      <c r="AI520" s="8" t="s">
        <v>1026</v>
      </c>
    </row>
    <row r="521" spans="24:35" x14ac:dyDescent="0.25">
      <c r="X521" s="8" t="s">
        <v>610</v>
      </c>
      <c r="Y521" s="8" t="s">
        <v>943</v>
      </c>
      <c r="Z521" s="8" t="s">
        <v>1010</v>
      </c>
      <c r="AA521" s="5">
        <v>85</v>
      </c>
      <c r="AB521" s="8" t="s">
        <v>961</v>
      </c>
      <c r="AC521" s="8" t="s">
        <v>928</v>
      </c>
      <c r="AD521" s="8" t="s">
        <v>1026</v>
      </c>
      <c r="AE521" s="8" t="s">
        <v>1026</v>
      </c>
      <c r="AF521" s="8" t="s">
        <v>1027</v>
      </c>
      <c r="AG521" s="8" t="s">
        <v>1026</v>
      </c>
      <c r="AH521" s="8" t="s">
        <v>1027</v>
      </c>
      <c r="AI521" s="8" t="s">
        <v>1027</v>
      </c>
    </row>
    <row r="522" spans="24:35" x14ac:dyDescent="0.25">
      <c r="X522" s="8" t="s">
        <v>611</v>
      </c>
      <c r="Y522" s="8" t="s">
        <v>990</v>
      </c>
      <c r="Z522" s="8" t="s">
        <v>964</v>
      </c>
      <c r="AA522" s="5">
        <v>71</v>
      </c>
      <c r="AB522" s="8" t="s">
        <v>953</v>
      </c>
      <c r="AC522" s="8" t="s">
        <v>947</v>
      </c>
      <c r="AD522" s="8" t="s">
        <v>1026</v>
      </c>
      <c r="AE522" s="8" t="s">
        <v>1026</v>
      </c>
      <c r="AF522" s="8" t="s">
        <v>1026</v>
      </c>
      <c r="AG522" s="8" t="s">
        <v>1026</v>
      </c>
      <c r="AH522" s="8" t="s">
        <v>1027</v>
      </c>
      <c r="AI522" s="8" t="s">
        <v>1026</v>
      </c>
    </row>
    <row r="523" spans="24:35" x14ac:dyDescent="0.25">
      <c r="X523" s="8" t="s">
        <v>612</v>
      </c>
      <c r="Y523" s="8" t="s">
        <v>947</v>
      </c>
      <c r="Z523" s="8" t="s">
        <v>927</v>
      </c>
      <c r="AA523" s="5">
        <v>71</v>
      </c>
      <c r="AB523" s="8" t="s">
        <v>936</v>
      </c>
      <c r="AC523" s="8" t="s">
        <v>925</v>
      </c>
      <c r="AD523" s="8" t="s">
        <v>1026</v>
      </c>
      <c r="AE523" s="8" t="s">
        <v>1026</v>
      </c>
      <c r="AF523" s="8" t="s">
        <v>1027</v>
      </c>
      <c r="AG523" s="8" t="s">
        <v>1026</v>
      </c>
      <c r="AH523" s="8" t="s">
        <v>1027</v>
      </c>
      <c r="AI523" s="8" t="s">
        <v>1026</v>
      </c>
    </row>
    <row r="524" spans="24:35" x14ac:dyDescent="0.25">
      <c r="X524" s="8" t="s">
        <v>613</v>
      </c>
      <c r="Y524" s="8" t="s">
        <v>1010</v>
      </c>
      <c r="Z524" s="8" t="s">
        <v>980</v>
      </c>
      <c r="AA524" s="5">
        <v>72</v>
      </c>
      <c r="AB524" s="8" t="s">
        <v>956</v>
      </c>
      <c r="AC524" s="8" t="s">
        <v>940</v>
      </c>
      <c r="AD524" s="8" t="s">
        <v>1026</v>
      </c>
      <c r="AE524" s="8" t="s">
        <v>1026</v>
      </c>
      <c r="AF524" s="8" t="s">
        <v>1027</v>
      </c>
      <c r="AG524" s="8" t="s">
        <v>1027</v>
      </c>
      <c r="AH524" s="8" t="s">
        <v>1026</v>
      </c>
      <c r="AI524" s="8" t="s">
        <v>1027</v>
      </c>
    </row>
    <row r="525" spans="24:35" x14ac:dyDescent="0.25">
      <c r="X525" s="8" t="s">
        <v>614</v>
      </c>
      <c r="Y525" s="8" t="s">
        <v>948</v>
      </c>
      <c r="Z525" s="8" t="s">
        <v>1008</v>
      </c>
      <c r="AA525" s="5">
        <v>67</v>
      </c>
      <c r="AB525" s="8" t="s">
        <v>983</v>
      </c>
      <c r="AC525" s="8" t="s">
        <v>990</v>
      </c>
      <c r="AD525" s="8" t="s">
        <v>1026</v>
      </c>
      <c r="AE525" s="8" t="s">
        <v>1027</v>
      </c>
      <c r="AF525" s="8" t="s">
        <v>1026</v>
      </c>
      <c r="AG525" s="8" t="s">
        <v>1026</v>
      </c>
      <c r="AH525" s="8" t="s">
        <v>1026</v>
      </c>
      <c r="AI525" s="8" t="s">
        <v>1026</v>
      </c>
    </row>
    <row r="526" spans="24:35" x14ac:dyDescent="0.25">
      <c r="X526" s="8" t="s">
        <v>615</v>
      </c>
      <c r="Y526" s="8" t="s">
        <v>940</v>
      </c>
      <c r="Z526" s="8" t="s">
        <v>971</v>
      </c>
      <c r="AA526" s="5">
        <v>70</v>
      </c>
      <c r="AB526" s="8" t="s">
        <v>944</v>
      </c>
      <c r="AC526" s="8" t="s">
        <v>1009</v>
      </c>
      <c r="AD526" s="8" t="s">
        <v>1027</v>
      </c>
      <c r="AE526" s="8" t="s">
        <v>1025</v>
      </c>
      <c r="AF526" s="8" t="s">
        <v>1025</v>
      </c>
      <c r="AG526" s="8" t="s">
        <v>1027</v>
      </c>
      <c r="AH526" s="8" t="s">
        <v>1026</v>
      </c>
      <c r="AI526" s="8" t="s">
        <v>1028</v>
      </c>
    </row>
    <row r="527" spans="24:35" x14ac:dyDescent="0.25">
      <c r="X527" s="8" t="s">
        <v>616</v>
      </c>
      <c r="Y527" s="8" t="s">
        <v>930</v>
      </c>
      <c r="Z527" s="8" t="s">
        <v>925</v>
      </c>
      <c r="AA527" s="5">
        <v>31</v>
      </c>
      <c r="AB527" s="8" t="s">
        <v>927</v>
      </c>
      <c r="AC527" s="8" t="s">
        <v>941</v>
      </c>
      <c r="AD527" s="8" t="s">
        <v>1026</v>
      </c>
      <c r="AE527" s="8" t="s">
        <v>1026</v>
      </c>
      <c r="AF527" s="8" t="s">
        <v>1026</v>
      </c>
      <c r="AG527" s="8" t="s">
        <v>1025</v>
      </c>
      <c r="AH527" s="8" t="s">
        <v>1026</v>
      </c>
      <c r="AI527" s="8" t="s">
        <v>1026</v>
      </c>
    </row>
    <row r="528" spans="24:35" x14ac:dyDescent="0.25">
      <c r="X528" s="8" t="s">
        <v>617</v>
      </c>
      <c r="Y528" s="8" t="s">
        <v>956</v>
      </c>
      <c r="Z528" s="8" t="s">
        <v>948</v>
      </c>
      <c r="AA528" s="5">
        <v>36</v>
      </c>
      <c r="AB528" s="8" t="s">
        <v>1001</v>
      </c>
      <c r="AC528" s="8" t="s">
        <v>934</v>
      </c>
      <c r="AD528" s="8" t="s">
        <v>1026</v>
      </c>
      <c r="AE528" s="8" t="s">
        <v>1027</v>
      </c>
      <c r="AF528" s="8" t="s">
        <v>1027</v>
      </c>
      <c r="AG528" s="8" t="s">
        <v>1026</v>
      </c>
      <c r="AH528" s="8" t="s">
        <v>1026</v>
      </c>
      <c r="AI528" s="8" t="s">
        <v>1026</v>
      </c>
    </row>
    <row r="529" spans="24:35" x14ac:dyDescent="0.25">
      <c r="X529" s="8" t="s">
        <v>618</v>
      </c>
      <c r="Y529" s="8" t="s">
        <v>978</v>
      </c>
      <c r="Z529" s="8" t="s">
        <v>936</v>
      </c>
      <c r="AA529" s="5">
        <v>4</v>
      </c>
      <c r="AB529" s="8" t="s">
        <v>946</v>
      </c>
      <c r="AC529" s="8" t="s">
        <v>964</v>
      </c>
      <c r="AD529" s="8" t="s">
        <v>1026</v>
      </c>
      <c r="AE529" s="8" t="s">
        <v>1026</v>
      </c>
      <c r="AF529" s="8" t="s">
        <v>1026</v>
      </c>
      <c r="AG529" s="8" t="s">
        <v>1027</v>
      </c>
      <c r="AH529" s="8" t="s">
        <v>1026</v>
      </c>
      <c r="AI529" s="8" t="s">
        <v>1026</v>
      </c>
    </row>
    <row r="530" spans="24:35" x14ac:dyDescent="0.25">
      <c r="X530" s="8" t="s">
        <v>619</v>
      </c>
      <c r="Y530" s="8" t="s">
        <v>936</v>
      </c>
      <c r="Z530" s="8" t="s">
        <v>984</v>
      </c>
      <c r="AA530" s="5">
        <v>83</v>
      </c>
      <c r="AB530" s="8" t="s">
        <v>998</v>
      </c>
      <c r="AC530" s="8" t="s">
        <v>952</v>
      </c>
      <c r="AD530" s="8" t="s">
        <v>1027</v>
      </c>
      <c r="AE530" s="8" t="s">
        <v>1027</v>
      </c>
      <c r="AF530" s="8" t="s">
        <v>1025</v>
      </c>
      <c r="AG530" s="8" t="s">
        <v>1026</v>
      </c>
      <c r="AH530" s="8" t="s">
        <v>1025</v>
      </c>
      <c r="AI530" s="8" t="s">
        <v>1027</v>
      </c>
    </row>
    <row r="531" spans="24:35" x14ac:dyDescent="0.25">
      <c r="X531" s="8" t="s">
        <v>620</v>
      </c>
      <c r="Y531" s="8" t="s">
        <v>976</v>
      </c>
      <c r="Z531" s="8" t="s">
        <v>930</v>
      </c>
      <c r="AA531" s="5">
        <v>21</v>
      </c>
      <c r="AB531" s="8" t="s">
        <v>984</v>
      </c>
      <c r="AC531" s="8" t="s">
        <v>943</v>
      </c>
      <c r="AD531" s="8" t="s">
        <v>1026</v>
      </c>
      <c r="AE531" s="8" t="s">
        <v>1026</v>
      </c>
      <c r="AF531" s="8" t="s">
        <v>1027</v>
      </c>
      <c r="AG531" s="8" t="s">
        <v>1027</v>
      </c>
      <c r="AH531" s="8" t="s">
        <v>1026</v>
      </c>
      <c r="AI531" s="8" t="s">
        <v>1026</v>
      </c>
    </row>
    <row r="532" spans="24:35" x14ac:dyDescent="0.25">
      <c r="X532" s="8" t="s">
        <v>621</v>
      </c>
      <c r="Y532" s="8" t="s">
        <v>935</v>
      </c>
      <c r="Z532" s="8" t="s">
        <v>944</v>
      </c>
      <c r="AA532" s="5">
        <v>64</v>
      </c>
      <c r="AB532" s="8" t="s">
        <v>921</v>
      </c>
      <c r="AC532" s="8" t="s">
        <v>930</v>
      </c>
      <c r="AD532" s="8" t="s">
        <v>1026</v>
      </c>
      <c r="AE532" s="8" t="s">
        <v>1026</v>
      </c>
      <c r="AF532" s="8" t="s">
        <v>1026</v>
      </c>
      <c r="AG532" s="8" t="s">
        <v>1026</v>
      </c>
      <c r="AH532" s="8" t="s">
        <v>1027</v>
      </c>
      <c r="AI532" s="8" t="s">
        <v>1026</v>
      </c>
    </row>
    <row r="533" spans="24:35" x14ac:dyDescent="0.25">
      <c r="X533" s="8" t="s">
        <v>622</v>
      </c>
      <c r="Y533" s="8" t="s">
        <v>1009</v>
      </c>
      <c r="Z533" s="8" t="s">
        <v>970</v>
      </c>
      <c r="AA533" s="5">
        <v>66</v>
      </c>
      <c r="AB533" s="8" t="s">
        <v>926</v>
      </c>
      <c r="AC533" s="8" t="s">
        <v>965</v>
      </c>
      <c r="AD533" s="8" t="s">
        <v>1026</v>
      </c>
      <c r="AE533" s="8" t="s">
        <v>1026</v>
      </c>
      <c r="AF533" s="8" t="s">
        <v>1026</v>
      </c>
      <c r="AG533" s="8" t="s">
        <v>1026</v>
      </c>
      <c r="AH533" s="8" t="s">
        <v>1026</v>
      </c>
      <c r="AI533" s="8" t="s">
        <v>1026</v>
      </c>
    </row>
    <row r="534" spans="24:35" x14ac:dyDescent="0.25">
      <c r="X534" s="8" t="s">
        <v>623</v>
      </c>
      <c r="Y534" s="8" t="s">
        <v>922</v>
      </c>
      <c r="Z534" s="8" t="s">
        <v>981</v>
      </c>
      <c r="AA534" s="5">
        <v>77</v>
      </c>
      <c r="AB534" s="8" t="s">
        <v>952</v>
      </c>
      <c r="AC534" s="8" t="s">
        <v>987</v>
      </c>
      <c r="AD534" s="8" t="s">
        <v>1026</v>
      </c>
      <c r="AE534" s="8" t="s">
        <v>1026</v>
      </c>
      <c r="AF534" s="8" t="s">
        <v>1027</v>
      </c>
      <c r="AG534" s="8" t="s">
        <v>1026</v>
      </c>
      <c r="AH534" s="8" t="s">
        <v>1026</v>
      </c>
      <c r="AI534" s="8" t="s">
        <v>1026</v>
      </c>
    </row>
    <row r="535" spans="24:35" x14ac:dyDescent="0.25">
      <c r="X535" s="8" t="s">
        <v>624</v>
      </c>
      <c r="Y535" s="8" t="s">
        <v>994</v>
      </c>
      <c r="Z535" s="8" t="s">
        <v>948</v>
      </c>
      <c r="AA535" s="5">
        <v>32</v>
      </c>
      <c r="AB535" s="8" t="s">
        <v>1010</v>
      </c>
      <c r="AC535" s="8" t="s">
        <v>1010</v>
      </c>
      <c r="AD535" s="8" t="s">
        <v>1027</v>
      </c>
      <c r="AE535" s="8" t="s">
        <v>1026</v>
      </c>
      <c r="AF535" s="8" t="s">
        <v>1027</v>
      </c>
      <c r="AG535" s="8" t="s">
        <v>1026</v>
      </c>
      <c r="AH535" s="8" t="s">
        <v>1026</v>
      </c>
      <c r="AI535" s="8" t="s">
        <v>1026</v>
      </c>
    </row>
    <row r="536" spans="24:35" x14ac:dyDescent="0.25">
      <c r="X536" s="8" t="s">
        <v>625</v>
      </c>
      <c r="Y536" s="8" t="s">
        <v>926</v>
      </c>
      <c r="Z536" s="8" t="s">
        <v>930</v>
      </c>
      <c r="AA536" s="5">
        <v>73</v>
      </c>
      <c r="AB536" s="8" t="s">
        <v>937</v>
      </c>
      <c r="AC536" s="8" t="s">
        <v>942</v>
      </c>
      <c r="AD536" s="8" t="s">
        <v>1027</v>
      </c>
      <c r="AE536" s="8" t="s">
        <v>1027</v>
      </c>
      <c r="AF536" s="8" t="s">
        <v>1026</v>
      </c>
      <c r="AG536" s="8" t="s">
        <v>1027</v>
      </c>
      <c r="AH536" s="8" t="s">
        <v>1027</v>
      </c>
      <c r="AI536" s="8" t="s">
        <v>1026</v>
      </c>
    </row>
    <row r="537" spans="24:35" x14ac:dyDescent="0.25">
      <c r="X537" s="8" t="s">
        <v>626</v>
      </c>
      <c r="Y537" s="8" t="s">
        <v>942</v>
      </c>
      <c r="Z537" s="8" t="s">
        <v>952</v>
      </c>
      <c r="AA537" s="5">
        <v>34</v>
      </c>
      <c r="AB537" s="8" t="s">
        <v>922</v>
      </c>
      <c r="AC537" s="8" t="s">
        <v>979</v>
      </c>
      <c r="AD537" s="8" t="s">
        <v>1027</v>
      </c>
      <c r="AE537" s="8" t="s">
        <v>1026</v>
      </c>
      <c r="AF537" s="8" t="s">
        <v>1026</v>
      </c>
      <c r="AG537" s="8" t="s">
        <v>1027</v>
      </c>
      <c r="AH537" s="8" t="s">
        <v>1026</v>
      </c>
      <c r="AI537" s="8" t="s">
        <v>1026</v>
      </c>
    </row>
    <row r="538" spans="24:35" x14ac:dyDescent="0.25">
      <c r="X538" s="8" t="s">
        <v>627</v>
      </c>
      <c r="Y538" s="8" t="s">
        <v>960</v>
      </c>
      <c r="Z538" s="8" t="s">
        <v>958</v>
      </c>
      <c r="AA538" s="5">
        <v>39</v>
      </c>
      <c r="AB538" s="8" t="s">
        <v>947</v>
      </c>
      <c r="AC538" s="8" t="s">
        <v>937</v>
      </c>
      <c r="AD538" s="8" t="s">
        <v>1025</v>
      </c>
      <c r="AE538" s="8" t="s">
        <v>1027</v>
      </c>
      <c r="AF538" s="8" t="s">
        <v>1026</v>
      </c>
      <c r="AG538" s="8" t="s">
        <v>1027</v>
      </c>
      <c r="AH538" s="8" t="s">
        <v>1026</v>
      </c>
      <c r="AI538" s="8" t="s">
        <v>1026</v>
      </c>
    </row>
    <row r="539" spans="24:35" x14ac:dyDescent="0.25">
      <c r="X539" s="8" t="s">
        <v>628</v>
      </c>
      <c r="Y539" s="8" t="s">
        <v>923</v>
      </c>
      <c r="Z539" s="8" t="s">
        <v>963</v>
      </c>
      <c r="AA539" s="5">
        <v>81</v>
      </c>
      <c r="AB539" s="8" t="s">
        <v>983</v>
      </c>
      <c r="AC539" s="8" t="s">
        <v>926</v>
      </c>
      <c r="AD539" s="8" t="s">
        <v>1026</v>
      </c>
      <c r="AE539" s="8" t="s">
        <v>1026</v>
      </c>
      <c r="AF539" s="8" t="s">
        <v>1027</v>
      </c>
      <c r="AG539" s="8" t="s">
        <v>1026</v>
      </c>
      <c r="AH539" s="8" t="s">
        <v>1027</v>
      </c>
      <c r="AI539" s="8" t="s">
        <v>1026</v>
      </c>
    </row>
    <row r="540" spans="24:35" x14ac:dyDescent="0.25">
      <c r="X540" s="8" t="s">
        <v>629</v>
      </c>
      <c r="Y540" s="8" t="s">
        <v>943</v>
      </c>
      <c r="Z540" s="8" t="s">
        <v>975</v>
      </c>
      <c r="AA540" s="5">
        <v>37</v>
      </c>
      <c r="AB540" s="8" t="s">
        <v>927</v>
      </c>
      <c r="AC540" s="8" t="s">
        <v>950</v>
      </c>
      <c r="AD540" s="8" t="s">
        <v>1026</v>
      </c>
      <c r="AE540" s="8" t="s">
        <v>1027</v>
      </c>
      <c r="AF540" s="8" t="s">
        <v>1027</v>
      </c>
      <c r="AG540" s="8" t="s">
        <v>1026</v>
      </c>
      <c r="AH540" s="8" t="s">
        <v>1026</v>
      </c>
      <c r="AI540" s="8" t="s">
        <v>1026</v>
      </c>
    </row>
    <row r="541" spans="24:35" x14ac:dyDescent="0.25">
      <c r="X541" s="8" t="s">
        <v>630</v>
      </c>
      <c r="Y541" s="8" t="s">
        <v>925</v>
      </c>
      <c r="Z541" s="8" t="s">
        <v>987</v>
      </c>
      <c r="AA541" s="5">
        <v>72</v>
      </c>
      <c r="AB541" s="8" t="s">
        <v>943</v>
      </c>
      <c r="AC541" s="8" t="s">
        <v>937</v>
      </c>
      <c r="AD541" s="8" t="s">
        <v>1027</v>
      </c>
      <c r="AE541" s="8" t="s">
        <v>1025</v>
      </c>
      <c r="AF541" s="8" t="s">
        <v>1026</v>
      </c>
      <c r="AG541" s="8" t="s">
        <v>1025</v>
      </c>
      <c r="AH541" s="8" t="s">
        <v>1027</v>
      </c>
      <c r="AI541" s="8" t="s">
        <v>1026</v>
      </c>
    </row>
    <row r="542" spans="24:35" x14ac:dyDescent="0.25">
      <c r="X542" s="8" t="s">
        <v>631</v>
      </c>
      <c r="Y542" s="8" t="s">
        <v>946</v>
      </c>
      <c r="Z542" s="8" t="s">
        <v>991</v>
      </c>
      <c r="AA542" s="5">
        <v>69</v>
      </c>
      <c r="AB542" s="8" t="s">
        <v>960</v>
      </c>
      <c r="AC542" s="8" t="s">
        <v>943</v>
      </c>
      <c r="AD542" s="8" t="s">
        <v>1026</v>
      </c>
      <c r="AE542" s="8" t="s">
        <v>1026</v>
      </c>
      <c r="AF542" s="8" t="s">
        <v>1026</v>
      </c>
      <c r="AG542" s="8" t="s">
        <v>1026</v>
      </c>
      <c r="AH542" s="8" t="s">
        <v>1026</v>
      </c>
      <c r="AI542" s="8" t="s">
        <v>1026</v>
      </c>
    </row>
    <row r="543" spans="24:35" x14ac:dyDescent="0.25">
      <c r="X543" s="8" t="s">
        <v>632</v>
      </c>
      <c r="Y543" s="8" t="s">
        <v>930</v>
      </c>
      <c r="Z543" s="8" t="s">
        <v>960</v>
      </c>
      <c r="AA543" s="5">
        <v>46</v>
      </c>
      <c r="AB543" s="8" t="s">
        <v>992</v>
      </c>
      <c r="AC543" s="8" t="s">
        <v>975</v>
      </c>
      <c r="AD543" s="8" t="s">
        <v>1027</v>
      </c>
      <c r="AE543" s="8" t="s">
        <v>1025</v>
      </c>
      <c r="AF543" s="8" t="s">
        <v>1026</v>
      </c>
      <c r="AG543" s="8" t="s">
        <v>1027</v>
      </c>
      <c r="AH543" s="8" t="s">
        <v>1026</v>
      </c>
      <c r="AI543" s="8" t="s">
        <v>1026</v>
      </c>
    </row>
    <row r="544" spans="24:35" x14ac:dyDescent="0.25">
      <c r="X544" s="8" t="s">
        <v>633</v>
      </c>
      <c r="Y544" s="8" t="s">
        <v>940</v>
      </c>
      <c r="Z544" s="8" t="s">
        <v>996</v>
      </c>
      <c r="AA544" s="5">
        <v>60</v>
      </c>
      <c r="AB544" s="8" t="s">
        <v>1013</v>
      </c>
      <c r="AC544" s="8" t="s">
        <v>975</v>
      </c>
      <c r="AD544" s="8" t="s">
        <v>1027</v>
      </c>
      <c r="AE544" s="8" t="s">
        <v>1026</v>
      </c>
      <c r="AF544" s="8" t="s">
        <v>1025</v>
      </c>
      <c r="AG544" s="8" t="s">
        <v>1028</v>
      </c>
      <c r="AH544" s="8" t="s">
        <v>1026</v>
      </c>
      <c r="AI544" s="8" t="s">
        <v>1026</v>
      </c>
    </row>
    <row r="545" spans="24:35" x14ac:dyDescent="0.25">
      <c r="X545" s="8" t="s">
        <v>634</v>
      </c>
      <c r="Y545" s="8" t="s">
        <v>921</v>
      </c>
      <c r="Z545" s="8" t="s">
        <v>952</v>
      </c>
      <c r="AA545" s="5">
        <v>43</v>
      </c>
      <c r="AB545" s="8" t="s">
        <v>995</v>
      </c>
      <c r="AC545" s="8" t="s">
        <v>980</v>
      </c>
      <c r="AD545" s="8" t="s">
        <v>1025</v>
      </c>
      <c r="AE545" s="8" t="s">
        <v>1025</v>
      </c>
      <c r="AF545" s="8" t="s">
        <v>1027</v>
      </c>
      <c r="AG545" s="8" t="s">
        <v>1027</v>
      </c>
      <c r="AH545" s="8" t="s">
        <v>1026</v>
      </c>
      <c r="AI545" s="8" t="s">
        <v>1026</v>
      </c>
    </row>
    <row r="546" spans="24:35" x14ac:dyDescent="0.25">
      <c r="X546" s="8" t="s">
        <v>635</v>
      </c>
      <c r="Y546" s="8" t="s">
        <v>930</v>
      </c>
      <c r="Z546" s="8" t="s">
        <v>960</v>
      </c>
      <c r="AA546" s="5">
        <v>45</v>
      </c>
      <c r="AB546" s="8" t="s">
        <v>984</v>
      </c>
      <c r="AC546" s="8" t="s">
        <v>955</v>
      </c>
      <c r="AD546" s="8" t="s">
        <v>1027</v>
      </c>
      <c r="AE546" s="8" t="s">
        <v>1026</v>
      </c>
      <c r="AF546" s="8" t="s">
        <v>1026</v>
      </c>
      <c r="AG546" s="8" t="s">
        <v>1027</v>
      </c>
      <c r="AH546" s="8" t="s">
        <v>1027</v>
      </c>
      <c r="AI546" s="8" t="s">
        <v>1026</v>
      </c>
    </row>
    <row r="547" spans="24:35" x14ac:dyDescent="0.25">
      <c r="X547" s="8" t="s">
        <v>636</v>
      </c>
      <c r="Y547" s="8" t="s">
        <v>938</v>
      </c>
      <c r="Z547" s="8" t="s">
        <v>1011</v>
      </c>
      <c r="AA547" s="5">
        <v>25</v>
      </c>
      <c r="AB547" s="8" t="s">
        <v>964</v>
      </c>
      <c r="AC547" s="8" t="s">
        <v>959</v>
      </c>
      <c r="AD547" s="8" t="s">
        <v>1025</v>
      </c>
      <c r="AE547" s="8" t="s">
        <v>1027</v>
      </c>
      <c r="AF547" s="8" t="s">
        <v>1025</v>
      </c>
      <c r="AG547" s="8" t="s">
        <v>1028</v>
      </c>
      <c r="AH547" s="8" t="s">
        <v>1026</v>
      </c>
      <c r="AI547" s="8" t="s">
        <v>1026</v>
      </c>
    </row>
    <row r="548" spans="24:35" x14ac:dyDescent="0.25">
      <c r="X548" s="8" t="s">
        <v>637</v>
      </c>
      <c r="Y548" s="8" t="s">
        <v>928</v>
      </c>
      <c r="Z548" s="8" t="s">
        <v>983</v>
      </c>
      <c r="AA548" s="5">
        <v>66</v>
      </c>
      <c r="AB548" s="8" t="s">
        <v>956</v>
      </c>
      <c r="AC548" s="8" t="s">
        <v>960</v>
      </c>
      <c r="AD548" s="8" t="s">
        <v>1025</v>
      </c>
      <c r="AE548" s="8" t="s">
        <v>1028</v>
      </c>
      <c r="AF548" s="8" t="s">
        <v>1027</v>
      </c>
      <c r="AG548" s="8" t="s">
        <v>1026</v>
      </c>
      <c r="AH548" s="8" t="s">
        <v>1027</v>
      </c>
      <c r="AI548" s="8" t="s">
        <v>1025</v>
      </c>
    </row>
    <row r="549" spans="24:35" x14ac:dyDescent="0.25">
      <c r="X549" s="8" t="s">
        <v>638</v>
      </c>
      <c r="Y549" s="8" t="s">
        <v>978</v>
      </c>
      <c r="Z549" s="8" t="s">
        <v>926</v>
      </c>
      <c r="AA549" s="5">
        <v>59</v>
      </c>
      <c r="AB549" s="8" t="s">
        <v>993</v>
      </c>
      <c r="AC549" s="8" t="s">
        <v>927</v>
      </c>
      <c r="AD549" s="8" t="s">
        <v>1027</v>
      </c>
      <c r="AE549" s="8" t="s">
        <v>1026</v>
      </c>
      <c r="AF549" s="8" t="s">
        <v>1027</v>
      </c>
      <c r="AG549" s="8" t="s">
        <v>1026</v>
      </c>
      <c r="AH549" s="8" t="s">
        <v>1027</v>
      </c>
      <c r="AI549" s="8" t="s">
        <v>1026</v>
      </c>
    </row>
    <row r="550" spans="24:35" x14ac:dyDescent="0.25">
      <c r="X550" s="8" t="s">
        <v>639</v>
      </c>
      <c r="Y550" s="8" t="s">
        <v>979</v>
      </c>
      <c r="Z550" s="8" t="s">
        <v>927</v>
      </c>
      <c r="AA550" s="5">
        <v>74</v>
      </c>
      <c r="AB550" s="8" t="s">
        <v>940</v>
      </c>
      <c r="AC550" s="8" t="s">
        <v>1007</v>
      </c>
      <c r="AD550" s="8" t="s">
        <v>1026</v>
      </c>
      <c r="AE550" s="8" t="s">
        <v>1026</v>
      </c>
      <c r="AF550" s="8" t="s">
        <v>1026</v>
      </c>
      <c r="AG550" s="8" t="s">
        <v>1027</v>
      </c>
      <c r="AH550" s="8" t="s">
        <v>1026</v>
      </c>
      <c r="AI550" s="8" t="s">
        <v>1026</v>
      </c>
    </row>
    <row r="551" spans="24:35" x14ac:dyDescent="0.25">
      <c r="X551" s="8" t="s">
        <v>640</v>
      </c>
      <c r="Y551" s="8" t="s">
        <v>969</v>
      </c>
      <c r="Z551" s="8" t="s">
        <v>971</v>
      </c>
      <c r="AA551" s="5">
        <v>44</v>
      </c>
      <c r="AB551" s="8" t="s">
        <v>943</v>
      </c>
      <c r="AC551" s="8" t="s">
        <v>973</v>
      </c>
      <c r="AD551" s="8" t="s">
        <v>1025</v>
      </c>
      <c r="AE551" s="8" t="s">
        <v>1026</v>
      </c>
      <c r="AF551" s="8" t="s">
        <v>1026</v>
      </c>
      <c r="AG551" s="8" t="s">
        <v>1027</v>
      </c>
      <c r="AH551" s="8" t="s">
        <v>1026</v>
      </c>
      <c r="AI551" s="8" t="s">
        <v>1026</v>
      </c>
    </row>
    <row r="552" spans="24:35" x14ac:dyDescent="0.25">
      <c r="X552" s="8" t="s">
        <v>641</v>
      </c>
      <c r="Y552" s="8" t="s">
        <v>956</v>
      </c>
      <c r="Z552" s="8" t="s">
        <v>972</v>
      </c>
      <c r="AA552" s="5">
        <v>49</v>
      </c>
      <c r="AB552" s="8" t="s">
        <v>992</v>
      </c>
      <c r="AC552" s="8" t="s">
        <v>967</v>
      </c>
      <c r="AD552" s="8" t="s">
        <v>1027</v>
      </c>
      <c r="AE552" s="8" t="s">
        <v>1026</v>
      </c>
      <c r="AF552" s="8" t="s">
        <v>1026</v>
      </c>
      <c r="AG552" s="8" t="s">
        <v>1025</v>
      </c>
      <c r="AH552" s="8" t="s">
        <v>1025</v>
      </c>
      <c r="AI552" s="8" t="s">
        <v>1026</v>
      </c>
    </row>
    <row r="553" spans="24:35" x14ac:dyDescent="0.25">
      <c r="X553" s="8" t="s">
        <v>642</v>
      </c>
      <c r="Y553" s="8" t="s">
        <v>997</v>
      </c>
      <c r="Z553" s="8" t="s">
        <v>965</v>
      </c>
      <c r="AA553" s="5">
        <v>3</v>
      </c>
      <c r="AB553" s="8" t="s">
        <v>1000</v>
      </c>
      <c r="AC553" s="8" t="s">
        <v>932</v>
      </c>
      <c r="AD553" s="8" t="s">
        <v>1025</v>
      </c>
      <c r="AE553" s="8" t="s">
        <v>1026</v>
      </c>
      <c r="AF553" s="8" t="s">
        <v>1026</v>
      </c>
      <c r="AG553" s="8" t="s">
        <v>1027</v>
      </c>
      <c r="AH553" s="8" t="s">
        <v>1026</v>
      </c>
      <c r="AI553" s="8" t="s">
        <v>1026</v>
      </c>
    </row>
    <row r="554" spans="24:35" x14ac:dyDescent="0.25">
      <c r="X554" s="8" t="s">
        <v>643</v>
      </c>
      <c r="Y554" s="8" t="s">
        <v>962</v>
      </c>
      <c r="Z554" s="8" t="s">
        <v>990</v>
      </c>
      <c r="AA554" s="5">
        <v>84</v>
      </c>
      <c r="AB554" s="8" t="s">
        <v>926</v>
      </c>
      <c r="AC554" s="8" t="s">
        <v>941</v>
      </c>
      <c r="AD554" s="8" t="s">
        <v>1026</v>
      </c>
      <c r="AE554" s="8" t="s">
        <v>1026</v>
      </c>
      <c r="AF554" s="8" t="s">
        <v>1026</v>
      </c>
      <c r="AG554" s="8" t="s">
        <v>1026</v>
      </c>
      <c r="AH554" s="8" t="s">
        <v>1026</v>
      </c>
      <c r="AI554" s="8" t="s">
        <v>1026</v>
      </c>
    </row>
    <row r="555" spans="24:35" x14ac:dyDescent="0.25">
      <c r="X555" s="8" t="s">
        <v>644</v>
      </c>
      <c r="Y555" s="8" t="s">
        <v>976</v>
      </c>
      <c r="Z555" s="8" t="s">
        <v>959</v>
      </c>
      <c r="AA555" s="5">
        <v>68</v>
      </c>
      <c r="AB555" s="8" t="s">
        <v>921</v>
      </c>
      <c r="AC555" s="8" t="s">
        <v>939</v>
      </c>
      <c r="AD555" s="8" t="s">
        <v>1026</v>
      </c>
      <c r="AE555" s="8" t="s">
        <v>1027</v>
      </c>
      <c r="AF555" s="8" t="s">
        <v>1027</v>
      </c>
      <c r="AG555" s="8" t="s">
        <v>1026</v>
      </c>
      <c r="AH555" s="8" t="s">
        <v>1027</v>
      </c>
      <c r="AI555" s="8" t="s">
        <v>1026</v>
      </c>
    </row>
    <row r="556" spans="24:35" x14ac:dyDescent="0.25">
      <c r="X556" s="8" t="s">
        <v>645</v>
      </c>
      <c r="Y556" s="8" t="s">
        <v>960</v>
      </c>
      <c r="Z556" s="8" t="s">
        <v>952</v>
      </c>
      <c r="AA556" s="5">
        <v>56</v>
      </c>
      <c r="AB556" s="8" t="s">
        <v>979</v>
      </c>
      <c r="AC556" s="8" t="s">
        <v>972</v>
      </c>
      <c r="AD556" s="8" t="s">
        <v>1027</v>
      </c>
      <c r="AE556" s="8" t="s">
        <v>1027</v>
      </c>
      <c r="AF556" s="8" t="s">
        <v>1027</v>
      </c>
      <c r="AG556" s="8" t="s">
        <v>1025</v>
      </c>
      <c r="AH556" s="8" t="s">
        <v>1026</v>
      </c>
      <c r="AI556" s="8" t="s">
        <v>1025</v>
      </c>
    </row>
    <row r="557" spans="24:35" x14ac:dyDescent="0.25">
      <c r="X557" s="8" t="s">
        <v>646</v>
      </c>
      <c r="Y557" s="8" t="s">
        <v>936</v>
      </c>
      <c r="Z557" s="8" t="s">
        <v>942</v>
      </c>
      <c r="AA557" s="5">
        <v>81</v>
      </c>
      <c r="AB557" s="8" t="s">
        <v>925</v>
      </c>
      <c r="AC557" s="8" t="s">
        <v>938</v>
      </c>
      <c r="AD557" s="8" t="s">
        <v>1027</v>
      </c>
      <c r="AE557" s="8" t="s">
        <v>1025</v>
      </c>
      <c r="AF557" s="8" t="s">
        <v>1027</v>
      </c>
      <c r="AG557" s="8" t="s">
        <v>1026</v>
      </c>
      <c r="AH557" s="8" t="s">
        <v>1027</v>
      </c>
      <c r="AI557" s="8" t="s">
        <v>1026</v>
      </c>
    </row>
    <row r="558" spans="24:35" x14ac:dyDescent="0.25">
      <c r="X558" s="8" t="s">
        <v>647</v>
      </c>
      <c r="Y558" s="8" t="s">
        <v>983</v>
      </c>
      <c r="Z558" s="8" t="s">
        <v>989</v>
      </c>
      <c r="AA558" s="5">
        <v>94</v>
      </c>
      <c r="AB558" s="8" t="s">
        <v>938</v>
      </c>
      <c r="AC558" s="8" t="s">
        <v>973</v>
      </c>
      <c r="AD558" s="8" t="s">
        <v>1026</v>
      </c>
      <c r="AE558" s="8" t="s">
        <v>1026</v>
      </c>
      <c r="AF558" s="8" t="s">
        <v>1025</v>
      </c>
      <c r="AG558" s="8" t="s">
        <v>1026</v>
      </c>
      <c r="AH558" s="8" t="s">
        <v>1025</v>
      </c>
      <c r="AI558" s="8" t="s">
        <v>1026</v>
      </c>
    </row>
    <row r="559" spans="24:35" x14ac:dyDescent="0.25">
      <c r="X559" s="8" t="s">
        <v>648</v>
      </c>
      <c r="Y559" s="8" t="s">
        <v>938</v>
      </c>
      <c r="Z559" s="8" t="s">
        <v>995</v>
      </c>
      <c r="AA559" s="5">
        <v>97</v>
      </c>
      <c r="AB559" s="8" t="s">
        <v>987</v>
      </c>
      <c r="AC559" s="8" t="s">
        <v>956</v>
      </c>
      <c r="AD559" s="8" t="s">
        <v>1027</v>
      </c>
      <c r="AE559" s="8" t="s">
        <v>1027</v>
      </c>
      <c r="AF559" s="8" t="s">
        <v>1026</v>
      </c>
      <c r="AG559" s="8" t="s">
        <v>1026</v>
      </c>
      <c r="AH559" s="8" t="s">
        <v>1027</v>
      </c>
      <c r="AI559" s="8" t="s">
        <v>1027</v>
      </c>
    </row>
    <row r="560" spans="24:35" x14ac:dyDescent="0.25">
      <c r="X560" s="8" t="s">
        <v>649</v>
      </c>
      <c r="Y560" s="8" t="s">
        <v>971</v>
      </c>
      <c r="Z560" s="8" t="s">
        <v>1011</v>
      </c>
      <c r="AA560" s="5">
        <v>70</v>
      </c>
      <c r="AB560" s="8" t="s">
        <v>923</v>
      </c>
      <c r="AC560" s="8" t="s">
        <v>926</v>
      </c>
      <c r="AD560" s="8" t="s">
        <v>1027</v>
      </c>
      <c r="AE560" s="8" t="s">
        <v>1025</v>
      </c>
      <c r="AF560" s="8" t="s">
        <v>1025</v>
      </c>
      <c r="AG560" s="8" t="s">
        <v>1028</v>
      </c>
      <c r="AH560" s="8" t="s">
        <v>1027</v>
      </c>
      <c r="AI560" s="8" t="s">
        <v>1026</v>
      </c>
    </row>
    <row r="561" spans="24:35" x14ac:dyDescent="0.25">
      <c r="X561" s="8" t="s">
        <v>650</v>
      </c>
      <c r="Y561" s="8" t="s">
        <v>955</v>
      </c>
      <c r="Z561" s="8" t="s">
        <v>940</v>
      </c>
      <c r="AA561" s="5">
        <v>49</v>
      </c>
      <c r="AB561" s="8" t="s">
        <v>1010</v>
      </c>
      <c r="AC561" s="8" t="s">
        <v>984</v>
      </c>
      <c r="AD561" s="8" t="s">
        <v>1027</v>
      </c>
      <c r="AE561" s="8" t="s">
        <v>1026</v>
      </c>
      <c r="AF561" s="8" t="s">
        <v>1025</v>
      </c>
      <c r="AG561" s="8" t="s">
        <v>1026</v>
      </c>
      <c r="AH561" s="8" t="s">
        <v>1026</v>
      </c>
      <c r="AI561" s="8" t="s">
        <v>1026</v>
      </c>
    </row>
    <row r="562" spans="24:35" x14ac:dyDescent="0.25">
      <c r="X562" s="8" t="s">
        <v>651</v>
      </c>
      <c r="Y562" s="8" t="s">
        <v>958</v>
      </c>
      <c r="Z562" s="8" t="s">
        <v>974</v>
      </c>
      <c r="AA562" s="5">
        <v>69</v>
      </c>
      <c r="AB562" s="8" t="s">
        <v>975</v>
      </c>
      <c r="AC562" s="8" t="s">
        <v>942</v>
      </c>
      <c r="AD562" s="8" t="s">
        <v>1026</v>
      </c>
      <c r="AE562" s="8" t="s">
        <v>1027</v>
      </c>
      <c r="AF562" s="8" t="s">
        <v>1025</v>
      </c>
      <c r="AG562" s="8" t="s">
        <v>1026</v>
      </c>
      <c r="AH562" s="8" t="s">
        <v>1027</v>
      </c>
      <c r="AI562" s="8" t="s">
        <v>1025</v>
      </c>
    </row>
    <row r="563" spans="24:35" x14ac:dyDescent="0.25">
      <c r="X563" s="8" t="s">
        <v>652</v>
      </c>
      <c r="Y563" s="8" t="s">
        <v>967</v>
      </c>
      <c r="Z563" s="8" t="s">
        <v>936</v>
      </c>
      <c r="AA563" s="5">
        <v>11</v>
      </c>
      <c r="AB563" s="8" t="s">
        <v>990</v>
      </c>
      <c r="AC563" s="8" t="s">
        <v>950</v>
      </c>
      <c r="AD563" s="8" t="s">
        <v>1026</v>
      </c>
      <c r="AE563" s="8" t="s">
        <v>1027</v>
      </c>
      <c r="AF563" s="8" t="s">
        <v>1026</v>
      </c>
      <c r="AG563" s="8" t="s">
        <v>1027</v>
      </c>
      <c r="AH563" s="8" t="s">
        <v>1026</v>
      </c>
      <c r="AI563" s="8" t="s">
        <v>1026</v>
      </c>
    </row>
    <row r="564" spans="24:35" x14ac:dyDescent="0.25">
      <c r="X564" s="8" t="s">
        <v>653</v>
      </c>
      <c r="Y564" s="8" t="s">
        <v>993</v>
      </c>
      <c r="Z564" s="8" t="s">
        <v>1013</v>
      </c>
      <c r="AA564" s="5">
        <v>70</v>
      </c>
      <c r="AB564" s="8" t="s">
        <v>960</v>
      </c>
      <c r="AC564" s="8" t="s">
        <v>949</v>
      </c>
      <c r="AD564" s="8" t="s">
        <v>1026</v>
      </c>
      <c r="AE564" s="8" t="s">
        <v>1026</v>
      </c>
      <c r="AF564" s="8" t="s">
        <v>1026</v>
      </c>
      <c r="AG564" s="8" t="s">
        <v>1026</v>
      </c>
      <c r="AH564" s="8" t="s">
        <v>1027</v>
      </c>
      <c r="AI564" s="8" t="s">
        <v>1027</v>
      </c>
    </row>
    <row r="565" spans="24:35" x14ac:dyDescent="0.25">
      <c r="X565" s="8" t="s">
        <v>654</v>
      </c>
      <c r="Y565" s="8" t="s">
        <v>953</v>
      </c>
      <c r="Z565" s="8" t="s">
        <v>958</v>
      </c>
      <c r="AA565" s="5">
        <v>39</v>
      </c>
      <c r="AB565" s="8" t="s">
        <v>970</v>
      </c>
      <c r="AC565" s="8" t="s">
        <v>1013</v>
      </c>
      <c r="AD565" s="8" t="s">
        <v>1026</v>
      </c>
      <c r="AE565" s="8" t="s">
        <v>1025</v>
      </c>
      <c r="AF565" s="8" t="s">
        <v>1026</v>
      </c>
      <c r="AG565" s="8" t="s">
        <v>1026</v>
      </c>
      <c r="AH565" s="8" t="s">
        <v>1026</v>
      </c>
      <c r="AI565" s="8" t="s">
        <v>1026</v>
      </c>
    </row>
    <row r="566" spans="24:35" x14ac:dyDescent="0.25">
      <c r="X566" s="8" t="s">
        <v>655</v>
      </c>
      <c r="Y566" s="8" t="s">
        <v>960</v>
      </c>
      <c r="Z566" s="8" t="s">
        <v>933</v>
      </c>
      <c r="AA566" s="5">
        <v>84</v>
      </c>
      <c r="AB566" s="8" t="s">
        <v>928</v>
      </c>
      <c r="AC566" s="8" t="s">
        <v>926</v>
      </c>
      <c r="AD566" s="8" t="s">
        <v>1026</v>
      </c>
      <c r="AE566" s="8" t="s">
        <v>1026</v>
      </c>
      <c r="AF566" s="8" t="s">
        <v>1025</v>
      </c>
      <c r="AG566" s="8" t="s">
        <v>1026</v>
      </c>
      <c r="AH566" s="8" t="s">
        <v>1028</v>
      </c>
      <c r="AI566" s="8" t="s">
        <v>1025</v>
      </c>
    </row>
    <row r="567" spans="24:35" x14ac:dyDescent="0.25">
      <c r="X567" s="8" t="s">
        <v>656</v>
      </c>
      <c r="Y567" s="8" t="s">
        <v>958</v>
      </c>
      <c r="Z567" s="8" t="s">
        <v>976</v>
      </c>
      <c r="AA567" s="5">
        <v>71</v>
      </c>
      <c r="AB567" s="8" t="s">
        <v>954</v>
      </c>
      <c r="AC567" s="8" t="s">
        <v>937</v>
      </c>
      <c r="AD567" s="8" t="s">
        <v>1026</v>
      </c>
      <c r="AE567" s="8" t="s">
        <v>1025</v>
      </c>
      <c r="AF567" s="8" t="s">
        <v>1027</v>
      </c>
      <c r="AG567" s="8" t="s">
        <v>1026</v>
      </c>
      <c r="AH567" s="8" t="s">
        <v>1026</v>
      </c>
      <c r="AI567" s="8" t="s">
        <v>1025</v>
      </c>
    </row>
    <row r="568" spans="24:35" x14ac:dyDescent="0.25">
      <c r="X568" s="8" t="s">
        <v>657</v>
      </c>
      <c r="Y568" s="8" t="s">
        <v>929</v>
      </c>
      <c r="Z568" s="8" t="s">
        <v>954</v>
      </c>
      <c r="AA568" s="5">
        <v>82</v>
      </c>
      <c r="AB568" s="8" t="s">
        <v>929</v>
      </c>
      <c r="AC568" s="8" t="s">
        <v>971</v>
      </c>
      <c r="AD568" s="8" t="s">
        <v>1026</v>
      </c>
      <c r="AE568" s="8" t="s">
        <v>1028</v>
      </c>
      <c r="AF568" s="8" t="s">
        <v>1025</v>
      </c>
      <c r="AG568" s="8" t="s">
        <v>1026</v>
      </c>
      <c r="AH568" s="8" t="s">
        <v>1025</v>
      </c>
      <c r="AI568" s="8" t="s">
        <v>1026</v>
      </c>
    </row>
    <row r="569" spans="24:35" x14ac:dyDescent="0.25">
      <c r="X569" s="8" t="s">
        <v>658</v>
      </c>
      <c r="Y569" s="8" t="s">
        <v>975</v>
      </c>
      <c r="Z569" s="8" t="s">
        <v>941</v>
      </c>
      <c r="AA569" s="5">
        <v>59</v>
      </c>
      <c r="AB569" s="8" t="s">
        <v>938</v>
      </c>
      <c r="AC569" s="8" t="s">
        <v>948</v>
      </c>
      <c r="AD569" s="8" t="s">
        <v>1026</v>
      </c>
      <c r="AE569" s="8" t="s">
        <v>1026</v>
      </c>
      <c r="AF569" s="8" t="s">
        <v>1027</v>
      </c>
      <c r="AG569" s="8" t="s">
        <v>1026</v>
      </c>
      <c r="AH569" s="8" t="s">
        <v>1026</v>
      </c>
      <c r="AI569" s="8" t="s">
        <v>1027</v>
      </c>
    </row>
    <row r="570" spans="24:35" x14ac:dyDescent="0.25">
      <c r="X570" s="8" t="s">
        <v>659</v>
      </c>
      <c r="Y570" s="8" t="s">
        <v>940</v>
      </c>
      <c r="Z570" s="8" t="s">
        <v>1007</v>
      </c>
      <c r="AA570" s="5">
        <v>42</v>
      </c>
      <c r="AB570" s="8" t="s">
        <v>997</v>
      </c>
      <c r="AC570" s="8" t="s">
        <v>971</v>
      </c>
      <c r="AD570" s="8" t="s">
        <v>1027</v>
      </c>
      <c r="AE570" s="8" t="s">
        <v>1028</v>
      </c>
      <c r="AF570" s="8" t="s">
        <v>1026</v>
      </c>
      <c r="AG570" s="8" t="s">
        <v>1026</v>
      </c>
      <c r="AH570" s="8" t="s">
        <v>1026</v>
      </c>
      <c r="AI570" s="8" t="s">
        <v>1026</v>
      </c>
    </row>
    <row r="571" spans="24:35" x14ac:dyDescent="0.25">
      <c r="X571" s="8" t="s">
        <v>660</v>
      </c>
      <c r="Y571" s="8" t="s">
        <v>989</v>
      </c>
      <c r="Z571" s="8" t="s">
        <v>944</v>
      </c>
      <c r="AA571" s="5">
        <v>72</v>
      </c>
      <c r="AB571" s="8" t="s">
        <v>938</v>
      </c>
      <c r="AC571" s="8" t="s">
        <v>965</v>
      </c>
      <c r="AD571" s="8" t="s">
        <v>1026</v>
      </c>
      <c r="AE571" s="8" t="s">
        <v>1026</v>
      </c>
      <c r="AF571" s="8" t="s">
        <v>1027</v>
      </c>
      <c r="AG571" s="8" t="s">
        <v>1026</v>
      </c>
      <c r="AH571" s="8" t="s">
        <v>1025</v>
      </c>
      <c r="AI571" s="8" t="s">
        <v>1027</v>
      </c>
    </row>
    <row r="572" spans="24:35" x14ac:dyDescent="0.25">
      <c r="X572" s="8" t="s">
        <v>661</v>
      </c>
      <c r="Y572" s="8" t="s">
        <v>972</v>
      </c>
      <c r="Z572" s="8" t="s">
        <v>925</v>
      </c>
      <c r="AA572" s="5">
        <v>74</v>
      </c>
      <c r="AB572" s="8" t="s">
        <v>930</v>
      </c>
      <c r="AC572" s="8" t="s">
        <v>960</v>
      </c>
      <c r="AD572" s="8" t="s">
        <v>1027</v>
      </c>
      <c r="AE572" s="8" t="s">
        <v>1027</v>
      </c>
      <c r="AF572" s="8" t="s">
        <v>1025</v>
      </c>
      <c r="AG572" s="8" t="s">
        <v>1026</v>
      </c>
      <c r="AH572" s="8" t="s">
        <v>1025</v>
      </c>
      <c r="AI572" s="8" t="s">
        <v>1026</v>
      </c>
    </row>
    <row r="573" spans="24:35" x14ac:dyDescent="0.25">
      <c r="X573" s="8" t="s">
        <v>662</v>
      </c>
      <c r="Y573" s="8" t="s">
        <v>966</v>
      </c>
      <c r="Z573" s="8" t="s">
        <v>969</v>
      </c>
      <c r="AA573" s="5">
        <v>22</v>
      </c>
      <c r="AB573" s="8" t="s">
        <v>1008</v>
      </c>
      <c r="AC573" s="8" t="s">
        <v>993</v>
      </c>
      <c r="AD573" s="8" t="s">
        <v>1027</v>
      </c>
      <c r="AE573" s="8" t="s">
        <v>1025</v>
      </c>
      <c r="AF573" s="8" t="s">
        <v>1026</v>
      </c>
      <c r="AG573" s="8" t="s">
        <v>1026</v>
      </c>
      <c r="AH573" s="8" t="s">
        <v>1026</v>
      </c>
      <c r="AI573" s="8" t="s">
        <v>1026</v>
      </c>
    </row>
    <row r="574" spans="24:35" x14ac:dyDescent="0.25">
      <c r="X574" s="8" t="s">
        <v>663</v>
      </c>
      <c r="Y574" s="8" t="s">
        <v>937</v>
      </c>
      <c r="Z574" s="8" t="s">
        <v>965</v>
      </c>
      <c r="AA574" s="5">
        <v>24</v>
      </c>
      <c r="AB574" s="8" t="s">
        <v>1010</v>
      </c>
      <c r="AC574" s="8" t="s">
        <v>922</v>
      </c>
      <c r="AD574" s="8" t="s">
        <v>1027</v>
      </c>
      <c r="AE574" s="8" t="s">
        <v>1026</v>
      </c>
      <c r="AF574" s="8" t="s">
        <v>1026</v>
      </c>
      <c r="AG574" s="8" t="s">
        <v>1025</v>
      </c>
      <c r="AH574" s="8" t="s">
        <v>1026</v>
      </c>
      <c r="AI574" s="8" t="s">
        <v>1026</v>
      </c>
    </row>
    <row r="575" spans="24:35" x14ac:dyDescent="0.25">
      <c r="X575" s="8" t="s">
        <v>664</v>
      </c>
      <c r="Y575" s="8" t="s">
        <v>937</v>
      </c>
      <c r="Z575" s="8" t="s">
        <v>969</v>
      </c>
      <c r="AA575" s="5">
        <v>68</v>
      </c>
      <c r="AB575" s="8" t="s">
        <v>937</v>
      </c>
      <c r="AC575" s="8" t="s">
        <v>931</v>
      </c>
      <c r="AD575" s="8" t="s">
        <v>1026</v>
      </c>
      <c r="AE575" s="8" t="s">
        <v>1025</v>
      </c>
      <c r="AF575" s="8" t="s">
        <v>1027</v>
      </c>
      <c r="AG575" s="8" t="s">
        <v>1026</v>
      </c>
      <c r="AH575" s="8" t="s">
        <v>1026</v>
      </c>
      <c r="AI575" s="8" t="s">
        <v>1026</v>
      </c>
    </row>
    <row r="576" spans="24:35" x14ac:dyDescent="0.25">
      <c r="X576" s="8" t="s">
        <v>665</v>
      </c>
      <c r="Y576" s="8" t="s">
        <v>985</v>
      </c>
      <c r="Z576" s="8" t="s">
        <v>972</v>
      </c>
      <c r="AA576" s="5">
        <v>54</v>
      </c>
      <c r="AB576" s="8" t="s">
        <v>978</v>
      </c>
      <c r="AC576" s="8" t="s">
        <v>969</v>
      </c>
      <c r="AD576" s="8" t="s">
        <v>1025</v>
      </c>
      <c r="AE576" s="8" t="s">
        <v>1025</v>
      </c>
      <c r="AF576" s="8" t="s">
        <v>1026</v>
      </c>
      <c r="AG576" s="8" t="s">
        <v>1026</v>
      </c>
      <c r="AH576" s="8" t="s">
        <v>1028</v>
      </c>
      <c r="AI576" s="8" t="s">
        <v>1026</v>
      </c>
    </row>
    <row r="577" spans="24:35" x14ac:dyDescent="0.25">
      <c r="X577" s="8" t="s">
        <v>666</v>
      </c>
      <c r="Y577" s="8" t="s">
        <v>969</v>
      </c>
      <c r="Z577" s="8" t="s">
        <v>945</v>
      </c>
      <c r="AA577" s="5">
        <v>82</v>
      </c>
      <c r="AB577" s="8" t="s">
        <v>965</v>
      </c>
      <c r="AC577" s="8" t="s">
        <v>1010</v>
      </c>
      <c r="AD577" s="8" t="s">
        <v>1026</v>
      </c>
      <c r="AE577" s="8" t="s">
        <v>1027</v>
      </c>
      <c r="AF577" s="8" t="s">
        <v>1027</v>
      </c>
      <c r="AG577" s="8" t="s">
        <v>1026</v>
      </c>
      <c r="AH577" s="8" t="s">
        <v>1027</v>
      </c>
      <c r="AI577" s="8" t="s">
        <v>1026</v>
      </c>
    </row>
    <row r="578" spans="24:35" x14ac:dyDescent="0.25">
      <c r="X578" s="8" t="s">
        <v>667</v>
      </c>
      <c r="Y578" s="8" t="s">
        <v>948</v>
      </c>
      <c r="Z578" s="8" t="s">
        <v>969</v>
      </c>
      <c r="AA578" s="5">
        <v>61</v>
      </c>
      <c r="AB578" s="8" t="s">
        <v>955</v>
      </c>
      <c r="AC578" s="8" t="s">
        <v>954</v>
      </c>
      <c r="AD578" s="8" t="s">
        <v>1025</v>
      </c>
      <c r="AE578" s="8" t="s">
        <v>1026</v>
      </c>
      <c r="AF578" s="8" t="s">
        <v>1026</v>
      </c>
      <c r="AG578" s="8" t="s">
        <v>1027</v>
      </c>
      <c r="AH578" s="8" t="s">
        <v>1025</v>
      </c>
      <c r="AI578" s="8" t="s">
        <v>1026</v>
      </c>
    </row>
    <row r="579" spans="24:35" x14ac:dyDescent="0.25">
      <c r="X579" s="8" t="s">
        <v>668</v>
      </c>
      <c r="Y579" s="8" t="s">
        <v>961</v>
      </c>
      <c r="Z579" s="8" t="s">
        <v>954</v>
      </c>
      <c r="AA579" s="5">
        <v>84</v>
      </c>
      <c r="AB579" s="8" t="s">
        <v>1007</v>
      </c>
      <c r="AC579" s="8" t="s">
        <v>1014</v>
      </c>
      <c r="AD579" s="8" t="s">
        <v>1028</v>
      </c>
      <c r="AE579" s="8" t="s">
        <v>1027</v>
      </c>
      <c r="AF579" s="8" t="s">
        <v>1028</v>
      </c>
      <c r="AG579" s="8" t="s">
        <v>1025</v>
      </c>
      <c r="AH579" s="8" t="s">
        <v>1027</v>
      </c>
      <c r="AI579" s="8" t="s">
        <v>1025</v>
      </c>
    </row>
    <row r="580" spans="24:35" x14ac:dyDescent="0.25">
      <c r="X580" s="8" t="s">
        <v>669</v>
      </c>
      <c r="Y580" s="8" t="s">
        <v>1008</v>
      </c>
      <c r="Z580" s="8" t="s">
        <v>935</v>
      </c>
      <c r="AA580" s="5">
        <v>76</v>
      </c>
      <c r="AB580" s="8" t="s">
        <v>976</v>
      </c>
      <c r="AC580" s="8" t="s">
        <v>997</v>
      </c>
      <c r="AD580" s="8" t="s">
        <v>1026</v>
      </c>
      <c r="AE580" s="8" t="s">
        <v>1026</v>
      </c>
      <c r="AF580" s="8" t="s">
        <v>1026</v>
      </c>
      <c r="AG580" s="8" t="s">
        <v>1026</v>
      </c>
      <c r="AH580" s="8" t="s">
        <v>1026</v>
      </c>
      <c r="AI580" s="8" t="s">
        <v>1026</v>
      </c>
    </row>
    <row r="581" spans="24:35" x14ac:dyDescent="0.25">
      <c r="X581" s="8" t="s">
        <v>670</v>
      </c>
      <c r="Y581" s="8" t="s">
        <v>969</v>
      </c>
      <c r="Z581" s="8" t="s">
        <v>960</v>
      </c>
      <c r="AA581" s="5">
        <v>38</v>
      </c>
      <c r="AB581" s="8" t="s">
        <v>963</v>
      </c>
      <c r="AC581" s="8" t="s">
        <v>992</v>
      </c>
      <c r="AD581" s="8" t="s">
        <v>1027</v>
      </c>
      <c r="AE581" s="8" t="s">
        <v>1027</v>
      </c>
      <c r="AF581" s="8" t="s">
        <v>1027</v>
      </c>
      <c r="AG581" s="8" t="s">
        <v>1027</v>
      </c>
      <c r="AH581" s="8" t="s">
        <v>1026</v>
      </c>
      <c r="AI581" s="8" t="s">
        <v>1026</v>
      </c>
    </row>
    <row r="582" spans="24:35" x14ac:dyDescent="0.25">
      <c r="X582" s="8" t="s">
        <v>671</v>
      </c>
      <c r="Y582" s="8" t="s">
        <v>942</v>
      </c>
      <c r="Z582" s="8" t="s">
        <v>969</v>
      </c>
      <c r="AA582" s="5">
        <v>71</v>
      </c>
      <c r="AB582" s="8" t="s">
        <v>930</v>
      </c>
      <c r="AC582" s="8" t="s">
        <v>954</v>
      </c>
      <c r="AD582" s="8" t="s">
        <v>1027</v>
      </c>
      <c r="AE582" s="8" t="s">
        <v>1027</v>
      </c>
      <c r="AF582" s="8" t="s">
        <v>1027</v>
      </c>
      <c r="AG582" s="8" t="s">
        <v>1027</v>
      </c>
      <c r="AH582" s="8" t="s">
        <v>1027</v>
      </c>
      <c r="AI582" s="8" t="s">
        <v>1026</v>
      </c>
    </row>
    <row r="583" spans="24:35" x14ac:dyDescent="0.25">
      <c r="X583" s="8" t="s">
        <v>672</v>
      </c>
      <c r="Y583" s="8" t="s">
        <v>967</v>
      </c>
      <c r="Z583" s="8" t="s">
        <v>953</v>
      </c>
      <c r="AA583" s="5">
        <v>40</v>
      </c>
      <c r="AB583" s="8" t="s">
        <v>980</v>
      </c>
      <c r="AC583" s="8" t="s">
        <v>1013</v>
      </c>
      <c r="AD583" s="8" t="s">
        <v>1027</v>
      </c>
      <c r="AE583" s="8" t="s">
        <v>1026</v>
      </c>
      <c r="AF583" s="8" t="s">
        <v>1026</v>
      </c>
      <c r="AG583" s="8" t="s">
        <v>1027</v>
      </c>
      <c r="AH583" s="8" t="s">
        <v>1026</v>
      </c>
      <c r="AI583" s="8" t="s">
        <v>1026</v>
      </c>
    </row>
    <row r="584" spans="24:35" x14ac:dyDescent="0.25">
      <c r="X584" s="8" t="s">
        <v>673</v>
      </c>
      <c r="Y584" s="8" t="s">
        <v>988</v>
      </c>
      <c r="Z584" s="8" t="s">
        <v>1005</v>
      </c>
      <c r="AA584" s="5">
        <v>83</v>
      </c>
      <c r="AB584" s="8" t="s">
        <v>965</v>
      </c>
      <c r="AC584" s="8" t="s">
        <v>1016</v>
      </c>
      <c r="AD584" s="8" t="s">
        <v>1026</v>
      </c>
      <c r="AE584" s="8" t="s">
        <v>1026</v>
      </c>
      <c r="AF584" s="8" t="s">
        <v>1026</v>
      </c>
      <c r="AG584" s="8" t="s">
        <v>1026</v>
      </c>
      <c r="AH584" s="8" t="s">
        <v>1026</v>
      </c>
      <c r="AI584" s="8" t="s">
        <v>1026</v>
      </c>
    </row>
    <row r="585" spans="24:35" x14ac:dyDescent="0.25">
      <c r="X585" s="8" t="s">
        <v>674</v>
      </c>
      <c r="Y585" s="8" t="s">
        <v>942</v>
      </c>
      <c r="Z585" s="8" t="s">
        <v>954</v>
      </c>
      <c r="AA585" s="5">
        <v>58</v>
      </c>
      <c r="AB585" s="8" t="s">
        <v>975</v>
      </c>
      <c r="AC585" s="8" t="s">
        <v>992</v>
      </c>
      <c r="AD585" s="8" t="s">
        <v>1026</v>
      </c>
      <c r="AE585" s="8" t="s">
        <v>1026</v>
      </c>
      <c r="AF585" s="8" t="s">
        <v>1027</v>
      </c>
      <c r="AG585" s="8" t="s">
        <v>1025</v>
      </c>
      <c r="AH585" s="8" t="s">
        <v>1027</v>
      </c>
      <c r="AI585" s="8" t="s">
        <v>1026</v>
      </c>
    </row>
    <row r="586" spans="24:35" x14ac:dyDescent="0.25">
      <c r="X586" s="8" t="s">
        <v>675</v>
      </c>
      <c r="Y586" s="8" t="s">
        <v>1000</v>
      </c>
      <c r="Z586" s="8" t="s">
        <v>1004</v>
      </c>
      <c r="AA586" s="5">
        <v>28</v>
      </c>
      <c r="AB586" s="8" t="s">
        <v>995</v>
      </c>
      <c r="AC586" s="8" t="s">
        <v>1004</v>
      </c>
      <c r="AD586" s="8" t="s">
        <v>1026</v>
      </c>
      <c r="AE586" s="8" t="s">
        <v>1026</v>
      </c>
      <c r="AF586" s="8" t="s">
        <v>1026</v>
      </c>
      <c r="AG586" s="8" t="s">
        <v>1026</v>
      </c>
      <c r="AH586" s="8" t="s">
        <v>1026</v>
      </c>
      <c r="AI586" s="8" t="s">
        <v>1026</v>
      </c>
    </row>
    <row r="587" spans="24:35" x14ac:dyDescent="0.25">
      <c r="X587" s="8" t="s">
        <v>676</v>
      </c>
      <c r="Y587" s="8" t="s">
        <v>926</v>
      </c>
      <c r="Z587" s="8" t="s">
        <v>938</v>
      </c>
      <c r="AA587" s="5">
        <v>53</v>
      </c>
      <c r="AB587" s="8" t="s">
        <v>945</v>
      </c>
      <c r="AC587" s="8" t="s">
        <v>978</v>
      </c>
      <c r="AD587" s="8" t="s">
        <v>1026</v>
      </c>
      <c r="AE587" s="8" t="s">
        <v>1025</v>
      </c>
      <c r="AF587" s="8" t="s">
        <v>1027</v>
      </c>
      <c r="AG587" s="8" t="s">
        <v>1027</v>
      </c>
      <c r="AH587" s="8" t="s">
        <v>1026</v>
      </c>
      <c r="AI587" s="8" t="s">
        <v>1026</v>
      </c>
    </row>
    <row r="588" spans="24:35" x14ac:dyDescent="0.25">
      <c r="X588" s="8" t="s">
        <v>677</v>
      </c>
      <c r="Y588" s="8" t="s">
        <v>931</v>
      </c>
      <c r="Z588" s="8" t="s">
        <v>948</v>
      </c>
      <c r="AA588" s="5">
        <v>36</v>
      </c>
      <c r="AB588" s="8" t="s">
        <v>1013</v>
      </c>
      <c r="AC588" s="8" t="s">
        <v>947</v>
      </c>
      <c r="AD588" s="8" t="s">
        <v>1027</v>
      </c>
      <c r="AE588" s="8" t="s">
        <v>1026</v>
      </c>
      <c r="AF588" s="8" t="s">
        <v>1026</v>
      </c>
      <c r="AG588" s="8" t="s">
        <v>1027</v>
      </c>
      <c r="AH588" s="8" t="s">
        <v>1026</v>
      </c>
      <c r="AI588" s="8" t="s">
        <v>1026</v>
      </c>
    </row>
    <row r="589" spans="24:35" x14ac:dyDescent="0.25">
      <c r="X589" s="8" t="s">
        <v>678</v>
      </c>
      <c r="Y589" s="8" t="s">
        <v>926</v>
      </c>
      <c r="Z589" s="8" t="s">
        <v>953</v>
      </c>
      <c r="AA589" s="5">
        <v>68</v>
      </c>
      <c r="AB589" s="8" t="s">
        <v>937</v>
      </c>
      <c r="AC589" s="8" t="s">
        <v>955</v>
      </c>
      <c r="AD589" s="8" t="s">
        <v>1025</v>
      </c>
      <c r="AE589" s="8" t="s">
        <v>1027</v>
      </c>
      <c r="AF589" s="8" t="s">
        <v>1025</v>
      </c>
      <c r="AG589" s="8" t="s">
        <v>1027</v>
      </c>
      <c r="AH589" s="8" t="s">
        <v>1027</v>
      </c>
      <c r="AI589" s="8" t="s">
        <v>1026</v>
      </c>
    </row>
    <row r="590" spans="24:35" x14ac:dyDescent="0.25">
      <c r="X590" s="8" t="s">
        <v>679</v>
      </c>
      <c r="Y590" s="8" t="s">
        <v>923</v>
      </c>
      <c r="Z590" s="8" t="s">
        <v>997</v>
      </c>
      <c r="AA590" s="5">
        <v>19</v>
      </c>
      <c r="AB590" s="8" t="s">
        <v>968</v>
      </c>
      <c r="AC590" s="8" t="s">
        <v>990</v>
      </c>
      <c r="AD590" s="8" t="s">
        <v>1027</v>
      </c>
      <c r="AE590" s="8" t="s">
        <v>1026</v>
      </c>
      <c r="AF590" s="8" t="s">
        <v>1026</v>
      </c>
      <c r="AG590" s="8" t="s">
        <v>1026</v>
      </c>
      <c r="AH590" s="8" t="s">
        <v>1026</v>
      </c>
      <c r="AI590" s="8" t="s">
        <v>1026</v>
      </c>
    </row>
    <row r="591" spans="24:35" x14ac:dyDescent="0.25">
      <c r="X591" s="8" t="s">
        <v>680</v>
      </c>
      <c r="Y591" s="8" t="s">
        <v>942</v>
      </c>
      <c r="Z591" s="8" t="s">
        <v>966</v>
      </c>
      <c r="AA591" s="5">
        <v>83</v>
      </c>
      <c r="AB591" s="8" t="s">
        <v>938</v>
      </c>
      <c r="AC591" s="8" t="s">
        <v>936</v>
      </c>
      <c r="AD591" s="8" t="s">
        <v>1026</v>
      </c>
      <c r="AE591" s="8" t="s">
        <v>1027</v>
      </c>
      <c r="AF591" s="8" t="s">
        <v>1027</v>
      </c>
      <c r="AG591" s="8" t="s">
        <v>1027</v>
      </c>
      <c r="AH591" s="8" t="s">
        <v>1025</v>
      </c>
      <c r="AI591" s="8" t="s">
        <v>1026</v>
      </c>
    </row>
    <row r="592" spans="24:35" x14ac:dyDescent="0.25">
      <c r="X592" s="8" t="s">
        <v>681</v>
      </c>
      <c r="Y592" s="8" t="s">
        <v>930</v>
      </c>
      <c r="Z592" s="8" t="s">
        <v>953</v>
      </c>
      <c r="AA592" s="5">
        <v>31</v>
      </c>
      <c r="AB592" s="8" t="s">
        <v>946</v>
      </c>
      <c r="AC592" s="8" t="s">
        <v>955</v>
      </c>
      <c r="AD592" s="8" t="s">
        <v>1027</v>
      </c>
      <c r="AE592" s="8" t="s">
        <v>1026</v>
      </c>
      <c r="AF592" s="8" t="s">
        <v>1026</v>
      </c>
      <c r="AG592" s="8" t="s">
        <v>1027</v>
      </c>
      <c r="AH592" s="8" t="s">
        <v>1026</v>
      </c>
      <c r="AI592" s="8" t="s">
        <v>1026</v>
      </c>
    </row>
    <row r="593" spans="24:35" x14ac:dyDescent="0.25">
      <c r="X593" s="8" t="s">
        <v>682</v>
      </c>
      <c r="Y593" s="8" t="s">
        <v>994</v>
      </c>
      <c r="Z593" s="8" t="s">
        <v>937</v>
      </c>
      <c r="AA593" s="5">
        <v>52</v>
      </c>
      <c r="AB593" s="8" t="s">
        <v>945</v>
      </c>
      <c r="AC593" s="8" t="s">
        <v>943</v>
      </c>
      <c r="AD593" s="8" t="s">
        <v>1026</v>
      </c>
      <c r="AE593" s="8" t="s">
        <v>1027</v>
      </c>
      <c r="AF593" s="8" t="s">
        <v>1026</v>
      </c>
      <c r="AG593" s="8" t="s">
        <v>1026</v>
      </c>
      <c r="AH593" s="8" t="s">
        <v>1027</v>
      </c>
      <c r="AI593" s="8" t="s">
        <v>1026</v>
      </c>
    </row>
    <row r="594" spans="24:35" x14ac:dyDescent="0.25">
      <c r="X594" s="8" t="s">
        <v>683</v>
      </c>
      <c r="Y594" s="8" t="s">
        <v>956</v>
      </c>
      <c r="Z594" s="8" t="s">
        <v>938</v>
      </c>
      <c r="AA594" s="5">
        <v>51</v>
      </c>
      <c r="AB594" s="8" t="s">
        <v>993</v>
      </c>
      <c r="AC594" s="8" t="s">
        <v>931</v>
      </c>
      <c r="AD594" s="8" t="s">
        <v>1027</v>
      </c>
      <c r="AE594" s="8" t="s">
        <v>1025</v>
      </c>
      <c r="AF594" s="8" t="s">
        <v>1026</v>
      </c>
      <c r="AG594" s="8" t="s">
        <v>1027</v>
      </c>
      <c r="AH594" s="8" t="s">
        <v>1027</v>
      </c>
      <c r="AI594" s="8" t="s">
        <v>1026</v>
      </c>
    </row>
    <row r="595" spans="24:35" x14ac:dyDescent="0.25">
      <c r="X595" s="8" t="s">
        <v>684</v>
      </c>
      <c r="Y595" s="8" t="s">
        <v>937</v>
      </c>
      <c r="Z595" s="8" t="s">
        <v>926</v>
      </c>
      <c r="AA595" s="5">
        <v>36</v>
      </c>
      <c r="AB595" s="8" t="s">
        <v>1012</v>
      </c>
      <c r="AC595" s="8" t="s">
        <v>935</v>
      </c>
      <c r="AD595" s="8" t="s">
        <v>1025</v>
      </c>
      <c r="AE595" s="8" t="s">
        <v>1027</v>
      </c>
      <c r="AF595" s="8" t="s">
        <v>1026</v>
      </c>
      <c r="AG595" s="8" t="s">
        <v>1026</v>
      </c>
      <c r="AH595" s="8" t="s">
        <v>1027</v>
      </c>
      <c r="AI595" s="8" t="s">
        <v>1026</v>
      </c>
    </row>
    <row r="596" spans="24:35" x14ac:dyDescent="0.25">
      <c r="X596" s="8" t="s">
        <v>685</v>
      </c>
      <c r="Y596" s="8" t="s">
        <v>940</v>
      </c>
      <c r="Z596" s="8" t="s">
        <v>955</v>
      </c>
      <c r="AA596" s="5">
        <v>75</v>
      </c>
      <c r="AB596" s="8" t="s">
        <v>936</v>
      </c>
      <c r="AC596" s="8" t="s">
        <v>936</v>
      </c>
      <c r="AD596" s="8" t="s">
        <v>1027</v>
      </c>
      <c r="AE596" s="8" t="s">
        <v>1027</v>
      </c>
      <c r="AF596" s="8" t="s">
        <v>1025</v>
      </c>
      <c r="AG596" s="8" t="s">
        <v>1026</v>
      </c>
      <c r="AH596" s="8" t="s">
        <v>1025</v>
      </c>
      <c r="AI596" s="8" t="s">
        <v>1025</v>
      </c>
    </row>
    <row r="597" spans="24:35" x14ac:dyDescent="0.25">
      <c r="X597" s="8" t="s">
        <v>686</v>
      </c>
      <c r="Y597" s="8" t="s">
        <v>987</v>
      </c>
      <c r="Z597" s="8" t="s">
        <v>958</v>
      </c>
      <c r="AA597" s="5">
        <v>75</v>
      </c>
      <c r="AB597" s="8" t="s">
        <v>960</v>
      </c>
      <c r="AC597" s="8" t="s">
        <v>925</v>
      </c>
      <c r="AD597" s="8" t="s">
        <v>1027</v>
      </c>
      <c r="AE597" s="8" t="s">
        <v>1025</v>
      </c>
      <c r="AF597" s="8" t="s">
        <v>1028</v>
      </c>
      <c r="AG597" s="8" t="s">
        <v>1026</v>
      </c>
      <c r="AH597" s="8" t="s">
        <v>1028</v>
      </c>
      <c r="AI597" s="8" t="s">
        <v>1026</v>
      </c>
    </row>
    <row r="598" spans="24:35" x14ac:dyDescent="0.25">
      <c r="X598" s="8" t="s">
        <v>687</v>
      </c>
      <c r="Y598" s="8" t="s">
        <v>949</v>
      </c>
      <c r="Z598" s="8" t="s">
        <v>936</v>
      </c>
      <c r="AA598" s="5">
        <v>19</v>
      </c>
      <c r="AB598" s="8" t="s">
        <v>1008</v>
      </c>
      <c r="AC598" s="8" t="s">
        <v>927</v>
      </c>
      <c r="AD598" s="8" t="s">
        <v>1025</v>
      </c>
      <c r="AE598" s="8" t="s">
        <v>1026</v>
      </c>
      <c r="AF598" s="8" t="s">
        <v>1026</v>
      </c>
      <c r="AG598" s="8" t="s">
        <v>1027</v>
      </c>
      <c r="AH598" s="8" t="s">
        <v>1027</v>
      </c>
      <c r="AI598" s="8" t="s">
        <v>1027</v>
      </c>
    </row>
    <row r="599" spans="24:35" x14ac:dyDescent="0.25">
      <c r="X599" s="8" t="s">
        <v>688</v>
      </c>
      <c r="Y599" s="8" t="s">
        <v>965</v>
      </c>
      <c r="Z599" s="8" t="s">
        <v>953</v>
      </c>
      <c r="AA599" s="5">
        <v>78</v>
      </c>
      <c r="AB599" s="8" t="s">
        <v>936</v>
      </c>
      <c r="AC599" s="8" t="s">
        <v>971</v>
      </c>
      <c r="AD599" s="8" t="s">
        <v>1027</v>
      </c>
      <c r="AE599" s="8" t="s">
        <v>1027</v>
      </c>
      <c r="AF599" s="8" t="s">
        <v>1028</v>
      </c>
      <c r="AG599" s="8" t="s">
        <v>1026</v>
      </c>
      <c r="AH599" s="8" t="s">
        <v>1028</v>
      </c>
      <c r="AI599" s="8" t="s">
        <v>1026</v>
      </c>
    </row>
    <row r="600" spans="24:35" x14ac:dyDescent="0.25">
      <c r="X600" s="8" t="s">
        <v>689</v>
      </c>
      <c r="Y600" s="8" t="s">
        <v>956</v>
      </c>
      <c r="Z600" s="8" t="s">
        <v>960</v>
      </c>
      <c r="AA600" s="5">
        <v>24</v>
      </c>
      <c r="AB600" s="8" t="s">
        <v>1006</v>
      </c>
      <c r="AC600" s="8" t="s">
        <v>951</v>
      </c>
      <c r="AD600" s="8" t="s">
        <v>1027</v>
      </c>
      <c r="AE600" s="8" t="s">
        <v>1026</v>
      </c>
      <c r="AF600" s="8" t="s">
        <v>1026</v>
      </c>
      <c r="AG600" s="8" t="s">
        <v>1025</v>
      </c>
      <c r="AH600" s="8" t="s">
        <v>1027</v>
      </c>
      <c r="AI600" s="8" t="s">
        <v>1026</v>
      </c>
    </row>
    <row r="601" spans="24:35" x14ac:dyDescent="0.25">
      <c r="X601" s="8" t="s">
        <v>690</v>
      </c>
      <c r="Y601" s="8" t="s">
        <v>953</v>
      </c>
      <c r="Z601" s="8" t="s">
        <v>948</v>
      </c>
      <c r="AA601" s="5">
        <v>78</v>
      </c>
      <c r="AB601" s="8" t="s">
        <v>987</v>
      </c>
      <c r="AC601" s="8" t="s">
        <v>925</v>
      </c>
      <c r="AD601" s="8" t="s">
        <v>1026</v>
      </c>
      <c r="AE601" s="8" t="s">
        <v>1026</v>
      </c>
      <c r="AF601" s="8" t="s">
        <v>1027</v>
      </c>
      <c r="AG601" s="8" t="s">
        <v>1026</v>
      </c>
      <c r="AH601" s="8" t="s">
        <v>1025</v>
      </c>
      <c r="AI601" s="8" t="s">
        <v>1025</v>
      </c>
    </row>
    <row r="602" spans="24:35" x14ac:dyDescent="0.25">
      <c r="X602" s="8" t="s">
        <v>691</v>
      </c>
      <c r="Y602" s="8" t="s">
        <v>996</v>
      </c>
      <c r="Z602" s="8" t="s">
        <v>975</v>
      </c>
      <c r="AA602" s="5">
        <v>87</v>
      </c>
      <c r="AB602" s="8" t="s">
        <v>987</v>
      </c>
      <c r="AC602" s="8" t="s">
        <v>1007</v>
      </c>
      <c r="AD602" s="8" t="s">
        <v>1025</v>
      </c>
      <c r="AE602" s="8" t="s">
        <v>1025</v>
      </c>
      <c r="AF602" s="8" t="s">
        <v>1028</v>
      </c>
      <c r="AG602" s="8" t="s">
        <v>1026</v>
      </c>
      <c r="AH602" s="8" t="s">
        <v>1028</v>
      </c>
      <c r="AI602" s="8" t="s">
        <v>1028</v>
      </c>
    </row>
    <row r="603" spans="24:35" x14ac:dyDescent="0.25">
      <c r="X603" s="8" t="s">
        <v>692</v>
      </c>
      <c r="Y603" s="8" t="s">
        <v>950</v>
      </c>
      <c r="Z603" s="8" t="s">
        <v>999</v>
      </c>
      <c r="AA603" s="5">
        <v>71</v>
      </c>
      <c r="AB603" s="8" t="s">
        <v>960</v>
      </c>
      <c r="AC603" s="8" t="s">
        <v>923</v>
      </c>
      <c r="AD603" s="8" t="s">
        <v>1026</v>
      </c>
      <c r="AE603" s="8" t="s">
        <v>1026</v>
      </c>
      <c r="AF603" s="8" t="s">
        <v>1026</v>
      </c>
      <c r="AG603" s="8" t="s">
        <v>1026</v>
      </c>
      <c r="AH603" s="8" t="s">
        <v>1027</v>
      </c>
      <c r="AI603" s="8" t="s">
        <v>1027</v>
      </c>
    </row>
    <row r="604" spans="24:35" x14ac:dyDescent="0.25">
      <c r="X604" s="8" t="s">
        <v>693</v>
      </c>
      <c r="Y604" s="8" t="s">
        <v>1015</v>
      </c>
      <c r="Z604" s="8" t="s">
        <v>956</v>
      </c>
      <c r="AA604" s="5">
        <v>95</v>
      </c>
      <c r="AB604" s="8" t="s">
        <v>1007</v>
      </c>
      <c r="AC604" s="8" t="s">
        <v>961</v>
      </c>
      <c r="AD604" s="8" t="s">
        <v>1025</v>
      </c>
      <c r="AE604" s="8" t="s">
        <v>1028</v>
      </c>
      <c r="AF604" s="8" t="s">
        <v>1028</v>
      </c>
      <c r="AG604" s="8" t="s">
        <v>1026</v>
      </c>
      <c r="AH604" s="8" t="s">
        <v>1025</v>
      </c>
      <c r="AI604" s="8" t="s">
        <v>1028</v>
      </c>
    </row>
    <row r="605" spans="24:35" x14ac:dyDescent="0.25">
      <c r="X605" s="8" t="s">
        <v>694</v>
      </c>
      <c r="Y605" s="8" t="s">
        <v>952</v>
      </c>
      <c r="Z605" s="8" t="s">
        <v>929</v>
      </c>
      <c r="AA605" s="5">
        <v>75</v>
      </c>
      <c r="AB605" s="8" t="s">
        <v>921</v>
      </c>
      <c r="AC605" s="8" t="s">
        <v>967</v>
      </c>
      <c r="AD605" s="8" t="s">
        <v>1027</v>
      </c>
      <c r="AE605" s="8" t="s">
        <v>1025</v>
      </c>
      <c r="AF605" s="8" t="s">
        <v>1028</v>
      </c>
      <c r="AG605" s="8" t="s">
        <v>1026</v>
      </c>
      <c r="AH605" s="8" t="s">
        <v>1027</v>
      </c>
      <c r="AI605" s="8" t="s">
        <v>1026</v>
      </c>
    </row>
    <row r="606" spans="24:35" x14ac:dyDescent="0.25">
      <c r="X606" s="8" t="s">
        <v>695</v>
      </c>
      <c r="Y606" s="8" t="s">
        <v>948</v>
      </c>
      <c r="Z606" s="8" t="s">
        <v>968</v>
      </c>
      <c r="AA606" s="5">
        <v>93</v>
      </c>
      <c r="AB606" s="8" t="s">
        <v>972</v>
      </c>
      <c r="AC606" s="8" t="s">
        <v>959</v>
      </c>
      <c r="AD606" s="8" t="s">
        <v>1026</v>
      </c>
      <c r="AE606" s="8" t="s">
        <v>1026</v>
      </c>
      <c r="AF606" s="8" t="s">
        <v>1026</v>
      </c>
      <c r="AG606" s="8" t="s">
        <v>1027</v>
      </c>
      <c r="AH606" s="8" t="s">
        <v>1027</v>
      </c>
      <c r="AI606" s="8" t="s">
        <v>1026</v>
      </c>
    </row>
    <row r="607" spans="24:35" x14ac:dyDescent="0.25">
      <c r="X607" s="8" t="s">
        <v>696</v>
      </c>
      <c r="Y607" s="8" t="s">
        <v>943</v>
      </c>
      <c r="Z607" s="8" t="s">
        <v>956</v>
      </c>
      <c r="AA607" s="5">
        <v>59</v>
      </c>
      <c r="AB607" s="8" t="s">
        <v>935</v>
      </c>
      <c r="AC607" s="8" t="s">
        <v>979</v>
      </c>
      <c r="AD607" s="8" t="s">
        <v>1026</v>
      </c>
      <c r="AE607" s="8" t="s">
        <v>1026</v>
      </c>
      <c r="AF607" s="8" t="s">
        <v>1026</v>
      </c>
      <c r="AG607" s="8" t="s">
        <v>1027</v>
      </c>
      <c r="AH607" s="8" t="s">
        <v>1026</v>
      </c>
      <c r="AI607" s="8" t="s">
        <v>1026</v>
      </c>
    </row>
    <row r="608" spans="24:35" x14ac:dyDescent="0.25">
      <c r="X608" s="8" t="s">
        <v>697</v>
      </c>
      <c r="Y608" s="8" t="s">
        <v>1009</v>
      </c>
      <c r="Z608" s="8" t="s">
        <v>980</v>
      </c>
      <c r="AA608" s="5">
        <v>29</v>
      </c>
      <c r="AB608" s="8" t="s">
        <v>956</v>
      </c>
      <c r="AC608" s="8" t="s">
        <v>933</v>
      </c>
      <c r="AD608" s="8" t="s">
        <v>1026</v>
      </c>
      <c r="AE608" s="8" t="s">
        <v>1026</v>
      </c>
      <c r="AF608" s="8" t="s">
        <v>1026</v>
      </c>
      <c r="AG608" s="8" t="s">
        <v>1026</v>
      </c>
      <c r="AH608" s="8" t="s">
        <v>1027</v>
      </c>
      <c r="AI608" s="8" t="s">
        <v>1026</v>
      </c>
    </row>
    <row r="609" spans="24:35" x14ac:dyDescent="0.25">
      <c r="X609" s="8" t="s">
        <v>698</v>
      </c>
      <c r="Y609" s="8" t="s">
        <v>955</v>
      </c>
      <c r="Z609" s="8" t="s">
        <v>956</v>
      </c>
      <c r="AA609" s="5">
        <v>33</v>
      </c>
      <c r="AB609" s="8" t="s">
        <v>993</v>
      </c>
      <c r="AC609" s="8" t="s">
        <v>997</v>
      </c>
      <c r="AD609" s="8" t="s">
        <v>1026</v>
      </c>
      <c r="AE609" s="8" t="s">
        <v>1027</v>
      </c>
      <c r="AF609" s="8" t="s">
        <v>1026</v>
      </c>
      <c r="AG609" s="8" t="s">
        <v>1025</v>
      </c>
      <c r="AH609" s="8" t="s">
        <v>1026</v>
      </c>
      <c r="AI609" s="8" t="s">
        <v>1026</v>
      </c>
    </row>
    <row r="610" spans="24:35" x14ac:dyDescent="0.25">
      <c r="X610" s="8" t="s">
        <v>699</v>
      </c>
      <c r="Y610" s="8" t="s">
        <v>925</v>
      </c>
      <c r="Z610" s="8" t="s">
        <v>985</v>
      </c>
      <c r="AA610" s="5">
        <v>57</v>
      </c>
      <c r="AB610" s="8" t="s">
        <v>975</v>
      </c>
      <c r="AC610" s="8" t="s">
        <v>925</v>
      </c>
      <c r="AD610" s="8" t="s">
        <v>1025</v>
      </c>
      <c r="AE610" s="8" t="s">
        <v>1026</v>
      </c>
      <c r="AF610" s="8" t="s">
        <v>1026</v>
      </c>
      <c r="AG610" s="8" t="s">
        <v>1025</v>
      </c>
      <c r="AH610" s="8" t="s">
        <v>1027</v>
      </c>
      <c r="AI610" s="8" t="s">
        <v>1027</v>
      </c>
    </row>
    <row r="611" spans="24:35" x14ac:dyDescent="0.25">
      <c r="X611" s="8" t="s">
        <v>700</v>
      </c>
      <c r="Y611" s="8" t="s">
        <v>938</v>
      </c>
      <c r="Z611" s="8" t="s">
        <v>936</v>
      </c>
      <c r="AA611" s="5">
        <v>79</v>
      </c>
      <c r="AB611" s="8" t="s">
        <v>921</v>
      </c>
      <c r="AC611" s="8" t="s">
        <v>953</v>
      </c>
      <c r="AD611" s="8" t="s">
        <v>1025</v>
      </c>
      <c r="AE611" s="8" t="s">
        <v>1025</v>
      </c>
      <c r="AF611" s="8" t="s">
        <v>1025</v>
      </c>
      <c r="AG611" s="8" t="s">
        <v>1027</v>
      </c>
      <c r="AH611" s="8" t="s">
        <v>1028</v>
      </c>
      <c r="AI611" s="8" t="s">
        <v>1026</v>
      </c>
    </row>
    <row r="612" spans="24:35" x14ac:dyDescent="0.25">
      <c r="X612" s="8" t="s">
        <v>701</v>
      </c>
      <c r="Y612" s="8" t="s">
        <v>1001</v>
      </c>
      <c r="Z612" s="8" t="s">
        <v>979</v>
      </c>
      <c r="AA612" s="5">
        <v>74</v>
      </c>
      <c r="AB612" s="8" t="s">
        <v>925</v>
      </c>
      <c r="AC612" s="8" t="s">
        <v>956</v>
      </c>
      <c r="AD612" s="8" t="s">
        <v>1026</v>
      </c>
      <c r="AE612" s="8" t="s">
        <v>1026</v>
      </c>
      <c r="AF612" s="8" t="s">
        <v>1027</v>
      </c>
      <c r="AG612" s="8" t="s">
        <v>1026</v>
      </c>
      <c r="AH612" s="8" t="s">
        <v>1027</v>
      </c>
      <c r="AI612" s="8" t="s">
        <v>1026</v>
      </c>
    </row>
    <row r="613" spans="24:35" x14ac:dyDescent="0.25">
      <c r="X613" s="8" t="s">
        <v>702</v>
      </c>
      <c r="Y613" s="8" t="s">
        <v>973</v>
      </c>
      <c r="Z613" s="8" t="s">
        <v>934</v>
      </c>
      <c r="AA613" s="5">
        <v>67</v>
      </c>
      <c r="AB613" s="8" t="s">
        <v>960</v>
      </c>
      <c r="AC613" s="8" t="s">
        <v>942</v>
      </c>
      <c r="AD613" s="8" t="s">
        <v>1026</v>
      </c>
      <c r="AE613" s="8" t="s">
        <v>1027</v>
      </c>
      <c r="AF613" s="8" t="s">
        <v>1025</v>
      </c>
      <c r="AG613" s="8" t="s">
        <v>1026</v>
      </c>
      <c r="AH613" s="8" t="s">
        <v>1027</v>
      </c>
      <c r="AI613" s="8" t="s">
        <v>1026</v>
      </c>
    </row>
    <row r="614" spans="24:35" x14ac:dyDescent="0.25">
      <c r="X614" s="8" t="s">
        <v>702</v>
      </c>
      <c r="Y614" s="8" t="s">
        <v>964</v>
      </c>
      <c r="Z614" s="8" t="s">
        <v>963</v>
      </c>
      <c r="AA614" s="5">
        <v>67</v>
      </c>
      <c r="AB614" s="8" t="s">
        <v>958</v>
      </c>
      <c r="AC614" s="8" t="s">
        <v>976</v>
      </c>
      <c r="AD614" s="8" t="s">
        <v>1026</v>
      </c>
      <c r="AE614" s="8" t="s">
        <v>1026</v>
      </c>
      <c r="AF614" s="8" t="s">
        <v>1026</v>
      </c>
      <c r="AG614" s="8" t="s">
        <v>1026</v>
      </c>
      <c r="AH614" s="8" t="s">
        <v>1027</v>
      </c>
      <c r="AI614" s="8" t="s">
        <v>1026</v>
      </c>
    </row>
    <row r="615" spans="24:35" x14ac:dyDescent="0.25">
      <c r="X615" s="8" t="s">
        <v>702</v>
      </c>
      <c r="Y615" s="8" t="s">
        <v>956</v>
      </c>
      <c r="Z615" s="8" t="s">
        <v>921</v>
      </c>
      <c r="AA615" s="5">
        <v>50</v>
      </c>
      <c r="AB615" s="8" t="s">
        <v>980</v>
      </c>
      <c r="AC615" s="8" t="s">
        <v>989</v>
      </c>
      <c r="AD615" s="8" t="s">
        <v>1026</v>
      </c>
      <c r="AE615" s="8" t="s">
        <v>1027</v>
      </c>
      <c r="AF615" s="8" t="s">
        <v>1026</v>
      </c>
      <c r="AG615" s="8" t="s">
        <v>1027</v>
      </c>
      <c r="AH615" s="8" t="s">
        <v>1027</v>
      </c>
      <c r="AI615" s="8" t="s">
        <v>1026</v>
      </c>
    </row>
    <row r="616" spans="24:35" x14ac:dyDescent="0.25">
      <c r="X616" s="8" t="s">
        <v>703</v>
      </c>
      <c r="Y616" s="8" t="s">
        <v>931</v>
      </c>
      <c r="Z616" s="8" t="s">
        <v>959</v>
      </c>
      <c r="AA616" s="5">
        <v>80</v>
      </c>
      <c r="AB616" s="8" t="s">
        <v>985</v>
      </c>
      <c r="AC616" s="8" t="s">
        <v>987</v>
      </c>
      <c r="AD616" s="8" t="s">
        <v>1026</v>
      </c>
      <c r="AE616" s="8" t="s">
        <v>1026</v>
      </c>
      <c r="AF616" s="8" t="s">
        <v>1027</v>
      </c>
      <c r="AG616" s="8" t="s">
        <v>1026</v>
      </c>
      <c r="AH616" s="8" t="s">
        <v>1025</v>
      </c>
      <c r="AI616" s="8" t="s">
        <v>1026</v>
      </c>
    </row>
    <row r="617" spans="24:35" x14ac:dyDescent="0.25">
      <c r="X617" s="8" t="s">
        <v>704</v>
      </c>
      <c r="Y617" s="8" t="s">
        <v>990</v>
      </c>
      <c r="Z617" s="8" t="s">
        <v>957</v>
      </c>
      <c r="AA617" s="5">
        <v>59</v>
      </c>
      <c r="AB617" s="8" t="s">
        <v>969</v>
      </c>
      <c r="AC617" s="8" t="s">
        <v>960</v>
      </c>
      <c r="AD617" s="8" t="s">
        <v>1026</v>
      </c>
      <c r="AE617" s="8" t="s">
        <v>1026</v>
      </c>
      <c r="AF617" s="8" t="s">
        <v>1026</v>
      </c>
      <c r="AG617" s="8" t="s">
        <v>1026</v>
      </c>
      <c r="AH617" s="8" t="s">
        <v>1026</v>
      </c>
      <c r="AI617" s="8" t="s">
        <v>1026</v>
      </c>
    </row>
    <row r="618" spans="24:35" x14ac:dyDescent="0.25">
      <c r="X618" s="8" t="s">
        <v>705</v>
      </c>
      <c r="Y618" s="8" t="s">
        <v>958</v>
      </c>
      <c r="Z618" s="8" t="s">
        <v>925</v>
      </c>
      <c r="AA618" s="5">
        <v>66</v>
      </c>
      <c r="AB618" s="8" t="s">
        <v>923</v>
      </c>
      <c r="AC618" s="8" t="s">
        <v>937</v>
      </c>
      <c r="AD618" s="8" t="s">
        <v>1026</v>
      </c>
      <c r="AE618" s="8" t="s">
        <v>1025</v>
      </c>
      <c r="AF618" s="8" t="s">
        <v>1025</v>
      </c>
      <c r="AG618" s="8" t="s">
        <v>1026</v>
      </c>
      <c r="AH618" s="8" t="s">
        <v>1027</v>
      </c>
      <c r="AI618" s="8" t="s">
        <v>1026</v>
      </c>
    </row>
    <row r="619" spans="24:35" x14ac:dyDescent="0.25">
      <c r="X619" s="8" t="s">
        <v>706</v>
      </c>
      <c r="Y619" s="8" t="s">
        <v>967</v>
      </c>
      <c r="Z619" s="8" t="s">
        <v>1009</v>
      </c>
      <c r="AA619" s="5">
        <v>62</v>
      </c>
      <c r="AB619" s="8" t="s">
        <v>958</v>
      </c>
      <c r="AC619" s="8" t="s">
        <v>925</v>
      </c>
      <c r="AD619" s="8" t="s">
        <v>1026</v>
      </c>
      <c r="AE619" s="8" t="s">
        <v>1026</v>
      </c>
      <c r="AF619" s="8" t="s">
        <v>1027</v>
      </c>
      <c r="AG619" s="8" t="s">
        <v>1026</v>
      </c>
      <c r="AH619" s="8" t="s">
        <v>1026</v>
      </c>
      <c r="AI619" s="8" t="s">
        <v>1025</v>
      </c>
    </row>
    <row r="620" spans="24:35" x14ac:dyDescent="0.25">
      <c r="X620" s="8" t="s">
        <v>707</v>
      </c>
      <c r="Y620" s="8" t="s">
        <v>973</v>
      </c>
      <c r="Z620" s="8" t="s">
        <v>922</v>
      </c>
      <c r="AA620" s="5">
        <v>69</v>
      </c>
      <c r="AB620" s="8" t="s">
        <v>938</v>
      </c>
      <c r="AC620" s="8" t="s">
        <v>998</v>
      </c>
      <c r="AD620" s="8" t="s">
        <v>1026</v>
      </c>
      <c r="AE620" s="8" t="s">
        <v>1026</v>
      </c>
      <c r="AF620" s="8" t="s">
        <v>1026</v>
      </c>
      <c r="AG620" s="8" t="s">
        <v>1027</v>
      </c>
      <c r="AH620" s="8" t="s">
        <v>1026</v>
      </c>
      <c r="AI620" s="8" t="s">
        <v>1026</v>
      </c>
    </row>
    <row r="621" spans="24:35" x14ac:dyDescent="0.25">
      <c r="X621" s="8" t="s">
        <v>708</v>
      </c>
      <c r="Y621" s="8" t="s">
        <v>989</v>
      </c>
      <c r="Z621" s="8" t="s">
        <v>975</v>
      </c>
      <c r="AA621" s="5">
        <v>35</v>
      </c>
      <c r="AB621" s="8" t="s">
        <v>957</v>
      </c>
      <c r="AC621" s="8" t="s">
        <v>1013</v>
      </c>
      <c r="AD621" s="8" t="s">
        <v>1026</v>
      </c>
      <c r="AE621" s="8" t="s">
        <v>1027</v>
      </c>
      <c r="AF621" s="8" t="s">
        <v>1027</v>
      </c>
      <c r="AG621" s="8" t="s">
        <v>1026</v>
      </c>
      <c r="AH621" s="8" t="s">
        <v>1026</v>
      </c>
      <c r="AI621" s="8" t="s">
        <v>1027</v>
      </c>
    </row>
    <row r="622" spans="24:35" x14ac:dyDescent="0.25">
      <c r="X622" s="8" t="s">
        <v>709</v>
      </c>
      <c r="Y622" s="8" t="s">
        <v>994</v>
      </c>
      <c r="Z622" s="8" t="s">
        <v>930</v>
      </c>
      <c r="AA622" s="5">
        <v>51</v>
      </c>
      <c r="AB622" s="8" t="s">
        <v>945</v>
      </c>
      <c r="AC622" s="8" t="s">
        <v>967</v>
      </c>
      <c r="AD622" s="8" t="s">
        <v>1027</v>
      </c>
      <c r="AE622" s="8" t="s">
        <v>1027</v>
      </c>
      <c r="AF622" s="8" t="s">
        <v>1026</v>
      </c>
      <c r="AG622" s="8" t="s">
        <v>1027</v>
      </c>
      <c r="AH622" s="8" t="s">
        <v>1026</v>
      </c>
      <c r="AI622" s="8" t="s">
        <v>1026</v>
      </c>
    </row>
    <row r="623" spans="24:35" x14ac:dyDescent="0.25">
      <c r="X623" s="8" t="s">
        <v>710</v>
      </c>
      <c r="Y623" s="8" t="s">
        <v>938</v>
      </c>
      <c r="Z623" s="8" t="s">
        <v>972</v>
      </c>
      <c r="AA623" s="5">
        <v>64</v>
      </c>
      <c r="AB623" s="8" t="s">
        <v>939</v>
      </c>
      <c r="AC623" s="8" t="s">
        <v>937</v>
      </c>
      <c r="AD623" s="8" t="s">
        <v>1025</v>
      </c>
      <c r="AE623" s="8" t="s">
        <v>1025</v>
      </c>
      <c r="AF623" s="8" t="s">
        <v>1026</v>
      </c>
      <c r="AG623" s="8" t="s">
        <v>1027</v>
      </c>
      <c r="AH623" s="8" t="s">
        <v>1027</v>
      </c>
      <c r="AI623" s="8" t="s">
        <v>1025</v>
      </c>
    </row>
    <row r="624" spans="24:35" x14ac:dyDescent="0.25">
      <c r="X624" s="8" t="s">
        <v>711</v>
      </c>
      <c r="Y624" s="8" t="s">
        <v>977</v>
      </c>
      <c r="Z624" s="8" t="s">
        <v>986</v>
      </c>
      <c r="AA624" s="5">
        <v>66</v>
      </c>
      <c r="AB624" s="8" t="s">
        <v>974</v>
      </c>
      <c r="AC624" s="8" t="s">
        <v>956</v>
      </c>
      <c r="AD624" s="8" t="s">
        <v>1026</v>
      </c>
      <c r="AE624" s="8" t="s">
        <v>1026</v>
      </c>
      <c r="AF624" s="8" t="s">
        <v>1026</v>
      </c>
      <c r="AG624" s="8" t="s">
        <v>1026</v>
      </c>
      <c r="AH624" s="8" t="s">
        <v>1026</v>
      </c>
      <c r="AI624" s="8" t="s">
        <v>1026</v>
      </c>
    </row>
    <row r="625" spans="24:35" x14ac:dyDescent="0.25">
      <c r="X625" s="8" t="s">
        <v>712</v>
      </c>
      <c r="Y625" s="8" t="s">
        <v>975</v>
      </c>
      <c r="Z625" s="8" t="s">
        <v>943</v>
      </c>
      <c r="AA625" s="5">
        <v>41</v>
      </c>
      <c r="AB625" s="8" t="s">
        <v>966</v>
      </c>
      <c r="AC625" s="8" t="s">
        <v>939</v>
      </c>
      <c r="AD625" s="8" t="s">
        <v>1026</v>
      </c>
      <c r="AE625" s="8" t="s">
        <v>1027</v>
      </c>
      <c r="AF625" s="8" t="s">
        <v>1027</v>
      </c>
      <c r="AG625" s="8" t="s">
        <v>1026</v>
      </c>
      <c r="AH625" s="8" t="s">
        <v>1026</v>
      </c>
      <c r="AI625" s="8" t="s">
        <v>1026</v>
      </c>
    </row>
    <row r="626" spans="24:35" x14ac:dyDescent="0.25">
      <c r="X626" s="8" t="s">
        <v>713</v>
      </c>
      <c r="Y626" s="8" t="s">
        <v>957</v>
      </c>
      <c r="Z626" s="8" t="s">
        <v>1004</v>
      </c>
      <c r="AA626" s="5">
        <v>9</v>
      </c>
      <c r="AB626" s="8" t="s">
        <v>959</v>
      </c>
      <c r="AC626" s="8" t="s">
        <v>953</v>
      </c>
      <c r="AD626" s="8" t="s">
        <v>1026</v>
      </c>
      <c r="AE626" s="8" t="s">
        <v>1026</v>
      </c>
      <c r="AF626" s="8" t="s">
        <v>1026</v>
      </c>
      <c r="AG626" s="8" t="s">
        <v>1026</v>
      </c>
      <c r="AH626" s="8" t="s">
        <v>1026</v>
      </c>
      <c r="AI626" s="8" t="s">
        <v>1026</v>
      </c>
    </row>
    <row r="627" spans="24:35" x14ac:dyDescent="0.25">
      <c r="X627" s="8" t="s">
        <v>714</v>
      </c>
      <c r="Y627" s="8" t="s">
        <v>958</v>
      </c>
      <c r="Z627" s="8" t="s">
        <v>931</v>
      </c>
      <c r="AA627" s="5">
        <v>74</v>
      </c>
      <c r="AB627" s="8" t="s">
        <v>965</v>
      </c>
      <c r="AC627" s="8" t="s">
        <v>926</v>
      </c>
      <c r="AD627" s="8" t="s">
        <v>1025</v>
      </c>
      <c r="AE627" s="8" t="s">
        <v>1027</v>
      </c>
      <c r="AF627" s="8" t="s">
        <v>1025</v>
      </c>
      <c r="AG627" s="8" t="s">
        <v>1027</v>
      </c>
      <c r="AH627" s="8" t="s">
        <v>1027</v>
      </c>
      <c r="AI627" s="8" t="s">
        <v>1026</v>
      </c>
    </row>
    <row r="628" spans="24:35" x14ac:dyDescent="0.25">
      <c r="X628" s="8" t="s">
        <v>715</v>
      </c>
      <c r="Y628" s="8" t="s">
        <v>997</v>
      </c>
      <c r="Z628" s="8" t="s">
        <v>953</v>
      </c>
      <c r="AA628" s="5">
        <v>33</v>
      </c>
      <c r="AB628" s="8" t="s">
        <v>922</v>
      </c>
      <c r="AC628" s="8" t="s">
        <v>978</v>
      </c>
      <c r="AD628" s="8" t="s">
        <v>1027</v>
      </c>
      <c r="AE628" s="8" t="s">
        <v>1027</v>
      </c>
      <c r="AF628" s="8" t="s">
        <v>1026</v>
      </c>
      <c r="AG628" s="8" t="s">
        <v>1026</v>
      </c>
      <c r="AH628" s="8" t="s">
        <v>1026</v>
      </c>
      <c r="AI628" s="8" t="s">
        <v>1027</v>
      </c>
    </row>
    <row r="629" spans="24:35" x14ac:dyDescent="0.25">
      <c r="X629" s="8" t="s">
        <v>716</v>
      </c>
      <c r="Y629" s="8" t="s">
        <v>976</v>
      </c>
      <c r="Z629" s="8" t="s">
        <v>937</v>
      </c>
      <c r="AA629" s="5">
        <v>69</v>
      </c>
      <c r="AB629" s="8" t="s">
        <v>925</v>
      </c>
      <c r="AC629" s="8" t="s">
        <v>983</v>
      </c>
      <c r="AD629" s="8" t="s">
        <v>1027</v>
      </c>
      <c r="AE629" s="8" t="s">
        <v>1025</v>
      </c>
      <c r="AF629" s="8" t="s">
        <v>1027</v>
      </c>
      <c r="AG629" s="8" t="s">
        <v>1026</v>
      </c>
      <c r="AH629" s="8" t="s">
        <v>1026</v>
      </c>
      <c r="AI629" s="8" t="s">
        <v>1026</v>
      </c>
    </row>
    <row r="630" spans="24:35" x14ac:dyDescent="0.25">
      <c r="X630" s="8" t="s">
        <v>717</v>
      </c>
      <c r="Y630" s="8" t="s">
        <v>986</v>
      </c>
      <c r="Z630" s="8" t="s">
        <v>990</v>
      </c>
      <c r="AA630" s="5">
        <v>36</v>
      </c>
      <c r="AB630" s="8" t="s">
        <v>933</v>
      </c>
      <c r="AC630" s="8" t="s">
        <v>973</v>
      </c>
      <c r="AD630" s="8" t="s">
        <v>1026</v>
      </c>
      <c r="AE630" s="8" t="s">
        <v>1026</v>
      </c>
      <c r="AF630" s="8" t="s">
        <v>1026</v>
      </c>
      <c r="AG630" s="8" t="s">
        <v>1026</v>
      </c>
      <c r="AH630" s="8" t="s">
        <v>1026</v>
      </c>
      <c r="AI630" s="8" t="s">
        <v>1026</v>
      </c>
    </row>
    <row r="631" spans="24:35" x14ac:dyDescent="0.25">
      <c r="X631" s="8" t="s">
        <v>718</v>
      </c>
      <c r="Y631" s="8" t="s">
        <v>977</v>
      </c>
      <c r="Z631" s="8" t="s">
        <v>1004</v>
      </c>
      <c r="AA631" s="5">
        <v>9</v>
      </c>
      <c r="AB631" s="8" t="s">
        <v>1005</v>
      </c>
      <c r="AC631" s="8" t="s">
        <v>978</v>
      </c>
      <c r="AD631" s="8" t="s">
        <v>1026</v>
      </c>
      <c r="AE631" s="8" t="s">
        <v>1026</v>
      </c>
      <c r="AF631" s="8" t="s">
        <v>1026</v>
      </c>
      <c r="AG631" s="8" t="s">
        <v>1026</v>
      </c>
      <c r="AH631" s="8" t="s">
        <v>1026</v>
      </c>
      <c r="AI631" s="8" t="s">
        <v>1026</v>
      </c>
    </row>
    <row r="632" spans="24:35" x14ac:dyDescent="0.25">
      <c r="X632" s="8" t="s">
        <v>719</v>
      </c>
      <c r="Y632" s="8" t="s">
        <v>927</v>
      </c>
      <c r="Z632" s="8" t="s">
        <v>980</v>
      </c>
      <c r="AA632" s="5">
        <v>64</v>
      </c>
      <c r="AB632" s="8" t="s">
        <v>953</v>
      </c>
      <c r="AC632" s="8" t="s">
        <v>926</v>
      </c>
      <c r="AD632" s="8" t="s">
        <v>1026</v>
      </c>
      <c r="AE632" s="8" t="s">
        <v>1026</v>
      </c>
      <c r="AF632" s="8" t="s">
        <v>1027</v>
      </c>
      <c r="AG632" s="8" t="s">
        <v>1026</v>
      </c>
      <c r="AH632" s="8" t="s">
        <v>1026</v>
      </c>
      <c r="AI632" s="8" t="s">
        <v>1027</v>
      </c>
    </row>
    <row r="633" spans="24:35" x14ac:dyDescent="0.25">
      <c r="X633" s="8" t="s">
        <v>720</v>
      </c>
      <c r="Y633" s="8" t="s">
        <v>931</v>
      </c>
      <c r="Z633" s="8" t="s">
        <v>953</v>
      </c>
      <c r="AA633" s="5">
        <v>32</v>
      </c>
      <c r="AB633" s="8" t="s">
        <v>994</v>
      </c>
      <c r="AC633" s="8" t="s">
        <v>992</v>
      </c>
      <c r="AD633" s="8" t="s">
        <v>1027</v>
      </c>
      <c r="AE633" s="8" t="s">
        <v>1027</v>
      </c>
      <c r="AF633" s="8" t="s">
        <v>1026</v>
      </c>
      <c r="AG633" s="8" t="s">
        <v>1027</v>
      </c>
      <c r="AH633" s="8" t="s">
        <v>1026</v>
      </c>
      <c r="AI633" s="8" t="s">
        <v>1026</v>
      </c>
    </row>
    <row r="634" spans="24:35" x14ac:dyDescent="0.25">
      <c r="X634" s="8" t="s">
        <v>721</v>
      </c>
      <c r="Y634" s="8" t="s">
        <v>964</v>
      </c>
      <c r="Z634" s="8" t="s">
        <v>1010</v>
      </c>
      <c r="AA634" s="5">
        <v>26</v>
      </c>
      <c r="AB634" s="8" t="s">
        <v>974</v>
      </c>
      <c r="AC634" s="8" t="s">
        <v>931</v>
      </c>
      <c r="AD634" s="8" t="s">
        <v>1026</v>
      </c>
      <c r="AE634" s="8" t="s">
        <v>1026</v>
      </c>
      <c r="AF634" s="8" t="s">
        <v>1027</v>
      </c>
      <c r="AG634" s="8" t="s">
        <v>1026</v>
      </c>
      <c r="AH634" s="8" t="s">
        <v>1026</v>
      </c>
      <c r="AI634" s="8" t="s">
        <v>1026</v>
      </c>
    </row>
    <row r="635" spans="24:35" x14ac:dyDescent="0.25">
      <c r="X635" s="8" t="s">
        <v>722</v>
      </c>
      <c r="Y635" s="8" t="s">
        <v>946</v>
      </c>
      <c r="Z635" s="8" t="s">
        <v>980</v>
      </c>
      <c r="AA635" s="5">
        <v>74</v>
      </c>
      <c r="AB635" s="8" t="s">
        <v>985</v>
      </c>
      <c r="AC635" s="8" t="s">
        <v>939</v>
      </c>
      <c r="AD635" s="8" t="s">
        <v>1026</v>
      </c>
      <c r="AE635" s="8" t="s">
        <v>1026</v>
      </c>
      <c r="AF635" s="8" t="s">
        <v>1026</v>
      </c>
      <c r="AG635" s="8" t="s">
        <v>1026</v>
      </c>
      <c r="AH635" s="8" t="s">
        <v>1026</v>
      </c>
      <c r="AI635" s="8" t="s">
        <v>1026</v>
      </c>
    </row>
    <row r="636" spans="24:35" x14ac:dyDescent="0.25">
      <c r="X636" s="8" t="s">
        <v>723</v>
      </c>
      <c r="Y636" s="8" t="s">
        <v>956</v>
      </c>
      <c r="Z636" s="8" t="s">
        <v>940</v>
      </c>
      <c r="AA636" s="5">
        <v>47</v>
      </c>
      <c r="AB636" s="8" t="s">
        <v>1016</v>
      </c>
      <c r="AC636" s="8" t="s">
        <v>973</v>
      </c>
      <c r="AD636" s="8" t="s">
        <v>1025</v>
      </c>
      <c r="AE636" s="8" t="s">
        <v>1026</v>
      </c>
      <c r="AF636" s="8" t="s">
        <v>1026</v>
      </c>
      <c r="AG636" s="8" t="s">
        <v>1026</v>
      </c>
      <c r="AH636" s="8" t="s">
        <v>1027</v>
      </c>
      <c r="AI636" s="8" t="s">
        <v>1027</v>
      </c>
    </row>
    <row r="637" spans="24:35" x14ac:dyDescent="0.25">
      <c r="X637" s="8" t="s">
        <v>724</v>
      </c>
      <c r="Y637" s="8" t="s">
        <v>972</v>
      </c>
      <c r="Z637" s="8" t="s">
        <v>925</v>
      </c>
      <c r="AA637" s="5">
        <v>74</v>
      </c>
      <c r="AB637" s="8" t="s">
        <v>938</v>
      </c>
      <c r="AC637" s="8" t="s">
        <v>1019</v>
      </c>
      <c r="AD637" s="8" t="s">
        <v>1025</v>
      </c>
      <c r="AE637" s="8" t="s">
        <v>1027</v>
      </c>
      <c r="AF637" s="8" t="s">
        <v>1025</v>
      </c>
      <c r="AG637" s="8" t="s">
        <v>1027</v>
      </c>
      <c r="AH637" s="8" t="s">
        <v>1026</v>
      </c>
      <c r="AI637" s="8" t="s">
        <v>1026</v>
      </c>
    </row>
    <row r="638" spans="24:35" x14ac:dyDescent="0.25">
      <c r="X638" s="8" t="s">
        <v>725</v>
      </c>
      <c r="Y638" s="8" t="s">
        <v>934</v>
      </c>
      <c r="Z638" s="8" t="s">
        <v>1001</v>
      </c>
      <c r="AA638" s="5">
        <v>71</v>
      </c>
      <c r="AB638" s="8" t="s">
        <v>985</v>
      </c>
      <c r="AC638" s="8" t="s">
        <v>952</v>
      </c>
      <c r="AD638" s="8" t="s">
        <v>1026</v>
      </c>
      <c r="AE638" s="8" t="s">
        <v>1026</v>
      </c>
      <c r="AF638" s="8" t="s">
        <v>1027</v>
      </c>
      <c r="AG638" s="8" t="s">
        <v>1026</v>
      </c>
      <c r="AH638" s="8" t="s">
        <v>1026</v>
      </c>
      <c r="AI638" s="8" t="s">
        <v>1026</v>
      </c>
    </row>
    <row r="639" spans="24:35" x14ac:dyDescent="0.25">
      <c r="X639" s="8" t="s">
        <v>726</v>
      </c>
      <c r="Y639" s="8" t="s">
        <v>954</v>
      </c>
      <c r="Z639" s="8" t="s">
        <v>974</v>
      </c>
      <c r="AA639" s="5">
        <v>73</v>
      </c>
      <c r="AB639" s="8" t="s">
        <v>1007</v>
      </c>
      <c r="AC639" s="8" t="s">
        <v>952</v>
      </c>
      <c r="AD639" s="8" t="s">
        <v>1027</v>
      </c>
      <c r="AE639" s="8" t="s">
        <v>1027</v>
      </c>
      <c r="AF639" s="8" t="s">
        <v>1025</v>
      </c>
      <c r="AG639" s="8" t="s">
        <v>1026</v>
      </c>
      <c r="AH639" s="8" t="s">
        <v>1025</v>
      </c>
      <c r="AI639" s="8" t="s">
        <v>1027</v>
      </c>
    </row>
    <row r="640" spans="24:35" x14ac:dyDescent="0.25">
      <c r="X640" s="8" t="s">
        <v>727</v>
      </c>
      <c r="Y640" s="8" t="s">
        <v>926</v>
      </c>
      <c r="Z640" s="8" t="s">
        <v>958</v>
      </c>
      <c r="AA640" s="5">
        <v>68</v>
      </c>
      <c r="AB640" s="8" t="s">
        <v>939</v>
      </c>
      <c r="AC640" s="8" t="s">
        <v>975</v>
      </c>
      <c r="AD640" s="8" t="s">
        <v>1027</v>
      </c>
      <c r="AE640" s="8" t="s">
        <v>1027</v>
      </c>
      <c r="AF640" s="8" t="s">
        <v>1026</v>
      </c>
      <c r="AG640" s="8" t="s">
        <v>1026</v>
      </c>
      <c r="AH640" s="8" t="s">
        <v>1025</v>
      </c>
      <c r="AI640" s="8" t="s">
        <v>1025</v>
      </c>
    </row>
    <row r="641" spans="24:35" x14ac:dyDescent="0.25">
      <c r="X641" s="8" t="s">
        <v>728</v>
      </c>
      <c r="Y641" s="8" t="s">
        <v>926</v>
      </c>
      <c r="Z641" s="8" t="s">
        <v>960</v>
      </c>
      <c r="AA641" s="5">
        <v>47</v>
      </c>
      <c r="AB641" s="8" t="s">
        <v>995</v>
      </c>
      <c r="AC641" s="8" t="s">
        <v>973</v>
      </c>
      <c r="AD641" s="8" t="s">
        <v>1025</v>
      </c>
      <c r="AE641" s="8" t="s">
        <v>1027</v>
      </c>
      <c r="AF641" s="8" t="s">
        <v>1026</v>
      </c>
      <c r="AG641" s="8" t="s">
        <v>1027</v>
      </c>
      <c r="AH641" s="8" t="s">
        <v>1027</v>
      </c>
      <c r="AI641" s="8" t="s">
        <v>1026</v>
      </c>
    </row>
    <row r="642" spans="24:35" x14ac:dyDescent="0.25">
      <c r="X642" s="8" t="s">
        <v>729</v>
      </c>
      <c r="Y642" s="8" t="s">
        <v>972</v>
      </c>
      <c r="Z642" s="8" t="s">
        <v>965</v>
      </c>
      <c r="AA642" s="5">
        <v>44</v>
      </c>
      <c r="AB642" s="8" t="s">
        <v>966</v>
      </c>
      <c r="AC642" s="8" t="s">
        <v>940</v>
      </c>
      <c r="AD642" s="8" t="s">
        <v>1025</v>
      </c>
      <c r="AE642" s="8" t="s">
        <v>1026</v>
      </c>
      <c r="AF642" s="8" t="s">
        <v>1026</v>
      </c>
      <c r="AG642" s="8" t="s">
        <v>1025</v>
      </c>
      <c r="AH642" s="8" t="s">
        <v>1025</v>
      </c>
      <c r="AI642" s="8" t="s">
        <v>1027</v>
      </c>
    </row>
    <row r="643" spans="24:35" x14ac:dyDescent="0.25">
      <c r="X643" s="8" t="s">
        <v>730</v>
      </c>
      <c r="Y643" s="8" t="s">
        <v>979</v>
      </c>
      <c r="Z643" s="8" t="s">
        <v>1013</v>
      </c>
      <c r="AA643" s="5">
        <v>92</v>
      </c>
      <c r="AB643" s="8" t="s">
        <v>925</v>
      </c>
      <c r="AC643" s="8" t="s">
        <v>956</v>
      </c>
      <c r="AD643" s="8" t="s">
        <v>1026</v>
      </c>
      <c r="AE643" s="8" t="s">
        <v>1026</v>
      </c>
      <c r="AF643" s="8" t="s">
        <v>1026</v>
      </c>
      <c r="AG643" s="8" t="s">
        <v>1026</v>
      </c>
      <c r="AH643" s="8" t="s">
        <v>1028</v>
      </c>
      <c r="AI643" s="8" t="s">
        <v>1026</v>
      </c>
    </row>
    <row r="644" spans="24:35" x14ac:dyDescent="0.25">
      <c r="X644" s="8" t="s">
        <v>731</v>
      </c>
      <c r="Y644" s="8" t="s">
        <v>937</v>
      </c>
      <c r="Z644" s="8" t="s">
        <v>942</v>
      </c>
      <c r="AA644" s="5">
        <v>46</v>
      </c>
      <c r="AB644" s="8" t="s">
        <v>926</v>
      </c>
      <c r="AC644" s="8" t="s">
        <v>954</v>
      </c>
      <c r="AD644" s="8" t="s">
        <v>1027</v>
      </c>
      <c r="AE644" s="8" t="s">
        <v>1026</v>
      </c>
      <c r="AF644" s="8" t="s">
        <v>1026</v>
      </c>
      <c r="AG644" s="8" t="s">
        <v>1027</v>
      </c>
      <c r="AH644" s="8" t="s">
        <v>1026</v>
      </c>
      <c r="AI644" s="8" t="s">
        <v>1027</v>
      </c>
    </row>
    <row r="645" spans="24:35" x14ac:dyDescent="0.25">
      <c r="X645" s="8" t="s">
        <v>732</v>
      </c>
      <c r="Y645" s="8" t="s">
        <v>958</v>
      </c>
      <c r="Z645" s="8" t="s">
        <v>930</v>
      </c>
      <c r="AA645" s="5">
        <v>59</v>
      </c>
      <c r="AB645" s="8" t="s">
        <v>943</v>
      </c>
      <c r="AC645" s="8" t="s">
        <v>933</v>
      </c>
      <c r="AD645" s="8" t="s">
        <v>1026</v>
      </c>
      <c r="AE645" s="8" t="s">
        <v>1025</v>
      </c>
      <c r="AF645" s="8" t="s">
        <v>1025</v>
      </c>
      <c r="AG645" s="8" t="s">
        <v>1026</v>
      </c>
      <c r="AH645" s="8" t="s">
        <v>1026</v>
      </c>
      <c r="AI645" s="8" t="s">
        <v>1025</v>
      </c>
    </row>
    <row r="646" spans="24:35" x14ac:dyDescent="0.25">
      <c r="X646" s="8" t="s">
        <v>733</v>
      </c>
      <c r="Y646" s="8" t="s">
        <v>955</v>
      </c>
      <c r="Z646" s="8" t="s">
        <v>975</v>
      </c>
      <c r="AA646" s="5">
        <v>29</v>
      </c>
      <c r="AB646" s="8" t="s">
        <v>941</v>
      </c>
      <c r="AC646" s="8" t="s">
        <v>923</v>
      </c>
      <c r="AD646" s="8" t="s">
        <v>1027</v>
      </c>
      <c r="AE646" s="8" t="s">
        <v>1027</v>
      </c>
      <c r="AF646" s="8" t="s">
        <v>1026</v>
      </c>
      <c r="AG646" s="8" t="s">
        <v>1027</v>
      </c>
      <c r="AH646" s="8" t="s">
        <v>1026</v>
      </c>
      <c r="AI646" s="8" t="s">
        <v>1026</v>
      </c>
    </row>
    <row r="647" spans="24:35" x14ac:dyDescent="0.25">
      <c r="X647" s="8" t="s">
        <v>734</v>
      </c>
      <c r="Y647" s="8" t="s">
        <v>925</v>
      </c>
      <c r="Z647" s="8" t="s">
        <v>940</v>
      </c>
      <c r="AA647" s="5">
        <v>64</v>
      </c>
      <c r="AB647" s="8" t="s">
        <v>974</v>
      </c>
      <c r="AC647" s="8" t="s">
        <v>930</v>
      </c>
      <c r="AD647" s="8" t="s">
        <v>1025</v>
      </c>
      <c r="AE647" s="8" t="s">
        <v>1025</v>
      </c>
      <c r="AF647" s="8" t="s">
        <v>1026</v>
      </c>
      <c r="AG647" s="8" t="s">
        <v>1027</v>
      </c>
      <c r="AH647" s="8" t="s">
        <v>1026</v>
      </c>
      <c r="AI647" s="8" t="s">
        <v>1026</v>
      </c>
    </row>
    <row r="648" spans="24:35" x14ac:dyDescent="0.25">
      <c r="X648" s="8" t="s">
        <v>735</v>
      </c>
      <c r="Y648" s="8" t="s">
        <v>948</v>
      </c>
      <c r="Z648" s="8" t="s">
        <v>953</v>
      </c>
      <c r="AA648" s="5">
        <v>19</v>
      </c>
      <c r="AB648" s="8" t="s">
        <v>980</v>
      </c>
      <c r="AC648" s="8" t="s">
        <v>968</v>
      </c>
      <c r="AD648" s="8" t="s">
        <v>1026</v>
      </c>
      <c r="AE648" s="8" t="s">
        <v>1026</v>
      </c>
      <c r="AF648" s="8" t="s">
        <v>1026</v>
      </c>
      <c r="AG648" s="8" t="s">
        <v>1025</v>
      </c>
      <c r="AH648" s="8" t="s">
        <v>1026</v>
      </c>
      <c r="AI648" s="8" t="s">
        <v>1026</v>
      </c>
    </row>
    <row r="649" spans="24:35" x14ac:dyDescent="0.25">
      <c r="X649" s="8" t="s">
        <v>736</v>
      </c>
      <c r="Y649" s="8" t="s">
        <v>976</v>
      </c>
      <c r="Z649" s="8" t="s">
        <v>956</v>
      </c>
      <c r="AA649" s="5">
        <v>41</v>
      </c>
      <c r="AB649" s="8" t="s">
        <v>980</v>
      </c>
      <c r="AC649" s="8" t="s">
        <v>943</v>
      </c>
      <c r="AD649" s="8" t="s">
        <v>1027</v>
      </c>
      <c r="AE649" s="8" t="s">
        <v>1027</v>
      </c>
      <c r="AF649" s="8" t="s">
        <v>1027</v>
      </c>
      <c r="AG649" s="8" t="s">
        <v>1026</v>
      </c>
      <c r="AH649" s="8" t="s">
        <v>1026</v>
      </c>
      <c r="AI649" s="8" t="s">
        <v>1026</v>
      </c>
    </row>
    <row r="650" spans="24:35" x14ac:dyDescent="0.25">
      <c r="X650" s="8" t="s">
        <v>737</v>
      </c>
      <c r="Y650" s="8" t="s">
        <v>925</v>
      </c>
      <c r="Z650" s="8" t="s">
        <v>945</v>
      </c>
      <c r="AA650" s="5">
        <v>73</v>
      </c>
      <c r="AB650" s="8" t="s">
        <v>1007</v>
      </c>
      <c r="AC650" s="8" t="s">
        <v>971</v>
      </c>
      <c r="AD650" s="8" t="s">
        <v>1026</v>
      </c>
      <c r="AE650" s="8" t="s">
        <v>1026</v>
      </c>
      <c r="AF650" s="8" t="s">
        <v>1026</v>
      </c>
      <c r="AG650" s="8" t="s">
        <v>1025</v>
      </c>
      <c r="AH650" s="8" t="s">
        <v>1025</v>
      </c>
      <c r="AI650" s="8" t="s">
        <v>1026</v>
      </c>
    </row>
    <row r="651" spans="24:35" x14ac:dyDescent="0.25">
      <c r="X651" s="8" t="s">
        <v>738</v>
      </c>
      <c r="Y651" s="8" t="s">
        <v>978</v>
      </c>
      <c r="Z651" s="8" t="s">
        <v>937</v>
      </c>
      <c r="AA651" s="5">
        <v>66</v>
      </c>
      <c r="AB651" s="8" t="s">
        <v>969</v>
      </c>
      <c r="AC651" s="8" t="s">
        <v>955</v>
      </c>
      <c r="AD651" s="8" t="s">
        <v>1027</v>
      </c>
      <c r="AE651" s="8" t="s">
        <v>1026</v>
      </c>
      <c r="AF651" s="8" t="s">
        <v>1027</v>
      </c>
      <c r="AG651" s="8" t="s">
        <v>1027</v>
      </c>
      <c r="AH651" s="8" t="s">
        <v>1026</v>
      </c>
      <c r="AI651" s="8" t="s">
        <v>1026</v>
      </c>
    </row>
    <row r="652" spans="24:35" x14ac:dyDescent="0.25">
      <c r="X652" s="8" t="s">
        <v>739</v>
      </c>
      <c r="Y652" s="8" t="s">
        <v>972</v>
      </c>
      <c r="Z652" s="8" t="s">
        <v>985</v>
      </c>
      <c r="AA652" s="5">
        <v>42</v>
      </c>
      <c r="AB652" s="8" t="s">
        <v>963</v>
      </c>
      <c r="AC652" s="8" t="s">
        <v>973</v>
      </c>
      <c r="AD652" s="8" t="s">
        <v>1027</v>
      </c>
      <c r="AE652" s="8" t="s">
        <v>1025</v>
      </c>
      <c r="AF652" s="8" t="s">
        <v>1026</v>
      </c>
      <c r="AG652" s="8" t="s">
        <v>1025</v>
      </c>
      <c r="AH652" s="8" t="s">
        <v>1026</v>
      </c>
      <c r="AI652" s="8" t="s">
        <v>1028</v>
      </c>
    </row>
    <row r="653" spans="24:35" x14ac:dyDescent="0.25">
      <c r="X653" s="8" t="s">
        <v>740</v>
      </c>
      <c r="Y653" s="8" t="s">
        <v>936</v>
      </c>
      <c r="Z653" s="8" t="s">
        <v>1014</v>
      </c>
      <c r="AA653" s="5">
        <v>55</v>
      </c>
      <c r="AB653" s="8" t="s">
        <v>945</v>
      </c>
      <c r="AC653" s="8" t="s">
        <v>958</v>
      </c>
      <c r="AD653" s="8" t="s">
        <v>1027</v>
      </c>
      <c r="AE653" s="8" t="s">
        <v>1028</v>
      </c>
      <c r="AF653" s="8" t="s">
        <v>1026</v>
      </c>
      <c r="AG653" s="8" t="s">
        <v>1025</v>
      </c>
      <c r="AH653" s="8" t="s">
        <v>1026</v>
      </c>
      <c r="AI653" s="8" t="s">
        <v>1028</v>
      </c>
    </row>
    <row r="654" spans="24:35" x14ac:dyDescent="0.25">
      <c r="X654" s="8" t="s">
        <v>741</v>
      </c>
      <c r="Y654" s="8" t="s">
        <v>980</v>
      </c>
      <c r="Z654" s="8" t="s">
        <v>935</v>
      </c>
      <c r="AA654" s="5">
        <v>69</v>
      </c>
      <c r="AB654" s="8" t="s">
        <v>940</v>
      </c>
      <c r="AC654" s="8" t="s">
        <v>962</v>
      </c>
      <c r="AD654" s="8" t="s">
        <v>1026</v>
      </c>
      <c r="AE654" s="8" t="s">
        <v>1026</v>
      </c>
      <c r="AF654" s="8" t="s">
        <v>1026</v>
      </c>
      <c r="AG654" s="8" t="s">
        <v>1026</v>
      </c>
      <c r="AH654" s="8" t="s">
        <v>1026</v>
      </c>
      <c r="AI654" s="8" t="s">
        <v>1026</v>
      </c>
    </row>
    <row r="655" spans="24:35" x14ac:dyDescent="0.25">
      <c r="X655" s="8" t="s">
        <v>742</v>
      </c>
      <c r="Y655" s="8" t="s">
        <v>931</v>
      </c>
      <c r="Z655" s="8" t="s">
        <v>984</v>
      </c>
      <c r="AA655" s="5">
        <v>66</v>
      </c>
      <c r="AB655" s="8" t="s">
        <v>936</v>
      </c>
      <c r="AC655" s="8" t="s">
        <v>925</v>
      </c>
      <c r="AD655" s="8" t="s">
        <v>1026</v>
      </c>
      <c r="AE655" s="8" t="s">
        <v>1027</v>
      </c>
      <c r="AF655" s="8" t="s">
        <v>1026</v>
      </c>
      <c r="AG655" s="8" t="s">
        <v>1026</v>
      </c>
      <c r="AH655" s="8" t="s">
        <v>1025</v>
      </c>
      <c r="AI655" s="8" t="s">
        <v>1026</v>
      </c>
    </row>
    <row r="656" spans="24:35" x14ac:dyDescent="0.25">
      <c r="X656" s="8" t="s">
        <v>743</v>
      </c>
      <c r="Y656" s="8" t="s">
        <v>926</v>
      </c>
      <c r="Z656" s="8" t="s">
        <v>949</v>
      </c>
      <c r="AA656" s="5">
        <v>71</v>
      </c>
      <c r="AB656" s="8" t="s">
        <v>937</v>
      </c>
      <c r="AC656" s="8" t="s">
        <v>937</v>
      </c>
      <c r="AD656" s="8" t="s">
        <v>1026</v>
      </c>
      <c r="AE656" s="8" t="s">
        <v>1026</v>
      </c>
      <c r="AF656" s="8" t="s">
        <v>1025</v>
      </c>
      <c r="AG656" s="8" t="s">
        <v>1026</v>
      </c>
      <c r="AH656" s="8" t="s">
        <v>1025</v>
      </c>
      <c r="AI656" s="8" t="s">
        <v>1025</v>
      </c>
    </row>
    <row r="657" spans="24:35" x14ac:dyDescent="0.25">
      <c r="X657" s="8" t="s">
        <v>744</v>
      </c>
      <c r="Y657" s="8" t="s">
        <v>939</v>
      </c>
      <c r="Z657" s="8" t="s">
        <v>926</v>
      </c>
      <c r="AA657" s="5">
        <v>58</v>
      </c>
      <c r="AB657" s="8" t="s">
        <v>960</v>
      </c>
      <c r="AC657" s="8" t="s">
        <v>976</v>
      </c>
      <c r="AD657" s="8" t="s">
        <v>1027</v>
      </c>
      <c r="AE657" s="8" t="s">
        <v>1026</v>
      </c>
      <c r="AF657" s="8" t="s">
        <v>1025</v>
      </c>
      <c r="AG657" s="8" t="s">
        <v>1026</v>
      </c>
      <c r="AH657" s="8" t="s">
        <v>1026</v>
      </c>
      <c r="AI657" s="8" t="s">
        <v>1026</v>
      </c>
    </row>
    <row r="658" spans="24:35" x14ac:dyDescent="0.25">
      <c r="X658" s="8" t="s">
        <v>745</v>
      </c>
      <c r="Y658" s="8" t="s">
        <v>978</v>
      </c>
      <c r="Z658" s="8" t="s">
        <v>926</v>
      </c>
      <c r="AA658" s="5">
        <v>13</v>
      </c>
      <c r="AB658" s="8" t="s">
        <v>980</v>
      </c>
      <c r="AC658" s="8" t="s">
        <v>981</v>
      </c>
      <c r="AD658" s="8" t="s">
        <v>1026</v>
      </c>
      <c r="AE658" s="8" t="s">
        <v>1026</v>
      </c>
      <c r="AF658" s="8" t="s">
        <v>1026</v>
      </c>
      <c r="AG658" s="8" t="s">
        <v>1027</v>
      </c>
      <c r="AH658" s="8" t="s">
        <v>1026</v>
      </c>
      <c r="AI658" s="8" t="s">
        <v>1026</v>
      </c>
    </row>
    <row r="659" spans="24:35" x14ac:dyDescent="0.25">
      <c r="X659" s="8" t="s">
        <v>746</v>
      </c>
      <c r="Y659" s="8" t="s">
        <v>994</v>
      </c>
      <c r="Z659" s="8" t="s">
        <v>958</v>
      </c>
      <c r="AA659" s="5">
        <v>12</v>
      </c>
      <c r="AB659" s="8" t="s">
        <v>924</v>
      </c>
      <c r="AC659" s="8" t="s">
        <v>944</v>
      </c>
      <c r="AD659" s="8" t="s">
        <v>1026</v>
      </c>
      <c r="AE659" s="8" t="s">
        <v>1026</v>
      </c>
      <c r="AF659" s="8" t="s">
        <v>1026</v>
      </c>
      <c r="AG659" s="8" t="s">
        <v>1027</v>
      </c>
      <c r="AH659" s="8" t="s">
        <v>1026</v>
      </c>
      <c r="AI659" s="8" t="s">
        <v>1026</v>
      </c>
    </row>
    <row r="660" spans="24:35" x14ac:dyDescent="0.25">
      <c r="X660" s="8" t="s">
        <v>747</v>
      </c>
      <c r="Y660" s="8" t="s">
        <v>983</v>
      </c>
      <c r="Z660" s="8" t="s">
        <v>958</v>
      </c>
      <c r="AA660" s="5">
        <v>69</v>
      </c>
      <c r="AB660" s="8" t="s">
        <v>972</v>
      </c>
      <c r="AC660" s="8" t="s">
        <v>975</v>
      </c>
      <c r="AD660" s="8" t="s">
        <v>1025</v>
      </c>
      <c r="AE660" s="8" t="s">
        <v>1027</v>
      </c>
      <c r="AF660" s="8" t="s">
        <v>1025</v>
      </c>
      <c r="AG660" s="8" t="s">
        <v>1026</v>
      </c>
      <c r="AH660" s="8" t="s">
        <v>1025</v>
      </c>
      <c r="AI660" s="8" t="s">
        <v>1028</v>
      </c>
    </row>
    <row r="661" spans="24:35" x14ac:dyDescent="0.25">
      <c r="X661" s="8" t="s">
        <v>748</v>
      </c>
      <c r="Y661" s="8" t="s">
        <v>925</v>
      </c>
      <c r="Z661" s="8" t="s">
        <v>975</v>
      </c>
      <c r="AA661" s="5">
        <v>74</v>
      </c>
      <c r="AB661" s="8" t="s">
        <v>972</v>
      </c>
      <c r="AC661" s="8" t="s">
        <v>956</v>
      </c>
      <c r="AD661" s="8" t="s">
        <v>1027</v>
      </c>
      <c r="AE661" s="8" t="s">
        <v>1026</v>
      </c>
      <c r="AF661" s="8" t="s">
        <v>1025</v>
      </c>
      <c r="AG661" s="8" t="s">
        <v>1026</v>
      </c>
      <c r="AH661" s="8" t="s">
        <v>1025</v>
      </c>
      <c r="AI661" s="8" t="s">
        <v>1025</v>
      </c>
    </row>
    <row r="662" spans="24:35" x14ac:dyDescent="0.25">
      <c r="X662" s="8" t="s">
        <v>749</v>
      </c>
      <c r="Y662" s="8" t="s">
        <v>1007</v>
      </c>
      <c r="Z662" s="8" t="s">
        <v>1020</v>
      </c>
      <c r="AA662" s="5">
        <v>26</v>
      </c>
      <c r="AB662" s="8" t="s">
        <v>991</v>
      </c>
      <c r="AC662" s="8" t="s">
        <v>945</v>
      </c>
      <c r="AD662" s="8" t="s">
        <v>1025</v>
      </c>
      <c r="AE662" s="8" t="s">
        <v>1028</v>
      </c>
      <c r="AF662" s="8" t="s">
        <v>1028</v>
      </c>
      <c r="AG662" s="8" t="s">
        <v>1028</v>
      </c>
      <c r="AH662" s="8" t="s">
        <v>1026</v>
      </c>
      <c r="AI662" s="8" t="s">
        <v>1026</v>
      </c>
    </row>
    <row r="663" spans="24:35" x14ac:dyDescent="0.25">
      <c r="X663" s="8" t="s">
        <v>750</v>
      </c>
      <c r="Y663" s="8" t="s">
        <v>996</v>
      </c>
      <c r="Z663" s="8" t="s">
        <v>985</v>
      </c>
      <c r="AA663" s="5">
        <v>89</v>
      </c>
      <c r="AB663" s="8" t="s">
        <v>938</v>
      </c>
      <c r="AC663" s="8" t="s">
        <v>983</v>
      </c>
      <c r="AD663" s="8" t="s">
        <v>1028</v>
      </c>
      <c r="AE663" s="8" t="s">
        <v>1025</v>
      </c>
      <c r="AF663" s="8" t="s">
        <v>1027</v>
      </c>
      <c r="AG663" s="8" t="s">
        <v>1027</v>
      </c>
      <c r="AH663" s="8" t="s">
        <v>1028</v>
      </c>
      <c r="AI663" s="8" t="s">
        <v>1028</v>
      </c>
    </row>
    <row r="664" spans="24:35" x14ac:dyDescent="0.25">
      <c r="X664" s="8" t="s">
        <v>751</v>
      </c>
      <c r="Y664" s="8" t="s">
        <v>985</v>
      </c>
      <c r="Z664" s="8" t="s">
        <v>1014</v>
      </c>
      <c r="AA664" s="5">
        <v>37</v>
      </c>
      <c r="AB664" s="8" t="s">
        <v>1008</v>
      </c>
      <c r="AC664" s="8" t="s">
        <v>978</v>
      </c>
      <c r="AD664" s="8" t="s">
        <v>1027</v>
      </c>
      <c r="AE664" s="8" t="s">
        <v>1025</v>
      </c>
      <c r="AF664" s="8" t="s">
        <v>1025</v>
      </c>
      <c r="AG664" s="8" t="s">
        <v>1028</v>
      </c>
      <c r="AH664" s="8" t="s">
        <v>1026</v>
      </c>
      <c r="AI664" s="8" t="s">
        <v>1026</v>
      </c>
    </row>
    <row r="665" spans="24:35" x14ac:dyDescent="0.25">
      <c r="X665" s="8" t="s">
        <v>752</v>
      </c>
      <c r="Y665" s="8" t="s">
        <v>943</v>
      </c>
      <c r="Z665" s="8" t="s">
        <v>992</v>
      </c>
      <c r="AA665" s="5">
        <v>72</v>
      </c>
      <c r="AB665" s="8" t="s">
        <v>954</v>
      </c>
      <c r="AC665" s="8" t="s">
        <v>978</v>
      </c>
      <c r="AD665" s="8" t="s">
        <v>1026</v>
      </c>
      <c r="AE665" s="8" t="s">
        <v>1026</v>
      </c>
      <c r="AF665" s="8" t="s">
        <v>1026</v>
      </c>
      <c r="AG665" s="8" t="s">
        <v>1027</v>
      </c>
      <c r="AH665" s="8" t="s">
        <v>1027</v>
      </c>
      <c r="AI665" s="8" t="s">
        <v>1026</v>
      </c>
    </row>
    <row r="666" spans="24:35" x14ac:dyDescent="0.25">
      <c r="X666" s="8" t="s">
        <v>753</v>
      </c>
      <c r="Y666" s="8" t="s">
        <v>958</v>
      </c>
      <c r="Z666" s="8" t="s">
        <v>983</v>
      </c>
      <c r="AA666" s="5">
        <v>68</v>
      </c>
      <c r="AB666" s="8" t="s">
        <v>993</v>
      </c>
      <c r="AC666" s="8" t="s">
        <v>1010</v>
      </c>
      <c r="AD666" s="8" t="s">
        <v>1026</v>
      </c>
      <c r="AE666" s="8" t="s">
        <v>1025</v>
      </c>
      <c r="AF666" s="8" t="s">
        <v>1025</v>
      </c>
      <c r="AG666" s="8" t="s">
        <v>1026</v>
      </c>
      <c r="AH666" s="8" t="s">
        <v>1027</v>
      </c>
      <c r="AI666" s="8" t="s">
        <v>1026</v>
      </c>
    </row>
    <row r="667" spans="24:35" x14ac:dyDescent="0.25">
      <c r="X667" s="8" t="s">
        <v>754</v>
      </c>
      <c r="Y667" s="8" t="s">
        <v>967</v>
      </c>
      <c r="Z667" s="8" t="s">
        <v>991</v>
      </c>
      <c r="AA667" s="5">
        <v>87</v>
      </c>
      <c r="AB667" s="8" t="s">
        <v>942</v>
      </c>
      <c r="AC667" s="8" t="s">
        <v>935</v>
      </c>
      <c r="AD667" s="8" t="s">
        <v>1026</v>
      </c>
      <c r="AE667" s="8" t="s">
        <v>1026</v>
      </c>
      <c r="AF667" s="8" t="s">
        <v>1026</v>
      </c>
      <c r="AG667" s="8" t="s">
        <v>1026</v>
      </c>
      <c r="AH667" s="8" t="s">
        <v>1027</v>
      </c>
      <c r="AI667" s="8" t="s">
        <v>1026</v>
      </c>
    </row>
    <row r="668" spans="24:35" x14ac:dyDescent="0.25">
      <c r="X668" s="8" t="s">
        <v>755</v>
      </c>
      <c r="Y668" s="8" t="s">
        <v>1010</v>
      </c>
      <c r="Z668" s="8" t="s">
        <v>980</v>
      </c>
      <c r="AA668" s="5">
        <v>67</v>
      </c>
      <c r="AB668" s="8" t="s">
        <v>936</v>
      </c>
      <c r="AC668" s="8" t="s">
        <v>971</v>
      </c>
      <c r="AD668" s="8" t="s">
        <v>1026</v>
      </c>
      <c r="AE668" s="8" t="s">
        <v>1026</v>
      </c>
      <c r="AF668" s="8" t="s">
        <v>1026</v>
      </c>
      <c r="AG668" s="8" t="s">
        <v>1026</v>
      </c>
      <c r="AH668" s="8" t="s">
        <v>1027</v>
      </c>
      <c r="AI668" s="8" t="s">
        <v>1027</v>
      </c>
    </row>
    <row r="669" spans="24:35" x14ac:dyDescent="0.25">
      <c r="X669" s="8" t="s">
        <v>756</v>
      </c>
      <c r="Y669" s="8" t="s">
        <v>971</v>
      </c>
      <c r="Z669" s="8" t="s">
        <v>978</v>
      </c>
      <c r="AA669" s="5">
        <v>92</v>
      </c>
      <c r="AB669" s="8" t="s">
        <v>961</v>
      </c>
      <c r="AC669" s="8" t="s">
        <v>1014</v>
      </c>
      <c r="AD669" s="8" t="s">
        <v>1025</v>
      </c>
      <c r="AE669" s="8" t="s">
        <v>1025</v>
      </c>
      <c r="AF669" s="8" t="s">
        <v>1025</v>
      </c>
      <c r="AG669" s="8" t="s">
        <v>1026</v>
      </c>
      <c r="AH669" s="8" t="s">
        <v>1025</v>
      </c>
      <c r="AI669" s="8" t="s">
        <v>1025</v>
      </c>
    </row>
    <row r="670" spans="24:35" x14ac:dyDescent="0.25">
      <c r="X670" s="8" t="s">
        <v>757</v>
      </c>
      <c r="Y670" s="8" t="s">
        <v>958</v>
      </c>
      <c r="Z670" s="8" t="s">
        <v>931</v>
      </c>
      <c r="AA670" s="5">
        <v>74</v>
      </c>
      <c r="AB670" s="8" t="s">
        <v>940</v>
      </c>
      <c r="AC670" s="8" t="s">
        <v>925</v>
      </c>
      <c r="AD670" s="8" t="s">
        <v>1026</v>
      </c>
      <c r="AE670" s="8" t="s">
        <v>1027</v>
      </c>
      <c r="AF670" s="8" t="s">
        <v>1025</v>
      </c>
      <c r="AG670" s="8" t="s">
        <v>1026</v>
      </c>
      <c r="AH670" s="8" t="s">
        <v>1025</v>
      </c>
      <c r="AI670" s="8" t="s">
        <v>1025</v>
      </c>
    </row>
    <row r="671" spans="24:35" x14ac:dyDescent="0.25">
      <c r="X671" s="8" t="s">
        <v>758</v>
      </c>
      <c r="Y671" s="8" t="s">
        <v>928</v>
      </c>
      <c r="Z671" s="8" t="s">
        <v>975</v>
      </c>
      <c r="AA671" s="5">
        <v>82</v>
      </c>
      <c r="AB671" s="8" t="s">
        <v>987</v>
      </c>
      <c r="AC671" s="8" t="s">
        <v>985</v>
      </c>
      <c r="AD671" s="8" t="s">
        <v>1025</v>
      </c>
      <c r="AE671" s="8" t="s">
        <v>1027</v>
      </c>
      <c r="AF671" s="8" t="s">
        <v>1028</v>
      </c>
      <c r="AG671" s="8" t="s">
        <v>1025</v>
      </c>
      <c r="AH671" s="8" t="s">
        <v>1027</v>
      </c>
      <c r="AI671" s="8" t="s">
        <v>1026</v>
      </c>
    </row>
    <row r="672" spans="24:35" x14ac:dyDescent="0.25">
      <c r="X672" s="8" t="s">
        <v>759</v>
      </c>
      <c r="Y672" s="8" t="s">
        <v>966</v>
      </c>
      <c r="Z672" s="8" t="s">
        <v>966</v>
      </c>
      <c r="AA672" s="5">
        <v>50</v>
      </c>
      <c r="AB672" s="8" t="s">
        <v>966</v>
      </c>
      <c r="AC672" s="8" t="s">
        <v>966</v>
      </c>
      <c r="AD672" s="8" t="s">
        <v>1026</v>
      </c>
      <c r="AE672" s="8" t="s">
        <v>1026</v>
      </c>
      <c r="AF672" s="8" t="s">
        <v>1026</v>
      </c>
      <c r="AG672" s="8" t="s">
        <v>1026</v>
      </c>
      <c r="AH672" s="8" t="s">
        <v>1026</v>
      </c>
      <c r="AI672" s="8" t="s">
        <v>1026</v>
      </c>
    </row>
    <row r="673" spans="24:35" x14ac:dyDescent="0.25">
      <c r="X673" s="8" t="s">
        <v>760</v>
      </c>
      <c r="Y673" s="8" t="s">
        <v>966</v>
      </c>
      <c r="Z673" s="8" t="s">
        <v>966</v>
      </c>
      <c r="AA673" s="5">
        <v>50</v>
      </c>
      <c r="AB673" s="8" t="s">
        <v>966</v>
      </c>
      <c r="AC673" s="8" t="s">
        <v>966</v>
      </c>
      <c r="AD673" s="8" t="s">
        <v>1026</v>
      </c>
      <c r="AE673" s="8" t="s">
        <v>1026</v>
      </c>
      <c r="AF673" s="8" t="s">
        <v>1026</v>
      </c>
      <c r="AG673" s="8" t="s">
        <v>1026</v>
      </c>
      <c r="AH673" s="8" t="s">
        <v>1026</v>
      </c>
      <c r="AI673" s="8" t="s">
        <v>1026</v>
      </c>
    </row>
    <row r="674" spans="24:35" x14ac:dyDescent="0.25">
      <c r="X674" s="8" t="s">
        <v>761</v>
      </c>
      <c r="Y674" s="8" t="s">
        <v>966</v>
      </c>
      <c r="Z674" s="8" t="s">
        <v>966</v>
      </c>
      <c r="AA674" s="5">
        <v>50</v>
      </c>
      <c r="AB674" s="8" t="s">
        <v>966</v>
      </c>
      <c r="AC674" s="8" t="s">
        <v>966</v>
      </c>
      <c r="AD674" s="8" t="s">
        <v>1026</v>
      </c>
      <c r="AE674" s="8" t="s">
        <v>1026</v>
      </c>
      <c r="AF674" s="8" t="s">
        <v>1026</v>
      </c>
      <c r="AG674" s="8" t="s">
        <v>1026</v>
      </c>
      <c r="AH674" s="8" t="s">
        <v>1026</v>
      </c>
      <c r="AI674" s="8" t="s">
        <v>1026</v>
      </c>
    </row>
    <row r="675" spans="24:35" x14ac:dyDescent="0.25">
      <c r="X675" s="8" t="s">
        <v>762</v>
      </c>
      <c r="Y675" s="8" t="s">
        <v>966</v>
      </c>
      <c r="Z675" s="8" t="s">
        <v>966</v>
      </c>
      <c r="AA675" s="5">
        <v>50</v>
      </c>
      <c r="AB675" s="8" t="s">
        <v>966</v>
      </c>
      <c r="AC675" s="8" t="s">
        <v>966</v>
      </c>
      <c r="AD675" s="8" t="s">
        <v>1026</v>
      </c>
      <c r="AE675" s="8" t="s">
        <v>1026</v>
      </c>
      <c r="AF675" s="8" t="s">
        <v>1026</v>
      </c>
      <c r="AG675" s="8" t="s">
        <v>1026</v>
      </c>
      <c r="AH675" s="8" t="s">
        <v>1026</v>
      </c>
      <c r="AI675" s="8" t="s">
        <v>1026</v>
      </c>
    </row>
    <row r="676" spans="24:35" x14ac:dyDescent="0.25">
      <c r="X676" s="8" t="s">
        <v>763</v>
      </c>
      <c r="Y676" s="8" t="s">
        <v>966</v>
      </c>
      <c r="Z676" s="8" t="s">
        <v>966</v>
      </c>
      <c r="AA676" s="5">
        <v>50</v>
      </c>
      <c r="AB676" s="8" t="s">
        <v>966</v>
      </c>
      <c r="AC676" s="8" t="s">
        <v>966</v>
      </c>
      <c r="AD676" s="8" t="s">
        <v>1026</v>
      </c>
      <c r="AE676" s="8" t="s">
        <v>1026</v>
      </c>
      <c r="AF676" s="8" t="s">
        <v>1026</v>
      </c>
      <c r="AG676" s="8" t="s">
        <v>1026</v>
      </c>
      <c r="AH676" s="8" t="s">
        <v>1026</v>
      </c>
      <c r="AI676" s="8" t="s">
        <v>1026</v>
      </c>
    </row>
    <row r="677" spans="24:35" x14ac:dyDescent="0.25">
      <c r="X677" s="8" t="s">
        <v>764</v>
      </c>
      <c r="Y677" s="8" t="s">
        <v>966</v>
      </c>
      <c r="Z677" s="8" t="s">
        <v>966</v>
      </c>
      <c r="AA677" s="5">
        <v>50</v>
      </c>
      <c r="AB677" s="8" t="s">
        <v>966</v>
      </c>
      <c r="AC677" s="8" t="s">
        <v>966</v>
      </c>
      <c r="AD677" s="8" t="s">
        <v>1026</v>
      </c>
      <c r="AE677" s="8" t="s">
        <v>1026</v>
      </c>
      <c r="AF677" s="8" t="s">
        <v>1026</v>
      </c>
      <c r="AG677" s="8" t="s">
        <v>1026</v>
      </c>
      <c r="AH677" s="8" t="s">
        <v>1026</v>
      </c>
      <c r="AI677" s="8" t="s">
        <v>1026</v>
      </c>
    </row>
    <row r="678" spans="24:35" x14ac:dyDescent="0.25">
      <c r="X678" s="8" t="s">
        <v>765</v>
      </c>
      <c r="Y678" s="8" t="s">
        <v>966</v>
      </c>
      <c r="Z678" s="8" t="s">
        <v>966</v>
      </c>
      <c r="AA678" s="5">
        <v>50</v>
      </c>
      <c r="AB678" s="8" t="s">
        <v>966</v>
      </c>
      <c r="AC678" s="8" t="s">
        <v>966</v>
      </c>
      <c r="AD678" s="8" t="s">
        <v>1026</v>
      </c>
      <c r="AE678" s="8" t="s">
        <v>1026</v>
      </c>
      <c r="AF678" s="8" t="s">
        <v>1026</v>
      </c>
      <c r="AG678" s="8" t="s">
        <v>1026</v>
      </c>
      <c r="AH678" s="8" t="s">
        <v>1026</v>
      </c>
      <c r="AI678" s="8" t="s">
        <v>1026</v>
      </c>
    </row>
    <row r="679" spans="24:35" x14ac:dyDescent="0.25">
      <c r="X679" s="8" t="s">
        <v>766</v>
      </c>
      <c r="Y679" s="8" t="s">
        <v>966</v>
      </c>
      <c r="Z679" s="8" t="s">
        <v>966</v>
      </c>
      <c r="AA679" s="5">
        <v>50</v>
      </c>
      <c r="AB679" s="8" t="s">
        <v>966</v>
      </c>
      <c r="AC679" s="8" t="s">
        <v>966</v>
      </c>
      <c r="AD679" s="8" t="s">
        <v>1026</v>
      </c>
      <c r="AE679" s="8" t="s">
        <v>1026</v>
      </c>
      <c r="AF679" s="8" t="s">
        <v>1026</v>
      </c>
      <c r="AG679" s="8" t="s">
        <v>1026</v>
      </c>
      <c r="AH679" s="8" t="s">
        <v>1026</v>
      </c>
      <c r="AI679" s="8" t="s">
        <v>1026</v>
      </c>
    </row>
    <row r="680" spans="24:35" x14ac:dyDescent="0.25">
      <c r="X680" s="8" t="s">
        <v>767</v>
      </c>
      <c r="Y680" s="8" t="s">
        <v>966</v>
      </c>
      <c r="Z680" s="8" t="s">
        <v>966</v>
      </c>
      <c r="AA680" s="5">
        <v>50</v>
      </c>
      <c r="AB680" s="8" t="s">
        <v>966</v>
      </c>
      <c r="AC680" s="8" t="s">
        <v>966</v>
      </c>
      <c r="AD680" s="8" t="s">
        <v>1026</v>
      </c>
      <c r="AE680" s="8" t="s">
        <v>1026</v>
      </c>
      <c r="AF680" s="8" t="s">
        <v>1026</v>
      </c>
      <c r="AG680" s="8" t="s">
        <v>1026</v>
      </c>
      <c r="AH680" s="8" t="s">
        <v>1026</v>
      </c>
      <c r="AI680" s="8" t="s">
        <v>1026</v>
      </c>
    </row>
    <row r="681" spans="24:35" x14ac:dyDescent="0.25">
      <c r="X681" s="8" t="s">
        <v>768</v>
      </c>
      <c r="Y681" s="8" t="s">
        <v>966</v>
      </c>
      <c r="Z681" s="8" t="s">
        <v>966</v>
      </c>
      <c r="AA681" s="5">
        <v>50</v>
      </c>
      <c r="AB681" s="8" t="s">
        <v>966</v>
      </c>
      <c r="AC681" s="8" t="s">
        <v>966</v>
      </c>
      <c r="AD681" s="8" t="s">
        <v>1026</v>
      </c>
      <c r="AE681" s="8" t="s">
        <v>1026</v>
      </c>
      <c r="AF681" s="8" t="s">
        <v>1026</v>
      </c>
      <c r="AG681" s="8" t="s">
        <v>1026</v>
      </c>
      <c r="AH681" s="8" t="s">
        <v>1026</v>
      </c>
      <c r="AI681" s="8" t="s">
        <v>1026</v>
      </c>
    </row>
    <row r="682" spans="24:35" x14ac:dyDescent="0.25">
      <c r="X682" s="8" t="s">
        <v>769</v>
      </c>
      <c r="Y682" s="8" t="s">
        <v>966</v>
      </c>
      <c r="Z682" s="8" t="s">
        <v>966</v>
      </c>
      <c r="AA682" s="5">
        <v>50</v>
      </c>
      <c r="AB682" s="8" t="s">
        <v>966</v>
      </c>
      <c r="AC682" s="8" t="s">
        <v>966</v>
      </c>
      <c r="AD682" s="8" t="s">
        <v>1026</v>
      </c>
      <c r="AE682" s="8" t="s">
        <v>1026</v>
      </c>
      <c r="AF682" s="8" t="s">
        <v>1026</v>
      </c>
      <c r="AG682" s="8" t="s">
        <v>1026</v>
      </c>
      <c r="AH682" s="8" t="s">
        <v>1026</v>
      </c>
      <c r="AI682" s="8" t="s">
        <v>1026</v>
      </c>
    </row>
    <row r="683" spans="24:35" x14ac:dyDescent="0.25">
      <c r="X683" s="8" t="s">
        <v>770</v>
      </c>
      <c r="Y683" s="8" t="s">
        <v>966</v>
      </c>
      <c r="Z683" s="8" t="s">
        <v>966</v>
      </c>
      <c r="AA683" s="5">
        <v>50</v>
      </c>
      <c r="AB683" s="8" t="s">
        <v>966</v>
      </c>
      <c r="AC683" s="8" t="s">
        <v>966</v>
      </c>
      <c r="AD683" s="8" t="s">
        <v>1026</v>
      </c>
      <c r="AE683" s="8" t="s">
        <v>1026</v>
      </c>
      <c r="AF683" s="8" t="s">
        <v>1026</v>
      </c>
      <c r="AG683" s="8" t="s">
        <v>1026</v>
      </c>
      <c r="AH683" s="8" t="s">
        <v>1026</v>
      </c>
      <c r="AI683" s="8" t="s">
        <v>1026</v>
      </c>
    </row>
    <row r="684" spans="24:35" x14ac:dyDescent="0.25">
      <c r="X684" s="8" t="s">
        <v>771</v>
      </c>
      <c r="Y684" s="8" t="s">
        <v>966</v>
      </c>
      <c r="Z684" s="8" t="s">
        <v>966</v>
      </c>
      <c r="AA684" s="5">
        <v>50</v>
      </c>
      <c r="AB684" s="8" t="s">
        <v>966</v>
      </c>
      <c r="AC684" s="8" t="s">
        <v>966</v>
      </c>
      <c r="AD684" s="8" t="s">
        <v>1026</v>
      </c>
      <c r="AE684" s="8" t="s">
        <v>1026</v>
      </c>
      <c r="AF684" s="8" t="s">
        <v>1026</v>
      </c>
      <c r="AG684" s="8" t="s">
        <v>1026</v>
      </c>
      <c r="AH684" s="8" t="s">
        <v>1026</v>
      </c>
      <c r="AI684" s="8" t="s">
        <v>1026</v>
      </c>
    </row>
    <row r="685" spans="24:35" x14ac:dyDescent="0.25">
      <c r="X685" s="8" t="s">
        <v>772</v>
      </c>
      <c r="Y685" s="8" t="s">
        <v>966</v>
      </c>
      <c r="Z685" s="8" t="s">
        <v>966</v>
      </c>
      <c r="AA685" s="5">
        <v>50</v>
      </c>
      <c r="AB685" s="8" t="s">
        <v>966</v>
      </c>
      <c r="AC685" s="8" t="s">
        <v>966</v>
      </c>
      <c r="AD685" s="8" t="s">
        <v>1026</v>
      </c>
      <c r="AE685" s="8" t="s">
        <v>1026</v>
      </c>
      <c r="AF685" s="8" t="s">
        <v>1026</v>
      </c>
      <c r="AG685" s="8" t="s">
        <v>1026</v>
      </c>
      <c r="AH685" s="8" t="s">
        <v>1026</v>
      </c>
      <c r="AI685" s="8" t="s">
        <v>1026</v>
      </c>
    </row>
    <row r="686" spans="24:35" x14ac:dyDescent="0.25">
      <c r="X686" s="8" t="s">
        <v>773</v>
      </c>
      <c r="Y686" s="8" t="s">
        <v>966</v>
      </c>
      <c r="Z686" s="8" t="s">
        <v>966</v>
      </c>
      <c r="AA686" s="5">
        <v>50</v>
      </c>
      <c r="AB686" s="8" t="s">
        <v>966</v>
      </c>
      <c r="AC686" s="8" t="s">
        <v>966</v>
      </c>
      <c r="AD686" s="8" t="s">
        <v>1026</v>
      </c>
      <c r="AE686" s="8" t="s">
        <v>1026</v>
      </c>
      <c r="AF686" s="8" t="s">
        <v>1026</v>
      </c>
      <c r="AG686" s="8" t="s">
        <v>1026</v>
      </c>
      <c r="AH686" s="8" t="s">
        <v>1026</v>
      </c>
      <c r="AI686" s="8" t="s">
        <v>1026</v>
      </c>
    </row>
    <row r="687" spans="24:35" x14ac:dyDescent="0.25">
      <c r="X687" s="8" t="s">
        <v>774</v>
      </c>
      <c r="Y687" s="8" t="s">
        <v>966</v>
      </c>
      <c r="Z687" s="8" t="s">
        <v>966</v>
      </c>
      <c r="AA687" s="5">
        <v>50</v>
      </c>
      <c r="AB687" s="8" t="s">
        <v>966</v>
      </c>
      <c r="AC687" s="8" t="s">
        <v>966</v>
      </c>
      <c r="AD687" s="8" t="s">
        <v>1026</v>
      </c>
      <c r="AE687" s="8" t="s">
        <v>1026</v>
      </c>
      <c r="AF687" s="8" t="s">
        <v>1026</v>
      </c>
      <c r="AG687" s="8" t="s">
        <v>1026</v>
      </c>
      <c r="AH687" s="8" t="s">
        <v>1026</v>
      </c>
      <c r="AI687" s="8" t="s">
        <v>1026</v>
      </c>
    </row>
    <row r="688" spans="24:35" x14ac:dyDescent="0.25">
      <c r="X688" s="8" t="s">
        <v>775</v>
      </c>
      <c r="Y688" s="8" t="s">
        <v>966</v>
      </c>
      <c r="Z688" s="8" t="s">
        <v>966</v>
      </c>
      <c r="AA688" s="5">
        <v>50</v>
      </c>
      <c r="AB688" s="8" t="s">
        <v>966</v>
      </c>
      <c r="AC688" s="8" t="s">
        <v>966</v>
      </c>
      <c r="AD688" s="8" t="s">
        <v>1026</v>
      </c>
      <c r="AE688" s="8" t="s">
        <v>1026</v>
      </c>
      <c r="AF688" s="8" t="s">
        <v>1026</v>
      </c>
      <c r="AG688" s="8" t="s">
        <v>1026</v>
      </c>
      <c r="AH688" s="8" t="s">
        <v>1026</v>
      </c>
      <c r="AI688" s="8" t="s">
        <v>1026</v>
      </c>
    </row>
    <row r="689" spans="24:35" x14ac:dyDescent="0.25">
      <c r="X689" s="8" t="s">
        <v>776</v>
      </c>
      <c r="Y689" s="8" t="s">
        <v>966</v>
      </c>
      <c r="Z689" s="8" t="s">
        <v>966</v>
      </c>
      <c r="AA689" s="5">
        <v>50</v>
      </c>
      <c r="AB689" s="8" t="s">
        <v>966</v>
      </c>
      <c r="AC689" s="8" t="s">
        <v>966</v>
      </c>
      <c r="AD689" s="8" t="s">
        <v>1026</v>
      </c>
      <c r="AE689" s="8" t="s">
        <v>1026</v>
      </c>
      <c r="AF689" s="8" t="s">
        <v>1026</v>
      </c>
      <c r="AG689" s="8" t="s">
        <v>1026</v>
      </c>
      <c r="AH689" s="8" t="s">
        <v>1026</v>
      </c>
      <c r="AI689" s="8" t="s">
        <v>1026</v>
      </c>
    </row>
    <row r="690" spans="24:35" x14ac:dyDescent="0.25">
      <c r="X690" s="8" t="s">
        <v>777</v>
      </c>
      <c r="Y690" s="8" t="s">
        <v>966</v>
      </c>
      <c r="Z690" s="8" t="s">
        <v>966</v>
      </c>
      <c r="AA690" s="5">
        <v>50</v>
      </c>
      <c r="AB690" s="8" t="s">
        <v>966</v>
      </c>
      <c r="AC690" s="8" t="s">
        <v>966</v>
      </c>
      <c r="AD690" s="8" t="s">
        <v>1026</v>
      </c>
      <c r="AE690" s="8" t="s">
        <v>1026</v>
      </c>
      <c r="AF690" s="8" t="s">
        <v>1026</v>
      </c>
      <c r="AG690" s="8" t="s">
        <v>1026</v>
      </c>
      <c r="AH690" s="8" t="s">
        <v>1026</v>
      </c>
      <c r="AI690" s="8" t="s">
        <v>1026</v>
      </c>
    </row>
    <row r="691" spans="24:35" x14ac:dyDescent="0.25">
      <c r="X691" s="8" t="s">
        <v>778</v>
      </c>
      <c r="Y691" s="8" t="s">
        <v>966</v>
      </c>
      <c r="Z691" s="8" t="s">
        <v>966</v>
      </c>
      <c r="AA691" s="5">
        <v>50</v>
      </c>
      <c r="AB691" s="8" t="s">
        <v>966</v>
      </c>
      <c r="AC691" s="8" t="s">
        <v>966</v>
      </c>
      <c r="AD691" s="8" t="s">
        <v>1026</v>
      </c>
      <c r="AE691" s="8" t="s">
        <v>1026</v>
      </c>
      <c r="AF691" s="8" t="s">
        <v>1026</v>
      </c>
      <c r="AG691" s="8" t="s">
        <v>1026</v>
      </c>
      <c r="AH691" s="8" t="s">
        <v>1026</v>
      </c>
      <c r="AI691" s="8" t="s">
        <v>1026</v>
      </c>
    </row>
    <row r="692" spans="24:35" x14ac:dyDescent="0.25">
      <c r="X692" s="8" t="s">
        <v>779</v>
      </c>
      <c r="Y692" s="8" t="s">
        <v>966</v>
      </c>
      <c r="Z692" s="8" t="s">
        <v>966</v>
      </c>
      <c r="AA692" s="5">
        <v>50</v>
      </c>
      <c r="AB692" s="8" t="s">
        <v>966</v>
      </c>
      <c r="AC692" s="8" t="s">
        <v>966</v>
      </c>
      <c r="AD692" s="8" t="s">
        <v>1026</v>
      </c>
      <c r="AE692" s="8" t="s">
        <v>1026</v>
      </c>
      <c r="AF692" s="8" t="s">
        <v>1026</v>
      </c>
      <c r="AG692" s="8" t="s">
        <v>1026</v>
      </c>
      <c r="AH692" s="8" t="s">
        <v>1026</v>
      </c>
      <c r="AI692" s="8" t="s">
        <v>1026</v>
      </c>
    </row>
    <row r="693" spans="24:35" x14ac:dyDescent="0.25">
      <c r="X693" s="8" t="s">
        <v>780</v>
      </c>
      <c r="Y693" s="8" t="s">
        <v>966</v>
      </c>
      <c r="Z693" s="8" t="s">
        <v>966</v>
      </c>
      <c r="AA693" s="5">
        <v>50</v>
      </c>
      <c r="AB693" s="8" t="s">
        <v>966</v>
      </c>
      <c r="AC693" s="8" t="s">
        <v>966</v>
      </c>
      <c r="AD693" s="8" t="s">
        <v>1026</v>
      </c>
      <c r="AE693" s="8" t="s">
        <v>1026</v>
      </c>
      <c r="AF693" s="8" t="s">
        <v>1026</v>
      </c>
      <c r="AG693" s="8" t="s">
        <v>1026</v>
      </c>
      <c r="AH693" s="8" t="s">
        <v>1026</v>
      </c>
      <c r="AI693" s="8" t="s">
        <v>1026</v>
      </c>
    </row>
    <row r="694" spans="24:35" x14ac:dyDescent="0.25">
      <c r="X694" s="8" t="s">
        <v>781</v>
      </c>
      <c r="Y694" s="8" t="s">
        <v>966</v>
      </c>
      <c r="Z694" s="8" t="s">
        <v>966</v>
      </c>
      <c r="AA694" s="5">
        <v>50</v>
      </c>
      <c r="AB694" s="8" t="s">
        <v>966</v>
      </c>
      <c r="AC694" s="8" t="s">
        <v>966</v>
      </c>
      <c r="AD694" s="8" t="s">
        <v>1026</v>
      </c>
      <c r="AE694" s="8" t="s">
        <v>1026</v>
      </c>
      <c r="AF694" s="8" t="s">
        <v>1026</v>
      </c>
      <c r="AG694" s="8" t="s">
        <v>1026</v>
      </c>
      <c r="AH694" s="8" t="s">
        <v>1026</v>
      </c>
      <c r="AI694" s="8" t="s">
        <v>1026</v>
      </c>
    </row>
    <row r="695" spans="24:35" x14ac:dyDescent="0.25">
      <c r="X695" s="8" t="s">
        <v>782</v>
      </c>
      <c r="Y695" s="8" t="s">
        <v>966</v>
      </c>
      <c r="Z695" s="8" t="s">
        <v>966</v>
      </c>
      <c r="AA695" s="5">
        <v>50</v>
      </c>
      <c r="AB695" s="8" t="s">
        <v>966</v>
      </c>
      <c r="AC695" s="8" t="s">
        <v>966</v>
      </c>
      <c r="AD695" s="8" t="s">
        <v>1026</v>
      </c>
      <c r="AE695" s="8" t="s">
        <v>1026</v>
      </c>
      <c r="AF695" s="8" t="s">
        <v>1026</v>
      </c>
      <c r="AG695" s="8" t="s">
        <v>1026</v>
      </c>
      <c r="AH695" s="8" t="s">
        <v>1026</v>
      </c>
      <c r="AI695" s="8" t="s">
        <v>1026</v>
      </c>
    </row>
    <row r="696" spans="24:35" x14ac:dyDescent="0.25">
      <c r="X696" s="8" t="s">
        <v>783</v>
      </c>
      <c r="Y696" s="8" t="s">
        <v>966</v>
      </c>
      <c r="Z696" s="8" t="s">
        <v>966</v>
      </c>
      <c r="AA696" s="5">
        <v>50</v>
      </c>
      <c r="AB696" s="8" t="s">
        <v>966</v>
      </c>
      <c r="AC696" s="8" t="s">
        <v>966</v>
      </c>
      <c r="AD696" s="8" t="s">
        <v>1026</v>
      </c>
      <c r="AE696" s="8" t="s">
        <v>1026</v>
      </c>
      <c r="AF696" s="8" t="s">
        <v>1026</v>
      </c>
      <c r="AG696" s="8" t="s">
        <v>1026</v>
      </c>
      <c r="AH696" s="8" t="s">
        <v>1026</v>
      </c>
      <c r="AI696" s="8" t="s">
        <v>1026</v>
      </c>
    </row>
    <row r="697" spans="24:35" x14ac:dyDescent="0.25">
      <c r="X697" s="8" t="s">
        <v>784</v>
      </c>
      <c r="Y697" s="8" t="s">
        <v>966</v>
      </c>
      <c r="Z697" s="8" t="s">
        <v>966</v>
      </c>
      <c r="AA697" s="5">
        <v>50</v>
      </c>
      <c r="AB697" s="8" t="s">
        <v>966</v>
      </c>
      <c r="AC697" s="8" t="s">
        <v>966</v>
      </c>
      <c r="AD697" s="8" t="s">
        <v>1026</v>
      </c>
      <c r="AE697" s="8" t="s">
        <v>1026</v>
      </c>
      <c r="AF697" s="8" t="s">
        <v>1026</v>
      </c>
      <c r="AG697" s="8" t="s">
        <v>1026</v>
      </c>
      <c r="AH697" s="8" t="s">
        <v>1026</v>
      </c>
      <c r="AI697" s="8" t="s">
        <v>1026</v>
      </c>
    </row>
    <row r="698" spans="24:35" x14ac:dyDescent="0.25">
      <c r="X698" s="8" t="s">
        <v>785</v>
      </c>
      <c r="Y698" s="8" t="s">
        <v>966</v>
      </c>
      <c r="Z698" s="8" t="s">
        <v>966</v>
      </c>
      <c r="AA698" s="5">
        <v>50</v>
      </c>
      <c r="AB698" s="8" t="s">
        <v>966</v>
      </c>
      <c r="AC698" s="8" t="s">
        <v>966</v>
      </c>
      <c r="AD698" s="8" t="s">
        <v>1026</v>
      </c>
      <c r="AE698" s="8" t="s">
        <v>1026</v>
      </c>
      <c r="AF698" s="8" t="s">
        <v>1026</v>
      </c>
      <c r="AG698" s="8" t="s">
        <v>1026</v>
      </c>
      <c r="AH698" s="8" t="s">
        <v>1026</v>
      </c>
      <c r="AI698" s="8" t="s">
        <v>1026</v>
      </c>
    </row>
    <row r="699" spans="24:35" x14ac:dyDescent="0.25">
      <c r="X699" s="8" t="s">
        <v>786</v>
      </c>
      <c r="Y699" s="8" t="s">
        <v>966</v>
      </c>
      <c r="Z699" s="8" t="s">
        <v>966</v>
      </c>
      <c r="AA699" s="5">
        <v>50</v>
      </c>
      <c r="AB699" s="8" t="s">
        <v>966</v>
      </c>
      <c r="AC699" s="8" t="s">
        <v>966</v>
      </c>
      <c r="AD699" s="8" t="s">
        <v>1026</v>
      </c>
      <c r="AE699" s="8" t="s">
        <v>1026</v>
      </c>
      <c r="AF699" s="8" t="s">
        <v>1026</v>
      </c>
      <c r="AG699" s="8" t="s">
        <v>1026</v>
      </c>
      <c r="AH699" s="8" t="s">
        <v>1026</v>
      </c>
      <c r="AI699" s="8" t="s">
        <v>1026</v>
      </c>
    </row>
    <row r="700" spans="24:35" x14ac:dyDescent="0.25">
      <c r="X700" s="8" t="s">
        <v>787</v>
      </c>
      <c r="Y700" s="8" t="s">
        <v>966</v>
      </c>
      <c r="Z700" s="8" t="s">
        <v>966</v>
      </c>
      <c r="AA700" s="5">
        <v>50</v>
      </c>
      <c r="AB700" s="8" t="s">
        <v>966</v>
      </c>
      <c r="AC700" s="8" t="s">
        <v>966</v>
      </c>
      <c r="AD700" s="8" t="s">
        <v>1026</v>
      </c>
      <c r="AE700" s="8" t="s">
        <v>1026</v>
      </c>
      <c r="AF700" s="8" t="s">
        <v>1026</v>
      </c>
      <c r="AG700" s="8" t="s">
        <v>1026</v>
      </c>
      <c r="AH700" s="8" t="s">
        <v>1026</v>
      </c>
      <c r="AI700" s="8" t="s">
        <v>1026</v>
      </c>
    </row>
    <row r="701" spans="24:35" x14ac:dyDescent="0.25">
      <c r="X701" s="8" t="s">
        <v>788</v>
      </c>
      <c r="Y701" s="8" t="s">
        <v>966</v>
      </c>
      <c r="Z701" s="8" t="s">
        <v>966</v>
      </c>
      <c r="AA701" s="5">
        <v>50</v>
      </c>
      <c r="AB701" s="8" t="s">
        <v>966</v>
      </c>
      <c r="AC701" s="8" t="s">
        <v>966</v>
      </c>
      <c r="AD701" s="8" t="s">
        <v>1026</v>
      </c>
      <c r="AE701" s="8" t="s">
        <v>1026</v>
      </c>
      <c r="AF701" s="8" t="s">
        <v>1026</v>
      </c>
      <c r="AG701" s="8" t="s">
        <v>1026</v>
      </c>
      <c r="AH701" s="8" t="s">
        <v>1026</v>
      </c>
      <c r="AI701" s="8" t="s">
        <v>1026</v>
      </c>
    </row>
    <row r="702" spans="24:35" x14ac:dyDescent="0.25">
      <c r="X702" s="8" t="s">
        <v>789</v>
      </c>
      <c r="Y702" s="8" t="s">
        <v>970</v>
      </c>
      <c r="Z702" s="8" t="s">
        <v>1005</v>
      </c>
      <c r="AA702" s="5">
        <v>12</v>
      </c>
      <c r="AB702" s="8" t="s">
        <v>1010</v>
      </c>
      <c r="AC702" s="8" t="s">
        <v>990</v>
      </c>
      <c r="AD702" s="8" t="s">
        <v>1026</v>
      </c>
      <c r="AE702" s="8" t="s">
        <v>1026</v>
      </c>
      <c r="AF702" s="8" t="s">
        <v>1026</v>
      </c>
      <c r="AG702" s="8" t="s">
        <v>1026</v>
      </c>
      <c r="AH702" s="8" t="s">
        <v>1026</v>
      </c>
      <c r="AI702" s="8" t="s">
        <v>1026</v>
      </c>
    </row>
    <row r="703" spans="24:35" x14ac:dyDescent="0.25">
      <c r="X703" s="8" t="s">
        <v>790</v>
      </c>
      <c r="Y703" s="8" t="s">
        <v>977</v>
      </c>
      <c r="Z703" s="8" t="s">
        <v>1004</v>
      </c>
      <c r="AA703" s="5">
        <v>9</v>
      </c>
      <c r="AB703" s="8" t="s">
        <v>1005</v>
      </c>
      <c r="AC703" s="8" t="s">
        <v>1012</v>
      </c>
      <c r="AD703" s="8" t="s">
        <v>1026</v>
      </c>
      <c r="AE703" s="8" t="s">
        <v>1026</v>
      </c>
      <c r="AF703" s="8" t="s">
        <v>1026</v>
      </c>
      <c r="AG703" s="8" t="s">
        <v>1026</v>
      </c>
      <c r="AH703" s="8" t="s">
        <v>1026</v>
      </c>
      <c r="AI703" s="8" t="s">
        <v>1026</v>
      </c>
    </row>
    <row r="704" spans="24:35" x14ac:dyDescent="0.25">
      <c r="X704" s="8" t="s">
        <v>791</v>
      </c>
      <c r="Y704" s="8" t="s">
        <v>1009</v>
      </c>
      <c r="Z704" s="8" t="s">
        <v>932</v>
      </c>
      <c r="AA704" s="5">
        <v>26</v>
      </c>
      <c r="AB704" s="8" t="s">
        <v>995</v>
      </c>
      <c r="AC704" s="8" t="s">
        <v>938</v>
      </c>
      <c r="AD704" s="8" t="s">
        <v>1026</v>
      </c>
      <c r="AE704" s="8" t="s">
        <v>1026</v>
      </c>
      <c r="AF704" s="8" t="s">
        <v>1026</v>
      </c>
      <c r="AG704" s="8" t="s">
        <v>1026</v>
      </c>
      <c r="AH704" s="8" t="s">
        <v>1026</v>
      </c>
      <c r="AI704" s="8" t="s">
        <v>1026</v>
      </c>
    </row>
    <row r="705" spans="24:35" x14ac:dyDescent="0.25">
      <c r="X705" s="8" t="s">
        <v>792</v>
      </c>
      <c r="Y705" s="8" t="s">
        <v>1009</v>
      </c>
      <c r="Z705" s="8" t="s">
        <v>970</v>
      </c>
      <c r="AA705" s="5">
        <v>66</v>
      </c>
      <c r="AB705" s="8" t="s">
        <v>982</v>
      </c>
      <c r="AC705" s="8" t="s">
        <v>1018</v>
      </c>
      <c r="AD705" s="8" t="s">
        <v>1026</v>
      </c>
      <c r="AE705" s="8" t="s">
        <v>1026</v>
      </c>
      <c r="AF705" s="8" t="s">
        <v>1026</v>
      </c>
      <c r="AG705" s="8" t="s">
        <v>1026</v>
      </c>
      <c r="AH705" s="8" t="s">
        <v>1026</v>
      </c>
      <c r="AI705" s="8" t="s">
        <v>1026</v>
      </c>
    </row>
    <row r="706" spans="24:35" x14ac:dyDescent="0.25">
      <c r="X706" s="8" t="s">
        <v>793</v>
      </c>
      <c r="Y706" s="8" t="s">
        <v>986</v>
      </c>
      <c r="Z706" s="8" t="s">
        <v>999</v>
      </c>
      <c r="AA706" s="5">
        <v>68</v>
      </c>
      <c r="AB706" s="8" t="s">
        <v>960</v>
      </c>
      <c r="AC706" s="8" t="s">
        <v>926</v>
      </c>
      <c r="AD706" s="8" t="s">
        <v>1026</v>
      </c>
      <c r="AE706" s="8" t="s">
        <v>1026</v>
      </c>
      <c r="AF706" s="8" t="s">
        <v>1026</v>
      </c>
      <c r="AG706" s="8" t="s">
        <v>1026</v>
      </c>
      <c r="AH706" s="8" t="s">
        <v>1026</v>
      </c>
      <c r="AI706" s="8" t="s">
        <v>1026</v>
      </c>
    </row>
    <row r="707" spans="24:35" x14ac:dyDescent="0.25">
      <c r="X707" s="8" t="s">
        <v>794</v>
      </c>
      <c r="Y707" s="8" t="s">
        <v>991</v>
      </c>
      <c r="Z707" s="8" t="s">
        <v>932</v>
      </c>
      <c r="AA707" s="5">
        <v>72</v>
      </c>
      <c r="AB707" s="8" t="s">
        <v>937</v>
      </c>
      <c r="AC707" s="8" t="s">
        <v>943</v>
      </c>
      <c r="AD707" s="8" t="s">
        <v>1026</v>
      </c>
      <c r="AE707" s="8" t="s">
        <v>1026</v>
      </c>
      <c r="AF707" s="8" t="s">
        <v>1026</v>
      </c>
      <c r="AG707" s="8" t="s">
        <v>1026</v>
      </c>
      <c r="AH707" s="8" t="s">
        <v>1026</v>
      </c>
      <c r="AI707" s="8" t="s">
        <v>1026</v>
      </c>
    </row>
    <row r="708" spans="24:35" x14ac:dyDescent="0.25">
      <c r="X708" s="8" t="s">
        <v>795</v>
      </c>
      <c r="Y708" s="8" t="s">
        <v>957</v>
      </c>
      <c r="Z708" s="8" t="s">
        <v>1012</v>
      </c>
      <c r="AA708" s="5">
        <v>74</v>
      </c>
      <c r="AB708" s="8" t="s">
        <v>961</v>
      </c>
      <c r="AC708" s="8" t="s">
        <v>983</v>
      </c>
      <c r="AD708" s="8" t="s">
        <v>1026</v>
      </c>
      <c r="AE708" s="8" t="s">
        <v>1026</v>
      </c>
      <c r="AF708" s="8" t="s">
        <v>1026</v>
      </c>
      <c r="AG708" s="8" t="s">
        <v>1026</v>
      </c>
      <c r="AH708" s="8" t="s">
        <v>1026</v>
      </c>
      <c r="AI708" s="8" t="s">
        <v>1026</v>
      </c>
    </row>
    <row r="709" spans="24:35" x14ac:dyDescent="0.25">
      <c r="X709" s="8" t="s">
        <v>796</v>
      </c>
      <c r="Y709" s="8" t="s">
        <v>988</v>
      </c>
      <c r="Z709" s="8" t="s">
        <v>988</v>
      </c>
      <c r="AA709" s="5">
        <v>94</v>
      </c>
      <c r="AB709" s="8" t="s">
        <v>1010</v>
      </c>
      <c r="AC709" s="8" t="s">
        <v>937</v>
      </c>
      <c r="AD709" s="8" t="s">
        <v>1026</v>
      </c>
      <c r="AE709" s="8" t="s">
        <v>1026</v>
      </c>
      <c r="AF709" s="8" t="s">
        <v>1026</v>
      </c>
      <c r="AG709" s="8" t="s">
        <v>1026</v>
      </c>
      <c r="AH709" s="8" t="s">
        <v>1026</v>
      </c>
      <c r="AI709" s="8" t="s">
        <v>1026</v>
      </c>
    </row>
    <row r="710" spans="24:35" x14ac:dyDescent="0.25">
      <c r="X710" s="8" t="s">
        <v>797</v>
      </c>
      <c r="Y710" s="8" t="s">
        <v>990</v>
      </c>
      <c r="Z710" s="8" t="s">
        <v>986</v>
      </c>
      <c r="AA710" s="5">
        <v>92</v>
      </c>
      <c r="AB710" s="8" t="s">
        <v>1011</v>
      </c>
      <c r="AC710" s="8" t="s">
        <v>928</v>
      </c>
      <c r="AD710" s="8" t="s">
        <v>1026</v>
      </c>
      <c r="AE710" s="8" t="s">
        <v>1026</v>
      </c>
      <c r="AF710" s="8" t="s">
        <v>1026</v>
      </c>
      <c r="AG710" s="8" t="s">
        <v>1026</v>
      </c>
      <c r="AH710" s="8" t="s">
        <v>1026</v>
      </c>
      <c r="AI710" s="8" t="s">
        <v>1026</v>
      </c>
    </row>
    <row r="711" spans="24:35" x14ac:dyDescent="0.25">
      <c r="X711" s="8" t="s">
        <v>798</v>
      </c>
      <c r="Y711" s="8" t="s">
        <v>977</v>
      </c>
      <c r="Z711" s="8" t="s">
        <v>970</v>
      </c>
      <c r="AA711" s="5">
        <v>83</v>
      </c>
      <c r="AB711" s="8" t="s">
        <v>940</v>
      </c>
      <c r="AC711" s="8" t="s">
        <v>970</v>
      </c>
      <c r="AD711" s="8" t="s">
        <v>1026</v>
      </c>
      <c r="AE711" s="8" t="s">
        <v>1026</v>
      </c>
      <c r="AF711" s="8" t="s">
        <v>1026</v>
      </c>
      <c r="AG711" s="8" t="s">
        <v>1026</v>
      </c>
      <c r="AH711" s="8" t="s">
        <v>1026</v>
      </c>
      <c r="AI711" s="8" t="s">
        <v>1026</v>
      </c>
    </row>
    <row r="712" spans="24:35" x14ac:dyDescent="0.25">
      <c r="X712" s="8" t="s">
        <v>799</v>
      </c>
      <c r="Y712" s="8" t="s">
        <v>986</v>
      </c>
      <c r="Z712" s="8" t="s">
        <v>986</v>
      </c>
      <c r="AA712" s="5">
        <v>64</v>
      </c>
      <c r="AB712" s="8" t="s">
        <v>938</v>
      </c>
      <c r="AC712" s="8" t="s">
        <v>921</v>
      </c>
      <c r="AD712" s="8" t="s">
        <v>1026</v>
      </c>
      <c r="AE712" s="8" t="s">
        <v>1026</v>
      </c>
      <c r="AF712" s="8" t="s">
        <v>1026</v>
      </c>
      <c r="AG712" s="8" t="s">
        <v>1026</v>
      </c>
      <c r="AH712" s="8" t="s">
        <v>1026</v>
      </c>
      <c r="AI712" s="8" t="s">
        <v>1026</v>
      </c>
    </row>
    <row r="713" spans="24:35" x14ac:dyDescent="0.25">
      <c r="X713" s="8" t="s">
        <v>800</v>
      </c>
      <c r="Y713" s="8" t="s">
        <v>1009</v>
      </c>
      <c r="Z713" s="8" t="s">
        <v>970</v>
      </c>
      <c r="AA713" s="5">
        <v>66</v>
      </c>
      <c r="AB713" s="8" t="s">
        <v>921</v>
      </c>
      <c r="AC713" s="8" t="s">
        <v>983</v>
      </c>
      <c r="AD713" s="8" t="s">
        <v>1026</v>
      </c>
      <c r="AE713" s="8" t="s">
        <v>1026</v>
      </c>
      <c r="AF713" s="8" t="s">
        <v>1026</v>
      </c>
      <c r="AG713" s="8" t="s">
        <v>1026</v>
      </c>
      <c r="AH713" s="8" t="s">
        <v>1026</v>
      </c>
      <c r="AI713" s="8" t="s">
        <v>1026</v>
      </c>
    </row>
    <row r="714" spans="24:35" x14ac:dyDescent="0.25">
      <c r="X714" s="8" t="s">
        <v>801</v>
      </c>
      <c r="Y714" s="8" t="s">
        <v>966</v>
      </c>
      <c r="Z714" s="8" t="s">
        <v>966</v>
      </c>
      <c r="AA714" s="5">
        <v>90</v>
      </c>
      <c r="AB714" s="8" t="s">
        <v>966</v>
      </c>
      <c r="AC714" s="8" t="s">
        <v>961</v>
      </c>
      <c r="AD714" s="8" t="s">
        <v>1026</v>
      </c>
      <c r="AE714" s="8" t="s">
        <v>1026</v>
      </c>
      <c r="AF714" s="8" t="s">
        <v>1026</v>
      </c>
      <c r="AG714" s="8" t="s">
        <v>1026</v>
      </c>
      <c r="AH714" s="8" t="s">
        <v>1026</v>
      </c>
      <c r="AI714" s="8" t="s">
        <v>1026</v>
      </c>
    </row>
    <row r="715" spans="24:35" x14ac:dyDescent="0.25">
      <c r="X715" s="8" t="s">
        <v>802</v>
      </c>
      <c r="Y715" s="8" t="s">
        <v>966</v>
      </c>
      <c r="Z715" s="8" t="s">
        <v>966</v>
      </c>
      <c r="AA715" s="5">
        <v>90</v>
      </c>
      <c r="AB715" s="8" t="s">
        <v>966</v>
      </c>
      <c r="AC715" s="8" t="s">
        <v>961</v>
      </c>
      <c r="AD715" s="8" t="s">
        <v>1026</v>
      </c>
      <c r="AE715" s="8" t="s">
        <v>1026</v>
      </c>
      <c r="AF715" s="8" t="s">
        <v>1026</v>
      </c>
      <c r="AG715" s="8" t="s">
        <v>1026</v>
      </c>
      <c r="AH715" s="8" t="s">
        <v>1026</v>
      </c>
      <c r="AI715" s="8" t="s">
        <v>1026</v>
      </c>
    </row>
    <row r="716" spans="24:35" x14ac:dyDescent="0.25">
      <c r="X716" s="8" t="s">
        <v>803</v>
      </c>
      <c r="Y716" s="8" t="s">
        <v>1006</v>
      </c>
      <c r="Z716" s="8" t="s">
        <v>1006</v>
      </c>
      <c r="AA716" s="5">
        <v>1</v>
      </c>
      <c r="AB716" s="8" t="s">
        <v>1006</v>
      </c>
      <c r="AC716" s="8" t="s">
        <v>1006</v>
      </c>
      <c r="AD716" s="8" t="s">
        <v>1026</v>
      </c>
      <c r="AE716" s="8" t="s">
        <v>1026</v>
      </c>
      <c r="AF716" s="8" t="s">
        <v>1026</v>
      </c>
      <c r="AG716" s="8" t="s">
        <v>1026</v>
      </c>
      <c r="AH716" s="8" t="s">
        <v>1026</v>
      </c>
      <c r="AI716" s="8" t="s">
        <v>1026</v>
      </c>
    </row>
    <row r="717" spans="24:35" x14ac:dyDescent="0.25">
      <c r="X717" s="8" t="s">
        <v>804</v>
      </c>
      <c r="Y717" s="8" t="s">
        <v>988</v>
      </c>
      <c r="Z717" s="8" t="s">
        <v>1012</v>
      </c>
      <c r="AA717" s="5">
        <v>12</v>
      </c>
      <c r="AB717" s="8" t="s">
        <v>1006</v>
      </c>
      <c r="AC717" s="8" t="s">
        <v>1006</v>
      </c>
      <c r="AD717" s="8" t="s">
        <v>1026</v>
      </c>
      <c r="AE717" s="8" t="s">
        <v>1026</v>
      </c>
      <c r="AF717" s="8" t="s">
        <v>1026</v>
      </c>
      <c r="AG717" s="8" t="s">
        <v>1026</v>
      </c>
      <c r="AH717" s="8" t="s">
        <v>1026</v>
      </c>
      <c r="AI717" s="8" t="s">
        <v>1026</v>
      </c>
    </row>
    <row r="718" spans="24:35" x14ac:dyDescent="0.25">
      <c r="X718" s="8" t="s">
        <v>805</v>
      </c>
      <c r="Y718" s="8" t="s">
        <v>1006</v>
      </c>
      <c r="Z718" s="8" t="s">
        <v>988</v>
      </c>
      <c r="AA718" s="5">
        <v>1</v>
      </c>
      <c r="AB718" s="8" t="s">
        <v>1006</v>
      </c>
      <c r="AC718" s="8" t="s">
        <v>1006</v>
      </c>
      <c r="AD718" s="8" t="s">
        <v>1026</v>
      </c>
      <c r="AE718" s="8" t="s">
        <v>1026</v>
      </c>
      <c r="AF718" s="8" t="s">
        <v>1026</v>
      </c>
      <c r="AG718" s="8" t="s">
        <v>1026</v>
      </c>
      <c r="AH718" s="8" t="s">
        <v>1026</v>
      </c>
      <c r="AI718" s="8" t="s">
        <v>1026</v>
      </c>
    </row>
    <row r="719" spans="24:35" x14ac:dyDescent="0.25">
      <c r="X719" s="8" t="s">
        <v>806</v>
      </c>
      <c r="Y719" s="8" t="s">
        <v>1006</v>
      </c>
      <c r="Z719" s="8" t="s">
        <v>1006</v>
      </c>
      <c r="AA719" s="5">
        <v>1</v>
      </c>
      <c r="AB719" s="8" t="s">
        <v>1006</v>
      </c>
      <c r="AC719" s="8" t="s">
        <v>1006</v>
      </c>
      <c r="AD719" s="8" t="s">
        <v>1026</v>
      </c>
      <c r="AE719" s="8" t="s">
        <v>1026</v>
      </c>
      <c r="AF719" s="8" t="s">
        <v>1026</v>
      </c>
      <c r="AG719" s="8" t="s">
        <v>1026</v>
      </c>
      <c r="AH719" s="8" t="s">
        <v>1026</v>
      </c>
      <c r="AI719" s="8" t="s">
        <v>1026</v>
      </c>
    </row>
    <row r="720" spans="24:35" x14ac:dyDescent="0.25">
      <c r="X720" s="8" t="s">
        <v>807</v>
      </c>
      <c r="Y720" s="8" t="s">
        <v>1006</v>
      </c>
      <c r="Z720" s="8" t="s">
        <v>1006</v>
      </c>
      <c r="AA720" s="5">
        <v>1</v>
      </c>
      <c r="AB720" s="8" t="s">
        <v>1006</v>
      </c>
      <c r="AC720" s="8" t="s">
        <v>1006</v>
      </c>
      <c r="AD720" s="8" t="s">
        <v>1026</v>
      </c>
      <c r="AE720" s="8" t="s">
        <v>1026</v>
      </c>
      <c r="AF720" s="8" t="s">
        <v>1026</v>
      </c>
      <c r="AG720" s="8" t="s">
        <v>1026</v>
      </c>
      <c r="AH720" s="8" t="s">
        <v>1026</v>
      </c>
      <c r="AI720" s="8" t="s">
        <v>1026</v>
      </c>
    </row>
    <row r="721" spans="24:35" x14ac:dyDescent="0.25">
      <c r="X721" s="8" t="s">
        <v>808</v>
      </c>
      <c r="Y721" s="8" t="s">
        <v>1006</v>
      </c>
      <c r="Z721" s="8" t="s">
        <v>1006</v>
      </c>
      <c r="AA721" s="5">
        <v>1</v>
      </c>
      <c r="AB721" s="8" t="s">
        <v>1006</v>
      </c>
      <c r="AC721" s="8" t="s">
        <v>1006</v>
      </c>
      <c r="AD721" s="8" t="s">
        <v>1026</v>
      </c>
      <c r="AE721" s="8" t="s">
        <v>1026</v>
      </c>
      <c r="AF721" s="8" t="s">
        <v>1026</v>
      </c>
      <c r="AG721" s="8" t="s">
        <v>1026</v>
      </c>
      <c r="AH721" s="8" t="s">
        <v>1026</v>
      </c>
      <c r="AI721" s="8" t="s">
        <v>1026</v>
      </c>
    </row>
    <row r="722" spans="24:35" x14ac:dyDescent="0.25">
      <c r="X722" s="8" t="s">
        <v>809</v>
      </c>
      <c r="Y722" s="8" t="s">
        <v>1006</v>
      </c>
      <c r="Z722" s="8" t="s">
        <v>1006</v>
      </c>
      <c r="AA722" s="5">
        <v>1</v>
      </c>
      <c r="AB722" s="8" t="s">
        <v>1006</v>
      </c>
      <c r="AC722" s="8" t="s">
        <v>1006</v>
      </c>
      <c r="AD722" s="8" t="s">
        <v>1026</v>
      </c>
      <c r="AE722" s="8" t="s">
        <v>1026</v>
      </c>
      <c r="AF722" s="8" t="s">
        <v>1026</v>
      </c>
      <c r="AG722" s="8" t="s">
        <v>1026</v>
      </c>
      <c r="AH722" s="8" t="s">
        <v>1026</v>
      </c>
      <c r="AI722" s="8" t="s">
        <v>1026</v>
      </c>
    </row>
    <row r="723" spans="24:35" x14ac:dyDescent="0.25">
      <c r="X723" s="8" t="s">
        <v>810</v>
      </c>
      <c r="Y723" s="8" t="s">
        <v>954</v>
      </c>
      <c r="Z723" s="8" t="s">
        <v>926</v>
      </c>
      <c r="AA723" s="5">
        <v>30</v>
      </c>
      <c r="AB723" s="8" t="s">
        <v>990</v>
      </c>
      <c r="AC723" s="8" t="s">
        <v>967</v>
      </c>
      <c r="AD723" s="8" t="s">
        <v>1026</v>
      </c>
      <c r="AE723" s="8" t="s">
        <v>1026</v>
      </c>
      <c r="AF723" s="8" t="s">
        <v>1027</v>
      </c>
      <c r="AG723" s="8" t="s">
        <v>1025</v>
      </c>
      <c r="AH723" s="8" t="s">
        <v>1026</v>
      </c>
      <c r="AI723" s="8" t="s">
        <v>1026</v>
      </c>
    </row>
    <row r="724" spans="24:35" x14ac:dyDescent="0.25">
      <c r="X724" s="8" t="s">
        <v>811</v>
      </c>
      <c r="Y724" s="8" t="s">
        <v>973</v>
      </c>
      <c r="Z724" s="8" t="s">
        <v>948</v>
      </c>
      <c r="AA724" s="5">
        <v>25</v>
      </c>
      <c r="AB724" s="8" t="s">
        <v>957</v>
      </c>
      <c r="AC724" s="8" t="s">
        <v>935</v>
      </c>
      <c r="AD724" s="8" t="s">
        <v>1026</v>
      </c>
      <c r="AE724" s="8" t="s">
        <v>1026</v>
      </c>
      <c r="AF724" s="8" t="s">
        <v>1027</v>
      </c>
      <c r="AG724" s="8" t="s">
        <v>1025</v>
      </c>
      <c r="AH724" s="8" t="s">
        <v>1026</v>
      </c>
      <c r="AI724" s="8" t="s">
        <v>1026</v>
      </c>
    </row>
    <row r="725" spans="24:35" x14ac:dyDescent="0.25">
      <c r="X725" s="8" t="s">
        <v>812</v>
      </c>
      <c r="Y725" s="8" t="s">
        <v>975</v>
      </c>
      <c r="Z725" s="8" t="s">
        <v>958</v>
      </c>
      <c r="AA725" s="5">
        <v>31</v>
      </c>
      <c r="AB725" s="8" t="s">
        <v>950</v>
      </c>
      <c r="AC725" s="8" t="s">
        <v>933</v>
      </c>
      <c r="AD725" s="8" t="s">
        <v>1027</v>
      </c>
      <c r="AE725" s="8" t="s">
        <v>1026</v>
      </c>
      <c r="AF725" s="8" t="s">
        <v>1026</v>
      </c>
      <c r="AG725" s="8" t="s">
        <v>1025</v>
      </c>
      <c r="AH725" s="8" t="s">
        <v>1026</v>
      </c>
      <c r="AI725" s="8" t="s">
        <v>1026</v>
      </c>
    </row>
    <row r="726" spans="24:35" x14ac:dyDescent="0.25">
      <c r="X726" s="8" t="s">
        <v>813</v>
      </c>
      <c r="Y726" s="8" t="s">
        <v>978</v>
      </c>
      <c r="Z726" s="8" t="s">
        <v>937</v>
      </c>
      <c r="AA726" s="5">
        <v>19</v>
      </c>
      <c r="AB726" s="8" t="s">
        <v>935</v>
      </c>
      <c r="AC726" s="8" t="s">
        <v>1008</v>
      </c>
      <c r="AD726" s="8" t="s">
        <v>1027</v>
      </c>
      <c r="AE726" s="8" t="s">
        <v>1026</v>
      </c>
      <c r="AF726" s="8" t="s">
        <v>1026</v>
      </c>
      <c r="AG726" s="8" t="s">
        <v>1025</v>
      </c>
      <c r="AH726" s="8" t="s">
        <v>1026</v>
      </c>
      <c r="AI726" s="8" t="s">
        <v>1026</v>
      </c>
    </row>
    <row r="727" spans="24:35" x14ac:dyDescent="0.25">
      <c r="X727" s="8" t="s">
        <v>814</v>
      </c>
      <c r="Y727" s="8" t="s">
        <v>937</v>
      </c>
      <c r="Z727" s="8" t="s">
        <v>960</v>
      </c>
      <c r="AA727" s="5">
        <v>27</v>
      </c>
      <c r="AB727" s="8" t="s">
        <v>980</v>
      </c>
      <c r="AC727" s="8" t="s">
        <v>994</v>
      </c>
      <c r="AD727" s="8" t="s">
        <v>1027</v>
      </c>
      <c r="AE727" s="8" t="s">
        <v>1025</v>
      </c>
      <c r="AF727" s="8" t="s">
        <v>1027</v>
      </c>
      <c r="AG727" s="8" t="s">
        <v>1026</v>
      </c>
      <c r="AH727" s="8" t="s">
        <v>1026</v>
      </c>
      <c r="AI727" s="8" t="s">
        <v>1025</v>
      </c>
    </row>
    <row r="728" spans="24:35" x14ac:dyDescent="0.25">
      <c r="X728" s="8" t="s">
        <v>815</v>
      </c>
      <c r="Y728" s="8" t="s">
        <v>973</v>
      </c>
      <c r="Z728" s="8" t="s">
        <v>954</v>
      </c>
      <c r="AA728" s="5">
        <v>19</v>
      </c>
      <c r="AB728" s="8" t="s">
        <v>991</v>
      </c>
      <c r="AC728" s="8" t="s">
        <v>924</v>
      </c>
      <c r="AD728" s="8" t="s">
        <v>1027</v>
      </c>
      <c r="AE728" s="8" t="s">
        <v>1025</v>
      </c>
      <c r="AF728" s="8" t="s">
        <v>1027</v>
      </c>
      <c r="AG728" s="8" t="s">
        <v>1026</v>
      </c>
      <c r="AH728" s="8" t="s">
        <v>1026</v>
      </c>
      <c r="AI728" s="8" t="s">
        <v>1025</v>
      </c>
    </row>
    <row r="729" spans="24:35" x14ac:dyDescent="0.25">
      <c r="X729" s="8" t="s">
        <v>816</v>
      </c>
      <c r="Y729" s="8" t="s">
        <v>975</v>
      </c>
      <c r="Z729" s="8" t="s">
        <v>926</v>
      </c>
      <c r="AA729" s="5">
        <v>26</v>
      </c>
      <c r="AB729" s="8" t="s">
        <v>980</v>
      </c>
      <c r="AC729" s="8" t="s">
        <v>973</v>
      </c>
      <c r="AD729" s="8" t="s">
        <v>1027</v>
      </c>
      <c r="AE729" s="8" t="s">
        <v>1025</v>
      </c>
      <c r="AF729" s="8" t="s">
        <v>1027</v>
      </c>
      <c r="AG729" s="8" t="s">
        <v>1026</v>
      </c>
      <c r="AH729" s="8" t="s">
        <v>1026</v>
      </c>
      <c r="AI729" s="8" t="s">
        <v>1026</v>
      </c>
    </row>
    <row r="730" spans="24:35" x14ac:dyDescent="0.25">
      <c r="X730" s="8" t="s">
        <v>817</v>
      </c>
      <c r="Y730" s="8" t="s">
        <v>994</v>
      </c>
      <c r="Z730" s="8" t="s">
        <v>975</v>
      </c>
      <c r="AA730" s="5">
        <v>16</v>
      </c>
      <c r="AB730" s="8" t="s">
        <v>957</v>
      </c>
      <c r="AC730" s="8" t="s">
        <v>980</v>
      </c>
      <c r="AD730" s="8" t="s">
        <v>1027</v>
      </c>
      <c r="AE730" s="8" t="s">
        <v>1025</v>
      </c>
      <c r="AF730" s="8" t="s">
        <v>1027</v>
      </c>
      <c r="AG730" s="8" t="s">
        <v>1026</v>
      </c>
      <c r="AH730" s="8" t="s">
        <v>1026</v>
      </c>
      <c r="AI730" s="8" t="s">
        <v>1026</v>
      </c>
    </row>
    <row r="731" spans="24:35" x14ac:dyDescent="0.25">
      <c r="X731" s="8" t="s">
        <v>818</v>
      </c>
      <c r="Y731" s="8" t="s">
        <v>1009</v>
      </c>
      <c r="Z731" s="8" t="s">
        <v>1006</v>
      </c>
      <c r="AA731" s="5">
        <v>84</v>
      </c>
      <c r="AB731" s="8" t="s">
        <v>930</v>
      </c>
      <c r="AC731" s="8" t="s">
        <v>927</v>
      </c>
      <c r="AD731" s="8" t="s">
        <v>1026</v>
      </c>
      <c r="AE731" s="8" t="s">
        <v>1026</v>
      </c>
      <c r="AF731" s="8" t="s">
        <v>1026</v>
      </c>
      <c r="AG731" s="8" t="s">
        <v>1026</v>
      </c>
      <c r="AH731" s="8" t="s">
        <v>1026</v>
      </c>
      <c r="AI731" s="8" t="s">
        <v>1026</v>
      </c>
    </row>
    <row r="732" spans="24:35" x14ac:dyDescent="0.25">
      <c r="X732" s="8" t="s">
        <v>819</v>
      </c>
      <c r="Y732" s="8" t="s">
        <v>957</v>
      </c>
      <c r="Z732" s="8" t="s">
        <v>999</v>
      </c>
      <c r="AA732" s="5">
        <v>78</v>
      </c>
      <c r="AB732" s="8" t="s">
        <v>937</v>
      </c>
      <c r="AC732" s="8" t="s">
        <v>1008</v>
      </c>
      <c r="AD732" s="8" t="s">
        <v>1026</v>
      </c>
      <c r="AE732" s="8" t="s">
        <v>1026</v>
      </c>
      <c r="AF732" s="8" t="s">
        <v>1026</v>
      </c>
      <c r="AG732" s="8" t="s">
        <v>1026</v>
      </c>
      <c r="AH732" s="8" t="s">
        <v>1026</v>
      </c>
      <c r="AI732" s="8" t="s">
        <v>1026</v>
      </c>
    </row>
    <row r="733" spans="24:35" x14ac:dyDescent="0.25">
      <c r="X733" s="8" t="s">
        <v>820</v>
      </c>
      <c r="Y733" s="8" t="s">
        <v>1006</v>
      </c>
      <c r="Z733" s="8" t="s">
        <v>1006</v>
      </c>
      <c r="AA733" s="5">
        <v>1</v>
      </c>
      <c r="AB733" s="8" t="s">
        <v>1006</v>
      </c>
      <c r="AC733" s="8" t="s">
        <v>1006</v>
      </c>
      <c r="AD733" s="8" t="s">
        <v>1026</v>
      </c>
      <c r="AE733" s="8" t="s">
        <v>1026</v>
      </c>
      <c r="AF733" s="8" t="s">
        <v>1026</v>
      </c>
      <c r="AG733" s="8" t="s">
        <v>1026</v>
      </c>
      <c r="AH733" s="8" t="s">
        <v>1026</v>
      </c>
      <c r="AI733" s="8" t="s">
        <v>1026</v>
      </c>
    </row>
    <row r="734" spans="24:35" x14ac:dyDescent="0.25">
      <c r="X734" s="8" t="s">
        <v>821</v>
      </c>
      <c r="Y734" s="8" t="s">
        <v>1006</v>
      </c>
      <c r="Z734" s="8" t="s">
        <v>988</v>
      </c>
      <c r="AA734" s="5">
        <v>1</v>
      </c>
      <c r="AB734" s="8" t="s">
        <v>1006</v>
      </c>
      <c r="AC734" s="8" t="s">
        <v>1006</v>
      </c>
      <c r="AD734" s="8" t="s">
        <v>1026</v>
      </c>
      <c r="AE734" s="8" t="s">
        <v>1026</v>
      </c>
      <c r="AF734" s="8" t="s">
        <v>1026</v>
      </c>
      <c r="AG734" s="8" t="s">
        <v>1026</v>
      </c>
      <c r="AH734" s="8" t="s">
        <v>1026</v>
      </c>
      <c r="AI734" s="8" t="s">
        <v>1026</v>
      </c>
    </row>
    <row r="735" spans="24:35" x14ac:dyDescent="0.25">
      <c r="X735" s="8" t="s">
        <v>822</v>
      </c>
      <c r="Y735" s="8" t="s">
        <v>1006</v>
      </c>
      <c r="Z735" s="8" t="s">
        <v>1006</v>
      </c>
      <c r="AA735" s="5">
        <v>1</v>
      </c>
      <c r="AB735" s="8" t="s">
        <v>966</v>
      </c>
      <c r="AC735" s="8" t="s">
        <v>966</v>
      </c>
      <c r="AD735" s="8" t="s">
        <v>1026</v>
      </c>
      <c r="AE735" s="8" t="s">
        <v>1026</v>
      </c>
      <c r="AF735" s="8" t="s">
        <v>1026</v>
      </c>
      <c r="AG735" s="8" t="s">
        <v>1026</v>
      </c>
      <c r="AH735" s="8" t="s">
        <v>1026</v>
      </c>
      <c r="AI735" s="8" t="s">
        <v>1026</v>
      </c>
    </row>
    <row r="736" spans="24:35" x14ac:dyDescent="0.25">
      <c r="X736" s="8" t="s">
        <v>823</v>
      </c>
      <c r="Y736" s="8" t="s">
        <v>1006</v>
      </c>
      <c r="Z736" s="8" t="s">
        <v>1006</v>
      </c>
      <c r="AA736" s="5">
        <v>1</v>
      </c>
      <c r="AB736" s="8" t="s">
        <v>1006</v>
      </c>
      <c r="AC736" s="8" t="s">
        <v>988</v>
      </c>
      <c r="AD736" s="8" t="s">
        <v>1026</v>
      </c>
      <c r="AE736" s="8" t="s">
        <v>1026</v>
      </c>
      <c r="AF736" s="8" t="s">
        <v>1026</v>
      </c>
      <c r="AG736" s="8" t="s">
        <v>1026</v>
      </c>
      <c r="AH736" s="8" t="s">
        <v>1026</v>
      </c>
      <c r="AI736" s="8" t="s">
        <v>1026</v>
      </c>
    </row>
    <row r="737" spans="24:35" x14ac:dyDescent="0.25">
      <c r="X737" s="8" t="s">
        <v>824</v>
      </c>
      <c r="Y737" s="8" t="s">
        <v>1006</v>
      </c>
      <c r="Z737" s="8" t="s">
        <v>1006</v>
      </c>
      <c r="AA737" s="5">
        <v>10</v>
      </c>
      <c r="AB737" s="8" t="s">
        <v>1006</v>
      </c>
      <c r="AC737" s="8" t="s">
        <v>1006</v>
      </c>
      <c r="AD737" s="8" t="s">
        <v>1026</v>
      </c>
      <c r="AE737" s="8" t="s">
        <v>1026</v>
      </c>
      <c r="AF737" s="8" t="s">
        <v>1026</v>
      </c>
      <c r="AG737" s="8" t="s">
        <v>1026</v>
      </c>
      <c r="AH737" s="8" t="s">
        <v>1026</v>
      </c>
      <c r="AI737" s="8" t="s">
        <v>1026</v>
      </c>
    </row>
    <row r="738" spans="24:35" x14ac:dyDescent="0.25">
      <c r="X738" s="8" t="s">
        <v>825</v>
      </c>
      <c r="Y738" s="8" t="s">
        <v>1006</v>
      </c>
      <c r="Z738" s="8" t="s">
        <v>1006</v>
      </c>
      <c r="AA738" s="5">
        <v>1</v>
      </c>
      <c r="AB738" s="8" t="s">
        <v>950</v>
      </c>
      <c r="AC738" s="8" t="s">
        <v>926</v>
      </c>
      <c r="AD738" s="8" t="s">
        <v>1026</v>
      </c>
      <c r="AE738" s="8" t="s">
        <v>1026</v>
      </c>
      <c r="AF738" s="8" t="s">
        <v>1026</v>
      </c>
      <c r="AG738" s="8" t="s">
        <v>1026</v>
      </c>
      <c r="AH738" s="8" t="s">
        <v>1026</v>
      </c>
      <c r="AI738" s="8" t="s">
        <v>1026</v>
      </c>
    </row>
    <row r="739" spans="24:35" x14ac:dyDescent="0.25">
      <c r="X739" s="8" t="s">
        <v>826</v>
      </c>
      <c r="Y739" s="8" t="s">
        <v>1006</v>
      </c>
      <c r="Z739" s="8" t="s">
        <v>1006</v>
      </c>
      <c r="AA739" s="5">
        <v>1</v>
      </c>
      <c r="AB739" s="8" t="s">
        <v>1006</v>
      </c>
      <c r="AC739" s="8" t="s">
        <v>1006</v>
      </c>
      <c r="AD739" s="8" t="s">
        <v>1026</v>
      </c>
      <c r="AE739" s="8" t="s">
        <v>1026</v>
      </c>
      <c r="AF739" s="8" t="s">
        <v>1026</v>
      </c>
      <c r="AG739" s="8" t="s">
        <v>1026</v>
      </c>
      <c r="AH739" s="8" t="s">
        <v>1026</v>
      </c>
      <c r="AI739" s="8" t="s">
        <v>1026</v>
      </c>
    </row>
    <row r="740" spans="24:35" x14ac:dyDescent="0.25">
      <c r="X740" s="8" t="s">
        <v>827</v>
      </c>
      <c r="Y740" s="8" t="s">
        <v>1006</v>
      </c>
      <c r="Z740" s="8" t="s">
        <v>1006</v>
      </c>
      <c r="AA740" s="5">
        <v>1</v>
      </c>
      <c r="AB740" s="8" t="s">
        <v>1006</v>
      </c>
      <c r="AC740" s="8" t="s">
        <v>1006</v>
      </c>
      <c r="AD740" s="8" t="s">
        <v>1026</v>
      </c>
      <c r="AE740" s="8" t="s">
        <v>1026</v>
      </c>
      <c r="AF740" s="8" t="s">
        <v>1026</v>
      </c>
      <c r="AG740" s="8" t="s">
        <v>1026</v>
      </c>
      <c r="AH740" s="8" t="s">
        <v>1026</v>
      </c>
      <c r="AI740" s="8" t="s">
        <v>1026</v>
      </c>
    </row>
    <row r="741" spans="24:35" x14ac:dyDescent="0.25">
      <c r="X741" s="8" t="s">
        <v>828</v>
      </c>
      <c r="Y741" s="8" t="s">
        <v>1006</v>
      </c>
      <c r="Z741" s="8" t="s">
        <v>1006</v>
      </c>
      <c r="AA741" s="5">
        <v>10</v>
      </c>
      <c r="AB741" s="8" t="s">
        <v>1006</v>
      </c>
      <c r="AC741" s="8" t="s">
        <v>988</v>
      </c>
      <c r="AD741" s="8" t="s">
        <v>1026</v>
      </c>
      <c r="AE741" s="8" t="s">
        <v>1026</v>
      </c>
      <c r="AF741" s="8" t="s">
        <v>1026</v>
      </c>
      <c r="AG741" s="8" t="s">
        <v>1026</v>
      </c>
      <c r="AH741" s="8" t="s">
        <v>1026</v>
      </c>
      <c r="AI741" s="8" t="s">
        <v>1026</v>
      </c>
    </row>
    <row r="742" spans="24:35" x14ac:dyDescent="0.25">
      <c r="X742" s="8" t="s">
        <v>829</v>
      </c>
      <c r="Y742" s="8" t="s">
        <v>1006</v>
      </c>
      <c r="Z742" s="8" t="s">
        <v>1006</v>
      </c>
      <c r="AA742" s="5">
        <v>1</v>
      </c>
      <c r="AB742" s="8" t="s">
        <v>988</v>
      </c>
      <c r="AC742" s="8" t="s">
        <v>1006</v>
      </c>
      <c r="AD742" s="8" t="s">
        <v>1026</v>
      </c>
      <c r="AE742" s="8" t="s">
        <v>1026</v>
      </c>
      <c r="AF742" s="8" t="s">
        <v>1026</v>
      </c>
      <c r="AG742" s="8" t="s">
        <v>1026</v>
      </c>
      <c r="AH742" s="8" t="s">
        <v>1026</v>
      </c>
      <c r="AI742" s="8" t="s">
        <v>1026</v>
      </c>
    </row>
    <row r="743" spans="24:35" x14ac:dyDescent="0.25">
      <c r="X743" s="8" t="s">
        <v>830</v>
      </c>
      <c r="Y743" s="8" t="s">
        <v>1006</v>
      </c>
      <c r="Z743" s="8" t="s">
        <v>1006</v>
      </c>
      <c r="AA743" s="5">
        <v>1</v>
      </c>
      <c r="AB743" s="8" t="s">
        <v>988</v>
      </c>
      <c r="AC743" s="8" t="s">
        <v>1006</v>
      </c>
      <c r="AD743" s="8" t="s">
        <v>1026</v>
      </c>
      <c r="AE743" s="8" t="s">
        <v>1026</v>
      </c>
      <c r="AF743" s="8" t="s">
        <v>1026</v>
      </c>
      <c r="AG743" s="8" t="s">
        <v>1026</v>
      </c>
      <c r="AH743" s="8" t="s">
        <v>1026</v>
      </c>
      <c r="AI743" s="8" t="s">
        <v>1026</v>
      </c>
    </row>
    <row r="744" spans="24:35" x14ac:dyDescent="0.25">
      <c r="X744" s="8" t="s">
        <v>831</v>
      </c>
      <c r="Y744" s="8" t="s">
        <v>1006</v>
      </c>
      <c r="Z744" s="8" t="s">
        <v>1006</v>
      </c>
      <c r="AA744" s="5">
        <v>1</v>
      </c>
      <c r="AB744" s="8" t="s">
        <v>988</v>
      </c>
      <c r="AC744" s="8" t="s">
        <v>988</v>
      </c>
      <c r="AD744" s="8" t="s">
        <v>1026</v>
      </c>
      <c r="AE744" s="8" t="s">
        <v>1026</v>
      </c>
      <c r="AF744" s="8" t="s">
        <v>1026</v>
      </c>
      <c r="AG744" s="8" t="s">
        <v>1026</v>
      </c>
      <c r="AH744" s="8" t="s">
        <v>1026</v>
      </c>
      <c r="AI744" s="8" t="s">
        <v>1026</v>
      </c>
    </row>
    <row r="745" spans="24:35" x14ac:dyDescent="0.25">
      <c r="X745" s="8" t="s">
        <v>832</v>
      </c>
      <c r="Y745" s="8" t="s">
        <v>988</v>
      </c>
      <c r="Z745" s="8" t="s">
        <v>988</v>
      </c>
      <c r="AA745" s="5">
        <v>10</v>
      </c>
      <c r="AB745" s="8" t="s">
        <v>988</v>
      </c>
      <c r="AC745" s="8" t="s">
        <v>988</v>
      </c>
      <c r="AD745" s="8" t="s">
        <v>1026</v>
      </c>
      <c r="AE745" s="8" t="s">
        <v>1026</v>
      </c>
      <c r="AF745" s="8" t="s">
        <v>1026</v>
      </c>
      <c r="AG745" s="8" t="s">
        <v>1026</v>
      </c>
      <c r="AH745" s="8" t="s">
        <v>1026</v>
      </c>
      <c r="AI745" s="8" t="s">
        <v>1026</v>
      </c>
    </row>
    <row r="746" spans="24:35" x14ac:dyDescent="0.25">
      <c r="X746" s="8" t="s">
        <v>833</v>
      </c>
      <c r="Y746" s="8" t="s">
        <v>1006</v>
      </c>
      <c r="Z746" s="8" t="s">
        <v>988</v>
      </c>
      <c r="AA746" s="5">
        <v>1</v>
      </c>
      <c r="AB746" s="8" t="s">
        <v>1006</v>
      </c>
      <c r="AC746" s="8" t="s">
        <v>1006</v>
      </c>
      <c r="AD746" s="8" t="s">
        <v>1026</v>
      </c>
      <c r="AE746" s="8" t="s">
        <v>1026</v>
      </c>
      <c r="AF746" s="8" t="s">
        <v>1026</v>
      </c>
      <c r="AG746" s="8" t="s">
        <v>1026</v>
      </c>
      <c r="AH746" s="8" t="s">
        <v>1026</v>
      </c>
      <c r="AI746" s="8" t="s">
        <v>1026</v>
      </c>
    </row>
    <row r="747" spans="24:35" x14ac:dyDescent="0.25">
      <c r="X747" s="8" t="s">
        <v>834</v>
      </c>
      <c r="Y747" s="8" t="s">
        <v>966</v>
      </c>
      <c r="Z747" s="8" t="s">
        <v>976</v>
      </c>
      <c r="AA747" s="5">
        <v>20</v>
      </c>
      <c r="AB747" s="8" t="s">
        <v>988</v>
      </c>
      <c r="AC747" s="8" t="s">
        <v>988</v>
      </c>
      <c r="AD747" s="8" t="s">
        <v>1026</v>
      </c>
      <c r="AE747" s="8" t="s">
        <v>1026</v>
      </c>
      <c r="AF747" s="8" t="s">
        <v>1026</v>
      </c>
      <c r="AG747" s="8" t="s">
        <v>1026</v>
      </c>
      <c r="AH747" s="8" t="s">
        <v>1026</v>
      </c>
      <c r="AI747" s="8" t="s">
        <v>1026</v>
      </c>
    </row>
    <row r="748" spans="24:35" x14ac:dyDescent="0.25">
      <c r="X748" s="8" t="s">
        <v>835</v>
      </c>
      <c r="Y748" s="8" t="s">
        <v>966</v>
      </c>
      <c r="Z748" s="8" t="s">
        <v>976</v>
      </c>
      <c r="AA748" s="5">
        <v>20</v>
      </c>
      <c r="AB748" s="8" t="s">
        <v>988</v>
      </c>
      <c r="AC748" s="8" t="s">
        <v>988</v>
      </c>
      <c r="AD748" s="8" t="s">
        <v>1026</v>
      </c>
      <c r="AE748" s="8" t="s">
        <v>1026</v>
      </c>
      <c r="AF748" s="8" t="s">
        <v>1026</v>
      </c>
      <c r="AG748" s="8" t="s">
        <v>1026</v>
      </c>
      <c r="AH748" s="8" t="s">
        <v>1026</v>
      </c>
      <c r="AI748" s="8" t="s">
        <v>1026</v>
      </c>
    </row>
    <row r="749" spans="24:35" x14ac:dyDescent="0.25">
      <c r="X749" s="8" t="s">
        <v>836</v>
      </c>
      <c r="Y749" s="8" t="s">
        <v>1006</v>
      </c>
      <c r="Z749" s="8" t="s">
        <v>926</v>
      </c>
      <c r="AA749" s="5">
        <v>1</v>
      </c>
      <c r="AB749" s="8" t="s">
        <v>1006</v>
      </c>
      <c r="AC749" s="8" t="s">
        <v>1006</v>
      </c>
      <c r="AD749" s="8" t="s">
        <v>1026</v>
      </c>
      <c r="AE749" s="8" t="s">
        <v>1026</v>
      </c>
      <c r="AF749" s="8" t="s">
        <v>1026</v>
      </c>
      <c r="AG749" s="8" t="s">
        <v>1026</v>
      </c>
      <c r="AH749" s="8" t="s">
        <v>1026</v>
      </c>
      <c r="AI749" s="8" t="s">
        <v>1026</v>
      </c>
    </row>
    <row r="750" spans="24:35" x14ac:dyDescent="0.25">
      <c r="X750" s="8" t="s">
        <v>837</v>
      </c>
      <c r="Y750" s="8" t="s">
        <v>1006</v>
      </c>
      <c r="Z750" s="8" t="s">
        <v>1006</v>
      </c>
      <c r="AA750" s="5">
        <v>1</v>
      </c>
      <c r="AB750" s="8" t="s">
        <v>1006</v>
      </c>
      <c r="AC750" s="8" t="s">
        <v>1006</v>
      </c>
      <c r="AD750" s="8" t="s">
        <v>1026</v>
      </c>
      <c r="AE750" s="8" t="s">
        <v>1026</v>
      </c>
      <c r="AF750" s="8" t="s">
        <v>1026</v>
      </c>
      <c r="AG750" s="8" t="s">
        <v>1026</v>
      </c>
      <c r="AH750" s="8" t="s">
        <v>1026</v>
      </c>
      <c r="AI750" s="8" t="s">
        <v>1026</v>
      </c>
    </row>
    <row r="751" spans="24:35" x14ac:dyDescent="0.25">
      <c r="X751" s="8" t="s">
        <v>838</v>
      </c>
      <c r="Y751" s="8" t="s">
        <v>1006</v>
      </c>
      <c r="Z751" s="8" t="s">
        <v>1006</v>
      </c>
      <c r="AA751" s="5">
        <v>1</v>
      </c>
      <c r="AB751" s="8" t="s">
        <v>1006</v>
      </c>
      <c r="AC751" s="8" t="s">
        <v>1006</v>
      </c>
      <c r="AD751" s="8" t="s">
        <v>1026</v>
      </c>
      <c r="AE751" s="8" t="s">
        <v>1026</v>
      </c>
      <c r="AF751" s="8" t="s">
        <v>1026</v>
      </c>
      <c r="AG751" s="8" t="s">
        <v>1026</v>
      </c>
      <c r="AH751" s="8" t="s">
        <v>1026</v>
      </c>
      <c r="AI751" s="8" t="s">
        <v>1026</v>
      </c>
    </row>
    <row r="752" spans="24:35" x14ac:dyDescent="0.25">
      <c r="X752" s="8" t="s">
        <v>839</v>
      </c>
      <c r="Y752" s="8" t="s">
        <v>1006</v>
      </c>
      <c r="Z752" s="8" t="s">
        <v>1006</v>
      </c>
      <c r="AA752" s="5">
        <v>1</v>
      </c>
      <c r="AB752" s="8" t="s">
        <v>1006</v>
      </c>
      <c r="AC752" s="8" t="s">
        <v>1006</v>
      </c>
      <c r="AD752" s="8" t="s">
        <v>1026</v>
      </c>
      <c r="AE752" s="8" t="s">
        <v>1026</v>
      </c>
      <c r="AF752" s="8" t="s">
        <v>1026</v>
      </c>
      <c r="AG752" s="8" t="s">
        <v>1026</v>
      </c>
      <c r="AH752" s="8" t="s">
        <v>1026</v>
      </c>
      <c r="AI752" s="8" t="s">
        <v>1026</v>
      </c>
    </row>
    <row r="753" spans="24:35" x14ac:dyDescent="0.25">
      <c r="X753" s="8" t="s">
        <v>840</v>
      </c>
      <c r="Y753" s="8" t="s">
        <v>1006</v>
      </c>
      <c r="Z753" s="8" t="s">
        <v>1006</v>
      </c>
      <c r="AA753" s="5">
        <v>1</v>
      </c>
      <c r="AB753" s="8" t="s">
        <v>1006</v>
      </c>
      <c r="AC753" s="8" t="s">
        <v>1006</v>
      </c>
      <c r="AD753" s="8" t="s">
        <v>1026</v>
      </c>
      <c r="AE753" s="8" t="s">
        <v>1026</v>
      </c>
      <c r="AF753" s="8" t="s">
        <v>1026</v>
      </c>
      <c r="AG753" s="8" t="s">
        <v>1026</v>
      </c>
      <c r="AH753" s="8" t="s">
        <v>1026</v>
      </c>
      <c r="AI753" s="8" t="s">
        <v>1026</v>
      </c>
    </row>
    <row r="754" spans="24:35" x14ac:dyDescent="0.25">
      <c r="X754" s="8" t="s">
        <v>841</v>
      </c>
      <c r="Y754" s="8" t="s">
        <v>1006</v>
      </c>
      <c r="Z754" s="8" t="s">
        <v>1006</v>
      </c>
      <c r="AA754" s="5">
        <v>1</v>
      </c>
      <c r="AB754" s="8" t="s">
        <v>1006</v>
      </c>
      <c r="AC754" s="8" t="s">
        <v>1006</v>
      </c>
      <c r="AD754" s="8" t="s">
        <v>1026</v>
      </c>
      <c r="AE754" s="8" t="s">
        <v>1026</v>
      </c>
      <c r="AF754" s="8" t="s">
        <v>1026</v>
      </c>
      <c r="AG754" s="8" t="s">
        <v>1026</v>
      </c>
      <c r="AH754" s="8" t="s">
        <v>1026</v>
      </c>
      <c r="AI754" s="8" t="s">
        <v>1026</v>
      </c>
    </row>
    <row r="755" spans="24:35" x14ac:dyDescent="0.25">
      <c r="X755" s="8" t="s">
        <v>842</v>
      </c>
      <c r="Y755" s="8" t="s">
        <v>1006</v>
      </c>
      <c r="Z755" s="8" t="s">
        <v>1006</v>
      </c>
      <c r="AA755" s="5">
        <v>1</v>
      </c>
      <c r="AB755" s="8" t="s">
        <v>1006</v>
      </c>
      <c r="AC755" s="8" t="s">
        <v>1006</v>
      </c>
      <c r="AD755" s="8" t="s">
        <v>1026</v>
      </c>
      <c r="AE755" s="8" t="s">
        <v>1026</v>
      </c>
      <c r="AF755" s="8" t="s">
        <v>1026</v>
      </c>
      <c r="AG755" s="8" t="s">
        <v>1026</v>
      </c>
      <c r="AH755" s="8" t="s">
        <v>1026</v>
      </c>
      <c r="AI755" s="8" t="s">
        <v>1026</v>
      </c>
    </row>
    <row r="756" spans="24:35" x14ac:dyDescent="0.25">
      <c r="X756" s="8" t="s">
        <v>843</v>
      </c>
      <c r="Y756" s="8" t="s">
        <v>1006</v>
      </c>
      <c r="Z756" s="8" t="s">
        <v>1006</v>
      </c>
      <c r="AA756" s="5">
        <v>1</v>
      </c>
      <c r="AB756" s="8" t="s">
        <v>1006</v>
      </c>
      <c r="AC756" s="8" t="s">
        <v>1006</v>
      </c>
      <c r="AD756" s="8" t="s">
        <v>1026</v>
      </c>
      <c r="AE756" s="8" t="s">
        <v>1026</v>
      </c>
      <c r="AF756" s="8" t="s">
        <v>1026</v>
      </c>
      <c r="AG756" s="8" t="s">
        <v>1026</v>
      </c>
      <c r="AH756" s="8" t="s">
        <v>1026</v>
      </c>
      <c r="AI756" s="8" t="s">
        <v>1026</v>
      </c>
    </row>
    <row r="757" spans="24:35" x14ac:dyDescent="0.25">
      <c r="X757" s="8" t="s">
        <v>844</v>
      </c>
      <c r="Y757" s="8" t="s">
        <v>1006</v>
      </c>
      <c r="Z757" s="8" t="s">
        <v>1006</v>
      </c>
      <c r="AA757" s="5">
        <v>1</v>
      </c>
      <c r="AB757" s="8" t="s">
        <v>988</v>
      </c>
      <c r="AC757" s="8" t="s">
        <v>1006</v>
      </c>
      <c r="AD757" s="8" t="s">
        <v>1026</v>
      </c>
      <c r="AE757" s="8" t="s">
        <v>1026</v>
      </c>
      <c r="AF757" s="8" t="s">
        <v>1026</v>
      </c>
      <c r="AG757" s="8" t="s">
        <v>1026</v>
      </c>
      <c r="AH757" s="8" t="s">
        <v>1026</v>
      </c>
      <c r="AI757" s="8" t="s">
        <v>1026</v>
      </c>
    </row>
    <row r="758" spans="24:35" x14ac:dyDescent="0.25">
      <c r="X758" s="8" t="s">
        <v>845</v>
      </c>
      <c r="Y758" s="8" t="s">
        <v>1006</v>
      </c>
      <c r="Z758" s="8" t="s">
        <v>1006</v>
      </c>
      <c r="AA758" s="5">
        <v>1</v>
      </c>
      <c r="AB758" s="8" t="s">
        <v>1006</v>
      </c>
      <c r="AC758" s="8" t="s">
        <v>1006</v>
      </c>
      <c r="AD758" s="8" t="s">
        <v>1026</v>
      </c>
      <c r="AE758" s="8" t="s">
        <v>1026</v>
      </c>
      <c r="AF758" s="8" t="s">
        <v>1026</v>
      </c>
      <c r="AG758" s="8" t="s">
        <v>1026</v>
      </c>
      <c r="AH758" s="8" t="s">
        <v>1026</v>
      </c>
      <c r="AI758" s="8" t="s">
        <v>1026</v>
      </c>
    </row>
    <row r="759" spans="24:35" x14ac:dyDescent="0.25">
      <c r="X759" s="8" t="s">
        <v>846</v>
      </c>
      <c r="Y759" s="8" t="s">
        <v>1006</v>
      </c>
      <c r="Z759" s="8" t="s">
        <v>988</v>
      </c>
      <c r="AA759" s="5">
        <v>1</v>
      </c>
      <c r="AB759" s="8" t="s">
        <v>1006</v>
      </c>
      <c r="AC759" s="8" t="s">
        <v>1006</v>
      </c>
      <c r="AD759" s="8" t="s">
        <v>1026</v>
      </c>
      <c r="AE759" s="8" t="s">
        <v>1026</v>
      </c>
      <c r="AF759" s="8" t="s">
        <v>1026</v>
      </c>
      <c r="AG759" s="8" t="s">
        <v>1026</v>
      </c>
      <c r="AH759" s="8" t="s">
        <v>1026</v>
      </c>
      <c r="AI759" s="8" t="s">
        <v>1026</v>
      </c>
    </row>
    <row r="760" spans="24:35" x14ac:dyDescent="0.25">
      <c r="X760" s="8" t="s">
        <v>847</v>
      </c>
      <c r="Y760" s="8" t="s">
        <v>1006</v>
      </c>
      <c r="Z760" s="8" t="s">
        <v>1006</v>
      </c>
      <c r="AA760" s="5">
        <v>1</v>
      </c>
      <c r="AB760" s="8" t="s">
        <v>1006</v>
      </c>
      <c r="AC760" s="8" t="s">
        <v>1006</v>
      </c>
      <c r="AD760" s="8" t="s">
        <v>1026</v>
      </c>
      <c r="AE760" s="8" t="s">
        <v>1026</v>
      </c>
      <c r="AF760" s="8" t="s">
        <v>1026</v>
      </c>
      <c r="AG760" s="8" t="s">
        <v>1026</v>
      </c>
      <c r="AH760" s="8" t="s">
        <v>1026</v>
      </c>
      <c r="AI760" s="8" t="s">
        <v>1026</v>
      </c>
    </row>
    <row r="761" spans="24:35" x14ac:dyDescent="0.25">
      <c r="X761" s="8" t="s">
        <v>848</v>
      </c>
      <c r="Y761" s="8" t="s">
        <v>1006</v>
      </c>
      <c r="Z761" s="8" t="s">
        <v>1006</v>
      </c>
      <c r="AA761" s="5">
        <v>1</v>
      </c>
      <c r="AB761" s="8" t="s">
        <v>1006</v>
      </c>
      <c r="AC761" s="8" t="s">
        <v>1006</v>
      </c>
      <c r="AD761" s="8" t="s">
        <v>1026</v>
      </c>
      <c r="AE761" s="8" t="s">
        <v>1026</v>
      </c>
      <c r="AF761" s="8" t="s">
        <v>1026</v>
      </c>
      <c r="AG761" s="8" t="s">
        <v>1026</v>
      </c>
      <c r="AH761" s="8" t="s">
        <v>1026</v>
      </c>
      <c r="AI761" s="8" t="s">
        <v>1026</v>
      </c>
    </row>
    <row r="762" spans="24:35" x14ac:dyDescent="0.25">
      <c r="X762" s="8" t="s">
        <v>849</v>
      </c>
      <c r="Y762" s="8" t="s">
        <v>1006</v>
      </c>
      <c r="Z762" s="8" t="s">
        <v>1006</v>
      </c>
      <c r="AA762" s="5">
        <v>1</v>
      </c>
      <c r="AB762" s="8" t="s">
        <v>1006</v>
      </c>
      <c r="AC762" s="8" t="s">
        <v>1006</v>
      </c>
      <c r="AD762" s="8" t="s">
        <v>1026</v>
      </c>
      <c r="AE762" s="8" t="s">
        <v>1026</v>
      </c>
      <c r="AF762" s="8" t="s">
        <v>1026</v>
      </c>
      <c r="AG762" s="8" t="s">
        <v>1026</v>
      </c>
      <c r="AH762" s="8" t="s">
        <v>1026</v>
      </c>
      <c r="AI762" s="8" t="s">
        <v>1026</v>
      </c>
    </row>
    <row r="763" spans="24:35" x14ac:dyDescent="0.25">
      <c r="X763" s="8" t="s">
        <v>850</v>
      </c>
      <c r="Y763" s="8" t="s">
        <v>1006</v>
      </c>
      <c r="Z763" s="8" t="s">
        <v>1006</v>
      </c>
      <c r="AA763" s="5">
        <v>1</v>
      </c>
      <c r="AB763" s="8" t="s">
        <v>1006</v>
      </c>
      <c r="AC763" s="8" t="s">
        <v>1006</v>
      </c>
      <c r="AD763" s="8" t="s">
        <v>1026</v>
      </c>
      <c r="AE763" s="8" t="s">
        <v>1026</v>
      </c>
      <c r="AF763" s="8" t="s">
        <v>1026</v>
      </c>
      <c r="AG763" s="8" t="s">
        <v>1026</v>
      </c>
      <c r="AH763" s="8" t="s">
        <v>1026</v>
      </c>
      <c r="AI763" s="8" t="s">
        <v>1026</v>
      </c>
    </row>
    <row r="764" spans="24:35" x14ac:dyDescent="0.25">
      <c r="X764" s="8" t="s">
        <v>851</v>
      </c>
      <c r="Y764" s="8" t="s">
        <v>1006</v>
      </c>
      <c r="Z764" s="8" t="s">
        <v>1006</v>
      </c>
      <c r="AA764" s="5">
        <v>50</v>
      </c>
      <c r="AB764" s="8" t="s">
        <v>966</v>
      </c>
      <c r="AC764" s="8" t="s">
        <v>988</v>
      </c>
      <c r="AD764" s="8" t="s">
        <v>1026</v>
      </c>
      <c r="AE764" s="8" t="s">
        <v>1026</v>
      </c>
      <c r="AF764" s="8" t="s">
        <v>1026</v>
      </c>
      <c r="AG764" s="8" t="s">
        <v>1026</v>
      </c>
      <c r="AH764" s="8" t="s">
        <v>1026</v>
      </c>
      <c r="AI764" s="8" t="s">
        <v>1026</v>
      </c>
    </row>
    <row r="765" spans="24:35" x14ac:dyDescent="0.25">
      <c r="X765" s="8" t="s">
        <v>852</v>
      </c>
      <c r="Y765" s="8" t="s">
        <v>1006</v>
      </c>
      <c r="Z765" s="8" t="s">
        <v>1006</v>
      </c>
      <c r="AA765" s="5">
        <v>1</v>
      </c>
      <c r="AB765" s="8" t="s">
        <v>1006</v>
      </c>
      <c r="AC765" s="8" t="s">
        <v>1006</v>
      </c>
      <c r="AD765" s="8" t="s">
        <v>1026</v>
      </c>
      <c r="AE765" s="8" t="s">
        <v>1026</v>
      </c>
      <c r="AF765" s="8" t="s">
        <v>1026</v>
      </c>
      <c r="AG765" s="8" t="s">
        <v>1026</v>
      </c>
      <c r="AH765" s="8" t="s">
        <v>1026</v>
      </c>
      <c r="AI765" s="8" t="s">
        <v>1026</v>
      </c>
    </row>
    <row r="766" spans="24:35" x14ac:dyDescent="0.25">
      <c r="X766" s="8" t="s">
        <v>853</v>
      </c>
      <c r="Y766" s="8" t="s">
        <v>1006</v>
      </c>
      <c r="Z766" s="8" t="s">
        <v>1006</v>
      </c>
      <c r="AA766" s="5">
        <v>1</v>
      </c>
      <c r="AB766" s="8" t="s">
        <v>1006</v>
      </c>
      <c r="AC766" s="8" t="s">
        <v>1006</v>
      </c>
      <c r="AD766" s="8" t="s">
        <v>1026</v>
      </c>
      <c r="AE766" s="8" t="s">
        <v>1026</v>
      </c>
      <c r="AF766" s="8" t="s">
        <v>1026</v>
      </c>
      <c r="AG766" s="8" t="s">
        <v>1026</v>
      </c>
      <c r="AH766" s="8" t="s">
        <v>1026</v>
      </c>
      <c r="AI766" s="8" t="s">
        <v>1026</v>
      </c>
    </row>
    <row r="767" spans="24:35" x14ac:dyDescent="0.25">
      <c r="X767" s="8" t="s">
        <v>854</v>
      </c>
      <c r="Y767" s="8" t="s">
        <v>1006</v>
      </c>
      <c r="Z767" s="8" t="s">
        <v>1006</v>
      </c>
      <c r="AA767" s="5">
        <v>1</v>
      </c>
      <c r="AB767" s="8" t="s">
        <v>1006</v>
      </c>
      <c r="AC767" s="8" t="s">
        <v>1006</v>
      </c>
      <c r="AD767" s="8" t="s">
        <v>1026</v>
      </c>
      <c r="AE767" s="8" t="s">
        <v>1026</v>
      </c>
      <c r="AF767" s="8" t="s">
        <v>1026</v>
      </c>
      <c r="AG767" s="8" t="s">
        <v>1026</v>
      </c>
      <c r="AH767" s="8" t="s">
        <v>1026</v>
      </c>
      <c r="AI767" s="8" t="s">
        <v>1026</v>
      </c>
    </row>
    <row r="768" spans="24:35" x14ac:dyDescent="0.25">
      <c r="X768" s="8" t="s">
        <v>855</v>
      </c>
      <c r="Y768" s="8" t="s">
        <v>1006</v>
      </c>
      <c r="Z768" s="8" t="s">
        <v>1006</v>
      </c>
      <c r="AA768" s="5">
        <v>1</v>
      </c>
      <c r="AB768" s="8" t="s">
        <v>1006</v>
      </c>
      <c r="AC768" s="8" t="s">
        <v>1006</v>
      </c>
      <c r="AD768" s="8" t="s">
        <v>1026</v>
      </c>
      <c r="AE768" s="8" t="s">
        <v>1026</v>
      </c>
      <c r="AF768" s="8" t="s">
        <v>1026</v>
      </c>
      <c r="AG768" s="8" t="s">
        <v>1026</v>
      </c>
      <c r="AH768" s="8" t="s">
        <v>1026</v>
      </c>
      <c r="AI768" s="8" t="s">
        <v>1026</v>
      </c>
    </row>
    <row r="769" spans="24:35" x14ac:dyDescent="0.25">
      <c r="X769" s="8" t="s">
        <v>856</v>
      </c>
      <c r="Y769" s="8" t="s">
        <v>1006</v>
      </c>
      <c r="Z769" s="8" t="s">
        <v>1006</v>
      </c>
      <c r="AA769" s="5">
        <v>1</v>
      </c>
      <c r="AB769" s="8" t="s">
        <v>1006</v>
      </c>
      <c r="AC769" s="8" t="s">
        <v>1006</v>
      </c>
      <c r="AD769" s="8" t="s">
        <v>1026</v>
      </c>
      <c r="AE769" s="8" t="s">
        <v>1026</v>
      </c>
      <c r="AF769" s="8" t="s">
        <v>1026</v>
      </c>
      <c r="AG769" s="8" t="s">
        <v>1026</v>
      </c>
      <c r="AH769" s="8" t="s">
        <v>1026</v>
      </c>
      <c r="AI769" s="8" t="s">
        <v>1026</v>
      </c>
    </row>
    <row r="770" spans="24:35" x14ac:dyDescent="0.25">
      <c r="X770" s="8" t="s">
        <v>857</v>
      </c>
      <c r="Y770" s="8" t="s">
        <v>1006</v>
      </c>
      <c r="Z770" s="8" t="s">
        <v>1006</v>
      </c>
      <c r="AA770" s="5">
        <v>1</v>
      </c>
      <c r="AB770" s="8" t="s">
        <v>1006</v>
      </c>
      <c r="AC770" s="8" t="s">
        <v>1006</v>
      </c>
      <c r="AD770" s="8" t="s">
        <v>1026</v>
      </c>
      <c r="AE770" s="8" t="s">
        <v>1026</v>
      </c>
      <c r="AF770" s="8" t="s">
        <v>1026</v>
      </c>
      <c r="AG770" s="8" t="s">
        <v>1026</v>
      </c>
      <c r="AH770" s="8" t="s">
        <v>1026</v>
      </c>
      <c r="AI770" s="8" t="s">
        <v>1026</v>
      </c>
    </row>
    <row r="771" spans="24:35" x14ac:dyDescent="0.25">
      <c r="X771" s="8" t="s">
        <v>858</v>
      </c>
      <c r="Y771" s="8" t="s">
        <v>1006</v>
      </c>
      <c r="Z771" s="8" t="s">
        <v>1006</v>
      </c>
      <c r="AA771" s="5">
        <v>1</v>
      </c>
      <c r="AB771" s="8" t="s">
        <v>1006</v>
      </c>
      <c r="AC771" s="8" t="s">
        <v>1006</v>
      </c>
      <c r="AD771" s="8" t="s">
        <v>1026</v>
      </c>
      <c r="AE771" s="8" t="s">
        <v>1026</v>
      </c>
      <c r="AF771" s="8" t="s">
        <v>1026</v>
      </c>
      <c r="AG771" s="8" t="s">
        <v>1026</v>
      </c>
      <c r="AH771" s="8" t="s">
        <v>1026</v>
      </c>
      <c r="AI771" s="8" t="s">
        <v>1026</v>
      </c>
    </row>
    <row r="772" spans="24:35" x14ac:dyDescent="0.25">
      <c r="X772" s="8" t="s">
        <v>859</v>
      </c>
      <c r="Y772" s="8" t="s">
        <v>1006</v>
      </c>
      <c r="Z772" s="8" t="s">
        <v>1006</v>
      </c>
      <c r="AA772" s="5">
        <v>1</v>
      </c>
      <c r="AB772" s="8" t="s">
        <v>1006</v>
      </c>
      <c r="AC772" s="8" t="s">
        <v>1006</v>
      </c>
      <c r="AD772" s="8" t="s">
        <v>1026</v>
      </c>
      <c r="AE772" s="8" t="s">
        <v>1026</v>
      </c>
      <c r="AF772" s="8" t="s">
        <v>1026</v>
      </c>
      <c r="AG772" s="8" t="s">
        <v>1026</v>
      </c>
      <c r="AH772" s="8" t="s">
        <v>1026</v>
      </c>
      <c r="AI772" s="8" t="s">
        <v>1026</v>
      </c>
    </row>
    <row r="773" spans="24:35" x14ac:dyDescent="0.25">
      <c r="X773" s="8" t="s">
        <v>860</v>
      </c>
      <c r="Y773" s="8" t="s">
        <v>1006</v>
      </c>
      <c r="Z773" s="8" t="s">
        <v>1006</v>
      </c>
      <c r="AA773" s="5">
        <v>1</v>
      </c>
      <c r="AB773" s="8" t="s">
        <v>1006</v>
      </c>
      <c r="AC773" s="8" t="s">
        <v>1006</v>
      </c>
      <c r="AD773" s="8" t="s">
        <v>1026</v>
      </c>
      <c r="AE773" s="8" t="s">
        <v>1026</v>
      </c>
      <c r="AF773" s="8" t="s">
        <v>1026</v>
      </c>
      <c r="AG773" s="8" t="s">
        <v>1026</v>
      </c>
      <c r="AH773" s="8" t="s">
        <v>1026</v>
      </c>
      <c r="AI773" s="8" t="s">
        <v>1026</v>
      </c>
    </row>
    <row r="774" spans="24:35" x14ac:dyDescent="0.25">
      <c r="X774" s="8" t="s">
        <v>861</v>
      </c>
      <c r="Y774" s="8" t="s">
        <v>1006</v>
      </c>
      <c r="Z774" s="8" t="s">
        <v>1006</v>
      </c>
      <c r="AA774" s="5">
        <v>1</v>
      </c>
      <c r="AB774" s="8" t="s">
        <v>1006</v>
      </c>
      <c r="AC774" s="8" t="s">
        <v>1006</v>
      </c>
      <c r="AD774" s="8" t="s">
        <v>1026</v>
      </c>
      <c r="AE774" s="8" t="s">
        <v>1026</v>
      </c>
      <c r="AF774" s="8" t="s">
        <v>1026</v>
      </c>
      <c r="AG774" s="8" t="s">
        <v>1026</v>
      </c>
      <c r="AH774" s="8" t="s">
        <v>1026</v>
      </c>
      <c r="AI774" s="8" t="s">
        <v>1026</v>
      </c>
    </row>
    <row r="775" spans="24:35" x14ac:dyDescent="0.25">
      <c r="X775" s="8" t="s">
        <v>862</v>
      </c>
      <c r="Y775" s="8" t="s">
        <v>1006</v>
      </c>
      <c r="Z775" s="8" t="s">
        <v>1006</v>
      </c>
      <c r="AA775" s="5">
        <v>1</v>
      </c>
      <c r="AB775" s="8" t="s">
        <v>1006</v>
      </c>
      <c r="AC775" s="8" t="s">
        <v>1006</v>
      </c>
      <c r="AD775" s="8" t="s">
        <v>1026</v>
      </c>
      <c r="AE775" s="8" t="s">
        <v>1026</v>
      </c>
      <c r="AF775" s="8" t="s">
        <v>1026</v>
      </c>
      <c r="AG775" s="8" t="s">
        <v>1026</v>
      </c>
      <c r="AH775" s="8" t="s">
        <v>1026</v>
      </c>
      <c r="AI775" s="8" t="s">
        <v>1026</v>
      </c>
    </row>
    <row r="776" spans="24:35" x14ac:dyDescent="0.25">
      <c r="X776" s="8" t="s">
        <v>863</v>
      </c>
      <c r="Y776" s="8" t="s">
        <v>1006</v>
      </c>
      <c r="Z776" s="8" t="s">
        <v>1006</v>
      </c>
      <c r="AA776" s="5">
        <v>1</v>
      </c>
      <c r="AB776" s="8" t="s">
        <v>1006</v>
      </c>
      <c r="AC776" s="8" t="s">
        <v>1006</v>
      </c>
      <c r="AD776" s="8" t="s">
        <v>1026</v>
      </c>
      <c r="AE776" s="8" t="s">
        <v>1026</v>
      </c>
      <c r="AF776" s="8" t="s">
        <v>1026</v>
      </c>
      <c r="AG776" s="8" t="s">
        <v>1026</v>
      </c>
      <c r="AH776" s="8" t="s">
        <v>1026</v>
      </c>
      <c r="AI776" s="8" t="s">
        <v>1026</v>
      </c>
    </row>
    <row r="777" spans="24:35" x14ac:dyDescent="0.25">
      <c r="X777" s="8" t="s">
        <v>864</v>
      </c>
      <c r="Y777" s="8" t="s">
        <v>1006</v>
      </c>
      <c r="Z777" s="8" t="s">
        <v>1006</v>
      </c>
      <c r="AA777" s="5">
        <v>1</v>
      </c>
      <c r="AB777" s="8" t="s">
        <v>1006</v>
      </c>
      <c r="AC777" s="8" t="s">
        <v>1006</v>
      </c>
      <c r="AD777" s="8" t="s">
        <v>1026</v>
      </c>
      <c r="AE777" s="8" t="s">
        <v>1026</v>
      </c>
      <c r="AF777" s="8" t="s">
        <v>1026</v>
      </c>
      <c r="AG777" s="8" t="s">
        <v>1026</v>
      </c>
      <c r="AH777" s="8" t="s">
        <v>1026</v>
      </c>
      <c r="AI777" s="8" t="s">
        <v>1026</v>
      </c>
    </row>
    <row r="778" spans="24:35" x14ac:dyDescent="0.25">
      <c r="X778" s="8" t="s">
        <v>865</v>
      </c>
      <c r="Y778" s="8" t="s">
        <v>1006</v>
      </c>
      <c r="Z778" s="8" t="s">
        <v>1006</v>
      </c>
      <c r="AA778" s="5">
        <v>1</v>
      </c>
      <c r="AB778" s="8" t="s">
        <v>1006</v>
      </c>
      <c r="AC778" s="8" t="s">
        <v>1006</v>
      </c>
      <c r="AD778" s="8" t="s">
        <v>1026</v>
      </c>
      <c r="AE778" s="8" t="s">
        <v>1026</v>
      </c>
      <c r="AF778" s="8" t="s">
        <v>1026</v>
      </c>
      <c r="AG778" s="8" t="s">
        <v>1026</v>
      </c>
      <c r="AH778" s="8" t="s">
        <v>1026</v>
      </c>
      <c r="AI778" s="8" t="s">
        <v>1026</v>
      </c>
    </row>
    <row r="779" spans="24:35" x14ac:dyDescent="0.25">
      <c r="X779" s="8" t="s">
        <v>866</v>
      </c>
      <c r="Y779" s="8" t="s">
        <v>1006</v>
      </c>
      <c r="Z779" s="8" t="s">
        <v>1006</v>
      </c>
      <c r="AA779" s="5">
        <v>1</v>
      </c>
      <c r="AB779" s="8" t="s">
        <v>1006</v>
      </c>
      <c r="AC779" s="8" t="s">
        <v>1006</v>
      </c>
      <c r="AD779" s="8" t="s">
        <v>1026</v>
      </c>
      <c r="AE779" s="8" t="s">
        <v>1026</v>
      </c>
      <c r="AF779" s="8" t="s">
        <v>1026</v>
      </c>
      <c r="AG779" s="8" t="s">
        <v>1026</v>
      </c>
      <c r="AH779" s="8" t="s">
        <v>1026</v>
      </c>
      <c r="AI779" s="8" t="s">
        <v>1026</v>
      </c>
    </row>
    <row r="780" spans="24:35" x14ac:dyDescent="0.25">
      <c r="X780" s="8" t="s">
        <v>867</v>
      </c>
      <c r="Y780" s="8" t="s">
        <v>1006</v>
      </c>
      <c r="Z780" s="8" t="s">
        <v>1006</v>
      </c>
      <c r="AA780" s="5">
        <v>1</v>
      </c>
      <c r="AB780" s="8" t="s">
        <v>1006</v>
      </c>
      <c r="AC780" s="8" t="s">
        <v>1006</v>
      </c>
      <c r="AD780" s="8" t="s">
        <v>1026</v>
      </c>
      <c r="AE780" s="8" t="s">
        <v>1026</v>
      </c>
      <c r="AF780" s="8" t="s">
        <v>1026</v>
      </c>
      <c r="AG780" s="8" t="s">
        <v>1026</v>
      </c>
      <c r="AH780" s="8" t="s">
        <v>1026</v>
      </c>
      <c r="AI780" s="8" t="s">
        <v>1026</v>
      </c>
    </row>
    <row r="781" spans="24:35" x14ac:dyDescent="0.25">
      <c r="X781" s="8" t="s">
        <v>868</v>
      </c>
      <c r="Y781" s="8" t="s">
        <v>1006</v>
      </c>
      <c r="Z781" s="8" t="s">
        <v>1006</v>
      </c>
      <c r="AA781" s="5">
        <v>1</v>
      </c>
      <c r="AB781" s="8" t="s">
        <v>1006</v>
      </c>
      <c r="AC781" s="8" t="s">
        <v>1006</v>
      </c>
      <c r="AD781" s="8" t="s">
        <v>1026</v>
      </c>
      <c r="AE781" s="8" t="s">
        <v>1026</v>
      </c>
      <c r="AF781" s="8" t="s">
        <v>1026</v>
      </c>
      <c r="AG781" s="8" t="s">
        <v>1026</v>
      </c>
      <c r="AH781" s="8" t="s">
        <v>1026</v>
      </c>
      <c r="AI781" s="8" t="s">
        <v>1026</v>
      </c>
    </row>
    <row r="782" spans="24:35" x14ac:dyDescent="0.25">
      <c r="X782" s="8" t="s">
        <v>869</v>
      </c>
      <c r="Y782" s="8" t="s">
        <v>1006</v>
      </c>
      <c r="Z782" s="8" t="s">
        <v>1006</v>
      </c>
      <c r="AA782" s="5">
        <v>1</v>
      </c>
      <c r="AB782" s="8" t="s">
        <v>1006</v>
      </c>
      <c r="AC782" s="8" t="s">
        <v>1006</v>
      </c>
      <c r="AD782" s="8" t="s">
        <v>1026</v>
      </c>
      <c r="AE782" s="8" t="s">
        <v>1026</v>
      </c>
      <c r="AF782" s="8" t="s">
        <v>1026</v>
      </c>
      <c r="AG782" s="8" t="s">
        <v>1026</v>
      </c>
      <c r="AH782" s="8" t="s">
        <v>1026</v>
      </c>
      <c r="AI782" s="8" t="s">
        <v>1026</v>
      </c>
    </row>
    <row r="783" spans="24:35" x14ac:dyDescent="0.25">
      <c r="X783" s="8" t="s">
        <v>870</v>
      </c>
      <c r="Y783" s="8" t="s">
        <v>1006</v>
      </c>
      <c r="Z783" s="8" t="s">
        <v>1006</v>
      </c>
      <c r="AA783" s="5">
        <v>1</v>
      </c>
      <c r="AB783" s="8" t="s">
        <v>1006</v>
      </c>
      <c r="AC783" s="8" t="s">
        <v>1006</v>
      </c>
      <c r="AD783" s="8" t="s">
        <v>1026</v>
      </c>
      <c r="AE783" s="8" t="s">
        <v>1026</v>
      </c>
      <c r="AF783" s="8" t="s">
        <v>1026</v>
      </c>
      <c r="AG783" s="8" t="s">
        <v>1026</v>
      </c>
      <c r="AH783" s="8" t="s">
        <v>1026</v>
      </c>
      <c r="AI783" s="8" t="s">
        <v>1026</v>
      </c>
    </row>
    <row r="784" spans="24:35" x14ac:dyDescent="0.25">
      <c r="X784" s="8" t="s">
        <v>871</v>
      </c>
      <c r="Y784" s="8" t="s">
        <v>1006</v>
      </c>
      <c r="Z784" s="8" t="s">
        <v>1006</v>
      </c>
      <c r="AA784" s="5">
        <v>1</v>
      </c>
      <c r="AB784" s="8" t="s">
        <v>1006</v>
      </c>
      <c r="AC784" s="8" t="s">
        <v>1006</v>
      </c>
      <c r="AD784" s="8" t="s">
        <v>1026</v>
      </c>
      <c r="AE784" s="8" t="s">
        <v>1026</v>
      </c>
      <c r="AF784" s="8" t="s">
        <v>1026</v>
      </c>
      <c r="AG784" s="8" t="s">
        <v>1026</v>
      </c>
      <c r="AH784" s="8" t="s">
        <v>1026</v>
      </c>
      <c r="AI784" s="8" t="s">
        <v>1026</v>
      </c>
    </row>
    <row r="785" spans="24:35" x14ac:dyDescent="0.25">
      <c r="X785" s="8" t="s">
        <v>872</v>
      </c>
      <c r="Y785" s="8" t="s">
        <v>1006</v>
      </c>
      <c r="Z785" s="8" t="s">
        <v>1006</v>
      </c>
      <c r="AA785" s="5">
        <v>1</v>
      </c>
      <c r="AB785" s="8" t="s">
        <v>1006</v>
      </c>
      <c r="AC785" s="8" t="s">
        <v>1006</v>
      </c>
      <c r="AD785" s="8" t="s">
        <v>1026</v>
      </c>
      <c r="AE785" s="8" t="s">
        <v>1026</v>
      </c>
      <c r="AF785" s="8" t="s">
        <v>1026</v>
      </c>
      <c r="AG785" s="8" t="s">
        <v>1026</v>
      </c>
      <c r="AH785" s="8" t="s">
        <v>1026</v>
      </c>
      <c r="AI785" s="8" t="s">
        <v>1026</v>
      </c>
    </row>
    <row r="786" spans="24:35" x14ac:dyDescent="0.25">
      <c r="X786" s="8" t="s">
        <v>873</v>
      </c>
      <c r="Y786" s="8" t="s">
        <v>1006</v>
      </c>
      <c r="Z786" s="8" t="s">
        <v>1006</v>
      </c>
      <c r="AA786" s="5">
        <v>1</v>
      </c>
      <c r="AB786" s="8" t="s">
        <v>1006</v>
      </c>
      <c r="AC786" s="8" t="s">
        <v>1006</v>
      </c>
      <c r="AD786" s="8" t="s">
        <v>1026</v>
      </c>
      <c r="AE786" s="8" t="s">
        <v>1026</v>
      </c>
      <c r="AF786" s="8" t="s">
        <v>1026</v>
      </c>
      <c r="AG786" s="8" t="s">
        <v>1026</v>
      </c>
      <c r="AH786" s="8" t="s">
        <v>1026</v>
      </c>
      <c r="AI786" s="8" t="s">
        <v>1026</v>
      </c>
    </row>
    <row r="787" spans="24:35" x14ac:dyDescent="0.25">
      <c r="X787" s="8" t="s">
        <v>874</v>
      </c>
      <c r="Y787" s="8" t="s">
        <v>1006</v>
      </c>
      <c r="Z787" s="8" t="s">
        <v>1006</v>
      </c>
      <c r="AA787" s="5">
        <v>1</v>
      </c>
      <c r="AB787" s="8" t="s">
        <v>1006</v>
      </c>
      <c r="AC787" s="8" t="s">
        <v>1006</v>
      </c>
      <c r="AD787" s="8" t="s">
        <v>1026</v>
      </c>
      <c r="AE787" s="8" t="s">
        <v>1026</v>
      </c>
      <c r="AF787" s="8" t="s">
        <v>1026</v>
      </c>
      <c r="AG787" s="8" t="s">
        <v>1026</v>
      </c>
      <c r="AH787" s="8" t="s">
        <v>1026</v>
      </c>
      <c r="AI787" s="8" t="s">
        <v>1026</v>
      </c>
    </row>
    <row r="788" spans="24:35" x14ac:dyDescent="0.25">
      <c r="X788" s="8" t="s">
        <v>875</v>
      </c>
      <c r="Y788" s="8" t="s">
        <v>1006</v>
      </c>
      <c r="Z788" s="8" t="s">
        <v>1006</v>
      </c>
      <c r="AA788" s="5">
        <v>1</v>
      </c>
      <c r="AB788" s="8" t="s">
        <v>1006</v>
      </c>
      <c r="AC788" s="8" t="s">
        <v>1006</v>
      </c>
      <c r="AD788" s="8" t="s">
        <v>1026</v>
      </c>
      <c r="AE788" s="8" t="s">
        <v>1026</v>
      </c>
      <c r="AF788" s="8" t="s">
        <v>1026</v>
      </c>
      <c r="AG788" s="8" t="s">
        <v>1026</v>
      </c>
      <c r="AH788" s="8" t="s">
        <v>1026</v>
      </c>
      <c r="AI788" s="8" t="s">
        <v>1026</v>
      </c>
    </row>
    <row r="789" spans="24:35" x14ac:dyDescent="0.25">
      <c r="X789" s="8" t="s">
        <v>876</v>
      </c>
      <c r="Y789" s="8" t="s">
        <v>1006</v>
      </c>
      <c r="Z789" s="8" t="s">
        <v>1006</v>
      </c>
      <c r="AA789" s="5">
        <v>1</v>
      </c>
      <c r="AB789" s="8" t="s">
        <v>1006</v>
      </c>
      <c r="AC789" s="8" t="s">
        <v>1006</v>
      </c>
      <c r="AD789" s="8" t="s">
        <v>1026</v>
      </c>
      <c r="AE789" s="8" t="s">
        <v>1026</v>
      </c>
      <c r="AF789" s="8" t="s">
        <v>1026</v>
      </c>
      <c r="AG789" s="8" t="s">
        <v>1026</v>
      </c>
      <c r="AH789" s="8" t="s">
        <v>1026</v>
      </c>
      <c r="AI789" s="8" t="s">
        <v>1026</v>
      </c>
    </row>
    <row r="790" spans="24:35" x14ac:dyDescent="0.25">
      <c r="X790" s="8" t="s">
        <v>877</v>
      </c>
      <c r="Y790" s="8" t="s">
        <v>1006</v>
      </c>
      <c r="Z790" s="8" t="s">
        <v>1006</v>
      </c>
      <c r="AA790" s="5">
        <v>1</v>
      </c>
      <c r="AB790" s="8" t="s">
        <v>1006</v>
      </c>
      <c r="AC790" s="8" t="s">
        <v>1006</v>
      </c>
      <c r="AD790" s="8" t="s">
        <v>1026</v>
      </c>
      <c r="AE790" s="8" t="s">
        <v>1026</v>
      </c>
      <c r="AF790" s="8" t="s">
        <v>1026</v>
      </c>
      <c r="AG790" s="8" t="s">
        <v>1026</v>
      </c>
      <c r="AH790" s="8" t="s">
        <v>1026</v>
      </c>
      <c r="AI790" s="8" t="s">
        <v>1026</v>
      </c>
    </row>
    <row r="791" spans="24:35" x14ac:dyDescent="0.25">
      <c r="X791" s="8" t="s">
        <v>878</v>
      </c>
      <c r="Y791" s="8" t="s">
        <v>1006</v>
      </c>
      <c r="Z791" s="8" t="s">
        <v>1006</v>
      </c>
      <c r="AA791" s="5">
        <v>1</v>
      </c>
      <c r="AB791" s="8" t="s">
        <v>1006</v>
      </c>
      <c r="AC791" s="8" t="s">
        <v>1006</v>
      </c>
      <c r="AD791" s="8" t="s">
        <v>1026</v>
      </c>
      <c r="AE791" s="8" t="s">
        <v>1026</v>
      </c>
      <c r="AF791" s="8" t="s">
        <v>1026</v>
      </c>
      <c r="AG791" s="8" t="s">
        <v>1026</v>
      </c>
      <c r="AH791" s="8" t="s">
        <v>1026</v>
      </c>
      <c r="AI791" s="8" t="s">
        <v>1026</v>
      </c>
    </row>
    <row r="792" spans="24:35" x14ac:dyDescent="0.25">
      <c r="X792" s="8" t="s">
        <v>879</v>
      </c>
      <c r="Y792" s="8" t="s">
        <v>1006</v>
      </c>
      <c r="Z792" s="8" t="s">
        <v>1006</v>
      </c>
      <c r="AA792" s="5">
        <v>1</v>
      </c>
      <c r="AB792" s="8" t="s">
        <v>1006</v>
      </c>
      <c r="AC792" s="8" t="s">
        <v>1006</v>
      </c>
      <c r="AD792" s="8" t="s">
        <v>1026</v>
      </c>
      <c r="AE792" s="8" t="s">
        <v>1026</v>
      </c>
      <c r="AF792" s="8" t="s">
        <v>1026</v>
      </c>
      <c r="AG792" s="8" t="s">
        <v>1026</v>
      </c>
      <c r="AH792" s="8" t="s">
        <v>1026</v>
      </c>
      <c r="AI792" s="8" t="s">
        <v>1026</v>
      </c>
    </row>
    <row r="793" spans="24:35" x14ac:dyDescent="0.25">
      <c r="X793" s="8" t="s">
        <v>880</v>
      </c>
      <c r="Y793" s="8" t="s">
        <v>1006</v>
      </c>
      <c r="Z793" s="8" t="s">
        <v>1006</v>
      </c>
      <c r="AA793" s="5">
        <v>1</v>
      </c>
      <c r="AB793" s="8" t="s">
        <v>1006</v>
      </c>
      <c r="AC793" s="8" t="s">
        <v>1006</v>
      </c>
      <c r="AD793" s="8" t="s">
        <v>1026</v>
      </c>
      <c r="AE793" s="8" t="s">
        <v>1026</v>
      </c>
      <c r="AF793" s="8" t="s">
        <v>1026</v>
      </c>
      <c r="AG793" s="8" t="s">
        <v>1026</v>
      </c>
      <c r="AH793" s="8" t="s">
        <v>1026</v>
      </c>
      <c r="AI793" s="8" t="s">
        <v>1026</v>
      </c>
    </row>
    <row r="794" spans="24:35" x14ac:dyDescent="0.25">
      <c r="X794" s="8" t="s">
        <v>881</v>
      </c>
      <c r="Y794" s="8" t="s">
        <v>1006</v>
      </c>
      <c r="Z794" s="8" t="s">
        <v>1006</v>
      </c>
      <c r="AA794" s="5">
        <v>1</v>
      </c>
      <c r="AB794" s="8" t="s">
        <v>1006</v>
      </c>
      <c r="AC794" s="8" t="s">
        <v>1006</v>
      </c>
      <c r="AD794" s="8" t="s">
        <v>1026</v>
      </c>
      <c r="AE794" s="8" t="s">
        <v>1026</v>
      </c>
      <c r="AF794" s="8" t="s">
        <v>1026</v>
      </c>
      <c r="AG794" s="8" t="s">
        <v>1026</v>
      </c>
      <c r="AH794" s="8" t="s">
        <v>1026</v>
      </c>
      <c r="AI794" s="8" t="s">
        <v>1026</v>
      </c>
    </row>
    <row r="795" spans="24:35" x14ac:dyDescent="0.25">
      <c r="X795" s="8" t="s">
        <v>882</v>
      </c>
      <c r="Y795" s="8" t="s">
        <v>1006</v>
      </c>
      <c r="Z795" s="8" t="s">
        <v>1006</v>
      </c>
      <c r="AA795" s="5">
        <v>1</v>
      </c>
      <c r="AB795" s="8" t="s">
        <v>1006</v>
      </c>
      <c r="AC795" s="8" t="s">
        <v>1006</v>
      </c>
      <c r="AD795" s="8" t="s">
        <v>1026</v>
      </c>
      <c r="AE795" s="8" t="s">
        <v>1026</v>
      </c>
      <c r="AF795" s="8" t="s">
        <v>1026</v>
      </c>
      <c r="AG795" s="8" t="s">
        <v>1026</v>
      </c>
      <c r="AH795" s="8" t="s">
        <v>1026</v>
      </c>
      <c r="AI795" s="8" t="s">
        <v>1026</v>
      </c>
    </row>
    <row r="796" spans="24:35" x14ac:dyDescent="0.25">
      <c r="X796" s="8" t="s">
        <v>883</v>
      </c>
      <c r="Y796" s="8" t="s">
        <v>1006</v>
      </c>
      <c r="Z796" s="8" t="s">
        <v>1006</v>
      </c>
      <c r="AA796" s="5">
        <v>1</v>
      </c>
      <c r="AB796" s="8" t="s">
        <v>1006</v>
      </c>
      <c r="AC796" s="8" t="s">
        <v>1006</v>
      </c>
      <c r="AD796" s="8" t="s">
        <v>1026</v>
      </c>
      <c r="AE796" s="8" t="s">
        <v>1026</v>
      </c>
      <c r="AF796" s="8" t="s">
        <v>1026</v>
      </c>
      <c r="AG796" s="8" t="s">
        <v>1026</v>
      </c>
      <c r="AH796" s="8" t="s">
        <v>1026</v>
      </c>
      <c r="AI796" s="8" t="s">
        <v>1026</v>
      </c>
    </row>
    <row r="797" spans="24:35" x14ac:dyDescent="0.25">
      <c r="X797" s="8" t="s">
        <v>884</v>
      </c>
      <c r="Y797" s="8" t="s">
        <v>1006</v>
      </c>
      <c r="Z797" s="8" t="s">
        <v>1006</v>
      </c>
      <c r="AA797" s="5">
        <v>1</v>
      </c>
      <c r="AB797" s="8" t="s">
        <v>1006</v>
      </c>
      <c r="AC797" s="8" t="s">
        <v>1006</v>
      </c>
      <c r="AD797" s="8" t="s">
        <v>1026</v>
      </c>
      <c r="AE797" s="8" t="s">
        <v>1026</v>
      </c>
      <c r="AF797" s="8" t="s">
        <v>1026</v>
      </c>
      <c r="AG797" s="8" t="s">
        <v>1026</v>
      </c>
      <c r="AH797" s="8" t="s">
        <v>1026</v>
      </c>
      <c r="AI797" s="8" t="s">
        <v>1026</v>
      </c>
    </row>
    <row r="798" spans="24:35" x14ac:dyDescent="0.25">
      <c r="X798" s="8" t="s">
        <v>885</v>
      </c>
      <c r="Y798" s="8" t="s">
        <v>1006</v>
      </c>
      <c r="Z798" s="8" t="s">
        <v>1006</v>
      </c>
      <c r="AA798" s="5">
        <v>1</v>
      </c>
      <c r="AB798" s="8" t="s">
        <v>1006</v>
      </c>
      <c r="AC798" s="8" t="s">
        <v>1006</v>
      </c>
      <c r="AD798" s="8" t="s">
        <v>1026</v>
      </c>
      <c r="AE798" s="8" t="s">
        <v>1026</v>
      </c>
      <c r="AF798" s="8" t="s">
        <v>1026</v>
      </c>
      <c r="AG798" s="8" t="s">
        <v>1026</v>
      </c>
      <c r="AH798" s="8" t="s">
        <v>1026</v>
      </c>
      <c r="AI798" s="8" t="s">
        <v>1026</v>
      </c>
    </row>
    <row r="799" spans="24:35" x14ac:dyDescent="0.25">
      <c r="X799" s="8" t="s">
        <v>886</v>
      </c>
      <c r="Y799" s="8" t="s">
        <v>1006</v>
      </c>
      <c r="Z799" s="8" t="s">
        <v>1006</v>
      </c>
      <c r="AA799" s="5">
        <v>1</v>
      </c>
      <c r="AB799" s="8" t="s">
        <v>1006</v>
      </c>
      <c r="AC799" s="8" t="s">
        <v>1006</v>
      </c>
      <c r="AD799" s="8" t="s">
        <v>1026</v>
      </c>
      <c r="AE799" s="8" t="s">
        <v>1026</v>
      </c>
      <c r="AF799" s="8" t="s">
        <v>1026</v>
      </c>
      <c r="AG799" s="8" t="s">
        <v>1026</v>
      </c>
      <c r="AH799" s="8" t="s">
        <v>1026</v>
      </c>
      <c r="AI799" s="8" t="s">
        <v>1026</v>
      </c>
    </row>
    <row r="800" spans="24:35" x14ac:dyDescent="0.25">
      <c r="X800" s="8" t="s">
        <v>887</v>
      </c>
      <c r="Y800" s="8" t="s">
        <v>1006</v>
      </c>
      <c r="Z800" s="8" t="s">
        <v>1006</v>
      </c>
      <c r="AA800" s="5">
        <v>1</v>
      </c>
      <c r="AB800" s="8" t="s">
        <v>1006</v>
      </c>
      <c r="AC800" s="8" t="s">
        <v>1006</v>
      </c>
      <c r="AD800" s="8" t="s">
        <v>1026</v>
      </c>
      <c r="AE800" s="8" t="s">
        <v>1026</v>
      </c>
      <c r="AF800" s="8" t="s">
        <v>1026</v>
      </c>
      <c r="AG800" s="8" t="s">
        <v>1026</v>
      </c>
      <c r="AH800" s="8" t="s">
        <v>1026</v>
      </c>
      <c r="AI800" s="8" t="s">
        <v>1026</v>
      </c>
    </row>
    <row r="801" spans="24:35" x14ac:dyDescent="0.25">
      <c r="X801" s="8" t="s">
        <v>888</v>
      </c>
      <c r="Y801" s="8" t="s">
        <v>1006</v>
      </c>
      <c r="Z801" s="8" t="s">
        <v>1006</v>
      </c>
      <c r="AA801" s="5">
        <v>1</v>
      </c>
      <c r="AB801" s="8" t="s">
        <v>1006</v>
      </c>
      <c r="AC801" s="8" t="s">
        <v>1006</v>
      </c>
      <c r="AD801" s="8" t="s">
        <v>1026</v>
      </c>
      <c r="AE801" s="8" t="s">
        <v>1026</v>
      </c>
      <c r="AF801" s="8" t="s">
        <v>1026</v>
      </c>
      <c r="AG801" s="8" t="s">
        <v>1026</v>
      </c>
      <c r="AH801" s="8" t="s">
        <v>1026</v>
      </c>
      <c r="AI801" s="8" t="s">
        <v>1026</v>
      </c>
    </row>
    <row r="802" spans="24:35" x14ac:dyDescent="0.25">
      <c r="X802" s="8" t="s">
        <v>889</v>
      </c>
      <c r="Y802" s="8" t="s">
        <v>925</v>
      </c>
      <c r="Z802" s="8" t="s">
        <v>969</v>
      </c>
      <c r="AA802" s="5">
        <v>84</v>
      </c>
      <c r="AB802" s="8" t="s">
        <v>1007</v>
      </c>
      <c r="AC802" s="8" t="s">
        <v>987</v>
      </c>
      <c r="AD802" s="8" t="s">
        <v>1027</v>
      </c>
      <c r="AE802" s="8" t="s">
        <v>1027</v>
      </c>
      <c r="AF802" s="8" t="s">
        <v>1026</v>
      </c>
      <c r="AG802" s="8" t="s">
        <v>1026</v>
      </c>
      <c r="AH802" s="8" t="s">
        <v>1027</v>
      </c>
      <c r="AI802" s="8" t="s">
        <v>1026</v>
      </c>
    </row>
    <row r="803" spans="24:35" x14ac:dyDescent="0.25">
      <c r="X803" s="8" t="s">
        <v>890</v>
      </c>
      <c r="Y803" s="8" t="s">
        <v>926</v>
      </c>
      <c r="Z803" s="8" t="s">
        <v>1006</v>
      </c>
      <c r="AA803" s="5">
        <v>98</v>
      </c>
      <c r="AB803" s="8" t="s">
        <v>965</v>
      </c>
      <c r="AC803" s="8" t="s">
        <v>956</v>
      </c>
      <c r="AD803" s="8" t="s">
        <v>1027</v>
      </c>
      <c r="AE803" s="8" t="s">
        <v>1027</v>
      </c>
      <c r="AF803" s="8" t="s">
        <v>1028</v>
      </c>
      <c r="AG803" s="8" t="s">
        <v>1027</v>
      </c>
      <c r="AH803" s="8" t="s">
        <v>1028</v>
      </c>
      <c r="AI803" s="8" t="s">
        <v>1026</v>
      </c>
    </row>
    <row r="804" spans="24:35" x14ac:dyDescent="0.25">
      <c r="X804" s="8" t="s">
        <v>891</v>
      </c>
      <c r="Y804" s="8" t="s">
        <v>992</v>
      </c>
      <c r="Z804" s="8" t="s">
        <v>962</v>
      </c>
      <c r="AA804" s="5">
        <v>93</v>
      </c>
      <c r="AB804" s="8" t="s">
        <v>1011</v>
      </c>
      <c r="AC804" s="8" t="s">
        <v>1004</v>
      </c>
      <c r="AD804" s="8" t="s">
        <v>1026</v>
      </c>
      <c r="AE804" s="8" t="s">
        <v>1026</v>
      </c>
      <c r="AF804" s="8" t="s">
        <v>1027</v>
      </c>
      <c r="AG804" s="8" t="s">
        <v>1026</v>
      </c>
      <c r="AH804" s="8" t="s">
        <v>1026</v>
      </c>
      <c r="AI804" s="8" t="s">
        <v>1026</v>
      </c>
    </row>
    <row r="805" spans="24:35" x14ac:dyDescent="0.25">
      <c r="X805" s="8" t="s">
        <v>892</v>
      </c>
      <c r="Y805" s="8" t="s">
        <v>1017</v>
      </c>
      <c r="Z805" s="8" t="s">
        <v>972</v>
      </c>
      <c r="AA805" s="5">
        <v>92</v>
      </c>
      <c r="AB805" s="8" t="s">
        <v>996</v>
      </c>
      <c r="AC805" s="8" t="s">
        <v>998</v>
      </c>
      <c r="AD805" s="8" t="s">
        <v>1025</v>
      </c>
      <c r="AE805" s="8" t="s">
        <v>1028</v>
      </c>
      <c r="AF805" s="8" t="s">
        <v>1028</v>
      </c>
      <c r="AG805" s="8" t="s">
        <v>1025</v>
      </c>
      <c r="AH805" s="8" t="s">
        <v>1025</v>
      </c>
      <c r="AI805" s="8" t="s">
        <v>1026</v>
      </c>
    </row>
    <row r="806" spans="24:35" x14ac:dyDescent="0.25">
      <c r="X806" s="8" t="s">
        <v>893</v>
      </c>
      <c r="Y806" s="8" t="s">
        <v>944</v>
      </c>
      <c r="Z806" s="8" t="s">
        <v>989</v>
      </c>
      <c r="AA806" s="5">
        <v>85</v>
      </c>
      <c r="AB806" s="8" t="s">
        <v>961</v>
      </c>
      <c r="AC806" s="8" t="s">
        <v>987</v>
      </c>
      <c r="AD806" s="8" t="s">
        <v>1026</v>
      </c>
      <c r="AE806" s="8" t="s">
        <v>1026</v>
      </c>
      <c r="AF806" s="8" t="s">
        <v>1026</v>
      </c>
      <c r="AG806" s="8" t="s">
        <v>1026</v>
      </c>
      <c r="AH806" s="8" t="s">
        <v>1026</v>
      </c>
      <c r="AI806" s="8" t="s">
        <v>1026</v>
      </c>
    </row>
    <row r="807" spans="24:35" x14ac:dyDescent="0.25">
      <c r="X807" s="8" t="s">
        <v>894</v>
      </c>
      <c r="Y807" s="8" t="s">
        <v>1020</v>
      </c>
      <c r="Z807" s="8" t="s">
        <v>982</v>
      </c>
      <c r="AA807" s="5">
        <v>70</v>
      </c>
      <c r="AB807" s="8" t="s">
        <v>977</v>
      </c>
      <c r="AC807" s="8" t="s">
        <v>941</v>
      </c>
      <c r="AD807" s="8" t="s">
        <v>1028</v>
      </c>
      <c r="AE807" s="8" t="s">
        <v>1025</v>
      </c>
      <c r="AF807" s="8" t="s">
        <v>1028</v>
      </c>
      <c r="AG807" s="8" t="s">
        <v>1028</v>
      </c>
      <c r="AH807" s="8" t="s">
        <v>1027</v>
      </c>
      <c r="AI807" s="8" t="s">
        <v>1026</v>
      </c>
    </row>
    <row r="808" spans="24:35" x14ac:dyDescent="0.25">
      <c r="X808" s="8" t="s">
        <v>895</v>
      </c>
      <c r="Y808" s="8" t="s">
        <v>966</v>
      </c>
      <c r="Z808" s="8" t="s">
        <v>955</v>
      </c>
      <c r="AA808" s="5">
        <v>91</v>
      </c>
      <c r="AB808" s="8" t="s">
        <v>1020</v>
      </c>
      <c r="AC808" s="8" t="s">
        <v>938</v>
      </c>
      <c r="AD808" s="8" t="s">
        <v>1026</v>
      </c>
      <c r="AE808" s="8" t="s">
        <v>1026</v>
      </c>
      <c r="AF808" s="8" t="s">
        <v>1027</v>
      </c>
      <c r="AG808" s="8" t="s">
        <v>1026</v>
      </c>
      <c r="AH808" s="8" t="s">
        <v>1027</v>
      </c>
      <c r="AI808" s="8" t="s">
        <v>1026</v>
      </c>
    </row>
    <row r="809" spans="24:35" x14ac:dyDescent="0.25">
      <c r="X809" s="8" t="s">
        <v>896</v>
      </c>
      <c r="Y809" s="8" t="s">
        <v>935</v>
      </c>
      <c r="Z809" s="8" t="s">
        <v>927</v>
      </c>
      <c r="AA809" s="5">
        <v>88</v>
      </c>
      <c r="AB809" s="8" t="s">
        <v>1017</v>
      </c>
      <c r="AC809" s="8" t="s">
        <v>945</v>
      </c>
      <c r="AD809" s="8" t="s">
        <v>1026</v>
      </c>
      <c r="AE809" s="8" t="s">
        <v>1026</v>
      </c>
      <c r="AF809" s="8" t="s">
        <v>1026</v>
      </c>
      <c r="AG809" s="8" t="s">
        <v>1026</v>
      </c>
      <c r="AH809" s="8" t="s">
        <v>1026</v>
      </c>
      <c r="AI809" s="8" t="s">
        <v>1026</v>
      </c>
    </row>
    <row r="810" spans="24:35" x14ac:dyDescent="0.25">
      <c r="X810" s="8" t="s">
        <v>897</v>
      </c>
      <c r="Y810" s="8" t="s">
        <v>998</v>
      </c>
      <c r="Z810" s="8" t="s">
        <v>958</v>
      </c>
      <c r="AA810" s="5">
        <v>75</v>
      </c>
      <c r="AB810" s="8" t="s">
        <v>969</v>
      </c>
      <c r="AC810" s="8" t="s">
        <v>965</v>
      </c>
      <c r="AD810" s="8" t="s">
        <v>1025</v>
      </c>
      <c r="AE810" s="8" t="s">
        <v>1025</v>
      </c>
      <c r="AF810" s="8" t="s">
        <v>1028</v>
      </c>
      <c r="AG810" s="8" t="s">
        <v>1025</v>
      </c>
      <c r="AH810" s="8" t="s">
        <v>1027</v>
      </c>
      <c r="AI810" s="8" t="s">
        <v>1027</v>
      </c>
    </row>
    <row r="811" spans="24:35" x14ac:dyDescent="0.25">
      <c r="X811" s="8" t="s">
        <v>898</v>
      </c>
      <c r="Y811" s="8" t="s">
        <v>982</v>
      </c>
      <c r="Z811" s="8" t="s">
        <v>987</v>
      </c>
      <c r="AA811" s="5">
        <v>69</v>
      </c>
      <c r="AB811" s="8" t="s">
        <v>953</v>
      </c>
      <c r="AC811" s="8" t="s">
        <v>971</v>
      </c>
      <c r="AD811" s="8" t="s">
        <v>1025</v>
      </c>
      <c r="AE811" s="8" t="s">
        <v>1025</v>
      </c>
      <c r="AF811" s="8" t="s">
        <v>1025</v>
      </c>
      <c r="AG811" s="8" t="s">
        <v>1028</v>
      </c>
      <c r="AH811" s="8" t="s">
        <v>1027</v>
      </c>
      <c r="AI811" s="8" t="s">
        <v>1026</v>
      </c>
    </row>
    <row r="812" spans="24:35" x14ac:dyDescent="0.25">
      <c r="X812" s="8" t="s">
        <v>899</v>
      </c>
      <c r="Y812" s="8" t="s">
        <v>1011</v>
      </c>
      <c r="Z812" s="8" t="s">
        <v>1020</v>
      </c>
      <c r="AA812" s="5">
        <v>69</v>
      </c>
      <c r="AB812" s="8" t="s">
        <v>950</v>
      </c>
      <c r="AC812" s="8" t="s">
        <v>1018</v>
      </c>
      <c r="AD812" s="8" t="s">
        <v>1028</v>
      </c>
      <c r="AE812" s="8" t="s">
        <v>1028</v>
      </c>
      <c r="AF812" s="8" t="s">
        <v>1025</v>
      </c>
      <c r="AG812" s="8" t="s">
        <v>1028</v>
      </c>
      <c r="AH812" s="8" t="s">
        <v>1026</v>
      </c>
      <c r="AI812" s="8" t="s">
        <v>1027</v>
      </c>
    </row>
    <row r="813" spans="24:35" x14ac:dyDescent="0.25">
      <c r="X813" s="8" t="s">
        <v>900</v>
      </c>
      <c r="Y813" s="8" t="s">
        <v>962</v>
      </c>
      <c r="Z813" s="8" t="s">
        <v>1005</v>
      </c>
      <c r="AA813" s="5">
        <v>93</v>
      </c>
      <c r="AB813" s="8" t="s">
        <v>971</v>
      </c>
      <c r="AC813" s="8" t="s">
        <v>940</v>
      </c>
      <c r="AD813" s="8" t="s">
        <v>1026</v>
      </c>
      <c r="AE813" s="8" t="s">
        <v>1026</v>
      </c>
      <c r="AF813" s="8" t="s">
        <v>1026</v>
      </c>
      <c r="AG813" s="8" t="s">
        <v>1026</v>
      </c>
      <c r="AH813" s="8" t="s">
        <v>1026</v>
      </c>
      <c r="AI813" s="8" t="s">
        <v>1027</v>
      </c>
    </row>
    <row r="814" spans="24:35" x14ac:dyDescent="0.25">
      <c r="X814" s="8" t="s">
        <v>901</v>
      </c>
      <c r="Y814" s="8" t="s">
        <v>929</v>
      </c>
      <c r="Z814" s="8" t="s">
        <v>1002</v>
      </c>
      <c r="AA814" s="5">
        <v>56</v>
      </c>
      <c r="AB814" s="8" t="s">
        <v>922</v>
      </c>
      <c r="AC814" s="8" t="s">
        <v>994</v>
      </c>
      <c r="AD814" s="8" t="s">
        <v>1028</v>
      </c>
      <c r="AE814" s="8" t="s">
        <v>1025</v>
      </c>
      <c r="AF814" s="8" t="s">
        <v>1027</v>
      </c>
      <c r="AG814" s="8" t="s">
        <v>1028</v>
      </c>
      <c r="AH814" s="8" t="s">
        <v>1026</v>
      </c>
      <c r="AI814" s="8" t="s">
        <v>1027</v>
      </c>
    </row>
    <row r="815" spans="24:35" x14ac:dyDescent="0.25">
      <c r="X815" s="8" t="s">
        <v>902</v>
      </c>
      <c r="Y815" s="8" t="s">
        <v>942</v>
      </c>
      <c r="Z815" s="8" t="s">
        <v>930</v>
      </c>
      <c r="AA815" s="5">
        <v>44</v>
      </c>
      <c r="AB815" s="8" t="s">
        <v>955</v>
      </c>
      <c r="AC815" s="8" t="s">
        <v>1020</v>
      </c>
      <c r="AD815" s="8" t="s">
        <v>1026</v>
      </c>
      <c r="AE815" s="8" t="s">
        <v>1026</v>
      </c>
      <c r="AF815" s="8" t="s">
        <v>1026</v>
      </c>
      <c r="AG815" s="8" t="s">
        <v>1026</v>
      </c>
      <c r="AH815" s="8" t="s">
        <v>1026</v>
      </c>
      <c r="AI815" s="8" t="s">
        <v>1026</v>
      </c>
    </row>
    <row r="816" spans="24:35" x14ac:dyDescent="0.25">
      <c r="X816" s="8" t="s">
        <v>903</v>
      </c>
      <c r="Y816" s="8" t="s">
        <v>953</v>
      </c>
      <c r="Z816" s="8" t="s">
        <v>922</v>
      </c>
      <c r="AA816" s="5">
        <v>100</v>
      </c>
      <c r="AB816" s="8" t="s">
        <v>1018</v>
      </c>
      <c r="AC816" s="8" t="s">
        <v>996</v>
      </c>
      <c r="AD816" s="8" t="s">
        <v>1026</v>
      </c>
      <c r="AE816" s="8" t="s">
        <v>1026</v>
      </c>
      <c r="AF816" s="8" t="s">
        <v>1028</v>
      </c>
      <c r="AG816" s="8" t="s">
        <v>1026</v>
      </c>
      <c r="AH816" s="8" t="s">
        <v>1025</v>
      </c>
      <c r="AI816" s="8" t="s">
        <v>1026</v>
      </c>
    </row>
    <row r="817" spans="24:35" x14ac:dyDescent="0.25">
      <c r="X817" s="8" t="s">
        <v>904</v>
      </c>
      <c r="Y817" s="8" t="s">
        <v>1020</v>
      </c>
      <c r="Z817" s="8" t="s">
        <v>921</v>
      </c>
      <c r="AA817" s="5">
        <v>92</v>
      </c>
      <c r="AB817" s="8" t="s">
        <v>925</v>
      </c>
      <c r="AC817" s="8" t="s">
        <v>940</v>
      </c>
      <c r="AD817" s="8" t="s">
        <v>1028</v>
      </c>
      <c r="AE817" s="8" t="s">
        <v>1028</v>
      </c>
      <c r="AF817" s="8" t="s">
        <v>1028</v>
      </c>
      <c r="AG817" s="8" t="s">
        <v>1025</v>
      </c>
      <c r="AH817" s="8" t="s">
        <v>1028</v>
      </c>
      <c r="AI817" s="8" t="s">
        <v>1027</v>
      </c>
    </row>
    <row r="818" spans="24:35" x14ac:dyDescent="0.25">
      <c r="X818" s="8" t="s">
        <v>905</v>
      </c>
      <c r="Y818" s="8" t="s">
        <v>1007</v>
      </c>
      <c r="Z818" s="8" t="s">
        <v>985</v>
      </c>
      <c r="AA818" s="5">
        <v>72</v>
      </c>
      <c r="AB818" s="8" t="s">
        <v>945</v>
      </c>
      <c r="AC818" s="8" t="s">
        <v>926</v>
      </c>
      <c r="AD818" s="8" t="s">
        <v>1025</v>
      </c>
      <c r="AE818" s="8" t="s">
        <v>1025</v>
      </c>
      <c r="AF818" s="8" t="s">
        <v>1025</v>
      </c>
      <c r="AG818" s="8" t="s">
        <v>1025</v>
      </c>
      <c r="AH818" s="8" t="s">
        <v>1026</v>
      </c>
      <c r="AI818" s="8" t="s">
        <v>1025</v>
      </c>
    </row>
    <row r="819" spans="24:35" x14ac:dyDescent="0.25">
      <c r="X819" s="8" t="s">
        <v>906</v>
      </c>
      <c r="Y819" s="8" t="s">
        <v>996</v>
      </c>
      <c r="Z819" s="8" t="s">
        <v>1003</v>
      </c>
      <c r="AA819" s="5">
        <v>42</v>
      </c>
      <c r="AB819" s="8" t="s">
        <v>1004</v>
      </c>
      <c r="AC819" s="8" t="s">
        <v>929</v>
      </c>
      <c r="AD819" s="8" t="s">
        <v>1025</v>
      </c>
      <c r="AE819" s="8" t="s">
        <v>1027</v>
      </c>
      <c r="AF819" s="8" t="s">
        <v>1025</v>
      </c>
      <c r="AG819" s="8" t="s">
        <v>1028</v>
      </c>
      <c r="AH819" s="8" t="s">
        <v>1026</v>
      </c>
      <c r="AI819" s="8" t="s">
        <v>1026</v>
      </c>
    </row>
    <row r="820" spans="24:35" x14ac:dyDescent="0.25">
      <c r="X820" s="8" t="s">
        <v>907</v>
      </c>
      <c r="Y820" s="8" t="s">
        <v>982</v>
      </c>
      <c r="Z820" s="8" t="s">
        <v>1017</v>
      </c>
      <c r="AA820" s="5">
        <v>65</v>
      </c>
      <c r="AB820" s="8" t="s">
        <v>967</v>
      </c>
      <c r="AC820" s="8" t="s">
        <v>965</v>
      </c>
      <c r="AD820" s="8" t="s">
        <v>1025</v>
      </c>
      <c r="AE820" s="8" t="s">
        <v>1025</v>
      </c>
      <c r="AF820" s="8" t="s">
        <v>1025</v>
      </c>
      <c r="AG820" s="8" t="s">
        <v>1028</v>
      </c>
      <c r="AH820" s="8" t="s">
        <v>1026</v>
      </c>
      <c r="AI820" s="8" t="s">
        <v>1027</v>
      </c>
    </row>
    <row r="821" spans="24:35" x14ac:dyDescent="0.25">
      <c r="X821" s="8" t="s">
        <v>908</v>
      </c>
      <c r="Y821" s="8" t="s">
        <v>996</v>
      </c>
      <c r="Z821" s="8" t="s">
        <v>970</v>
      </c>
      <c r="AA821" s="5">
        <v>90</v>
      </c>
      <c r="AB821" s="8" t="s">
        <v>958</v>
      </c>
      <c r="AC821" s="8" t="s">
        <v>971</v>
      </c>
      <c r="AD821" s="8" t="s">
        <v>1027</v>
      </c>
      <c r="AE821" s="8" t="s">
        <v>1027</v>
      </c>
      <c r="AF821" s="8" t="s">
        <v>1025</v>
      </c>
      <c r="AG821" s="8" t="s">
        <v>1028</v>
      </c>
      <c r="AH821" s="8" t="s">
        <v>1027</v>
      </c>
      <c r="AI821" s="8" t="s">
        <v>1025</v>
      </c>
    </row>
    <row r="822" spans="24:35" x14ac:dyDescent="0.25">
      <c r="X822" s="8" t="s">
        <v>909</v>
      </c>
      <c r="Y822" s="8" t="s">
        <v>1014</v>
      </c>
      <c r="Z822" s="8" t="s">
        <v>998</v>
      </c>
      <c r="AA822" s="5">
        <v>70</v>
      </c>
      <c r="AB822" s="8" t="s">
        <v>979</v>
      </c>
      <c r="AC822" s="8" t="s">
        <v>1003</v>
      </c>
      <c r="AD822" s="8" t="s">
        <v>1025</v>
      </c>
      <c r="AE822" s="8" t="s">
        <v>1028</v>
      </c>
      <c r="AF822" s="8" t="s">
        <v>1025</v>
      </c>
      <c r="AG822" s="8" t="s">
        <v>1028</v>
      </c>
      <c r="AH822" s="8" t="s">
        <v>1026</v>
      </c>
      <c r="AI822" s="8" t="s">
        <v>1026</v>
      </c>
    </row>
    <row r="823" spans="24:35" x14ac:dyDescent="0.25">
      <c r="X823" s="8" t="s">
        <v>910</v>
      </c>
      <c r="Y823" s="8" t="s">
        <v>998</v>
      </c>
      <c r="Z823" s="8" t="s">
        <v>926</v>
      </c>
      <c r="AA823" s="5">
        <v>94</v>
      </c>
      <c r="AB823" s="8" t="s">
        <v>961</v>
      </c>
      <c r="AC823" s="8" t="s">
        <v>921</v>
      </c>
      <c r="AD823" s="8" t="s">
        <v>1025</v>
      </c>
      <c r="AE823" s="8" t="s">
        <v>1025</v>
      </c>
      <c r="AF823" s="8" t="s">
        <v>1025</v>
      </c>
      <c r="AG823" s="8" t="s">
        <v>1025</v>
      </c>
      <c r="AH823" s="8" t="s">
        <v>1025</v>
      </c>
      <c r="AI823" s="8" t="s">
        <v>1027</v>
      </c>
    </row>
    <row r="824" spans="24:35" x14ac:dyDescent="0.25">
      <c r="X824" s="8" t="s">
        <v>911</v>
      </c>
      <c r="Y824" s="8" t="s">
        <v>985</v>
      </c>
      <c r="Z824" s="8" t="s">
        <v>1015</v>
      </c>
      <c r="AA824" s="5">
        <v>51</v>
      </c>
      <c r="AB824" s="8" t="s">
        <v>981</v>
      </c>
      <c r="AC824" s="8" t="s">
        <v>982</v>
      </c>
      <c r="AD824" s="8" t="s">
        <v>1028</v>
      </c>
      <c r="AE824" s="8" t="s">
        <v>1028</v>
      </c>
      <c r="AF824" s="8" t="s">
        <v>1026</v>
      </c>
      <c r="AG824" s="8" t="s">
        <v>1025</v>
      </c>
      <c r="AH824" s="8" t="s">
        <v>1026</v>
      </c>
      <c r="AI824" s="8" t="s">
        <v>1026</v>
      </c>
    </row>
    <row r="825" spans="24:35" x14ac:dyDescent="0.25">
      <c r="X825" s="8" t="s">
        <v>912</v>
      </c>
      <c r="Y825" s="8" t="s">
        <v>983</v>
      </c>
      <c r="Z825" s="8" t="s">
        <v>1017</v>
      </c>
      <c r="AA825" s="5">
        <v>60</v>
      </c>
      <c r="AB825" s="8" t="s">
        <v>1013</v>
      </c>
      <c r="AC825" s="8" t="s">
        <v>929</v>
      </c>
      <c r="AD825" s="8" t="s">
        <v>1028</v>
      </c>
      <c r="AE825" s="8" t="s">
        <v>1028</v>
      </c>
      <c r="AF825" s="8" t="s">
        <v>1027</v>
      </c>
      <c r="AG825" s="8" t="s">
        <v>1025</v>
      </c>
      <c r="AH825" s="8" t="s">
        <v>1026</v>
      </c>
      <c r="AI825" s="8" t="s">
        <v>1026</v>
      </c>
    </row>
    <row r="826" spans="24:35" x14ac:dyDescent="0.25">
      <c r="X826" s="8" t="s">
        <v>913</v>
      </c>
      <c r="Y826" s="8" t="s">
        <v>1018</v>
      </c>
      <c r="Z826" s="8" t="s">
        <v>996</v>
      </c>
      <c r="AA826" s="5">
        <v>78</v>
      </c>
      <c r="AB826" s="8" t="s">
        <v>1001</v>
      </c>
      <c r="AC826" s="8" t="s">
        <v>1017</v>
      </c>
      <c r="AD826" s="8" t="s">
        <v>1028</v>
      </c>
      <c r="AE826" s="8" t="s">
        <v>1025</v>
      </c>
      <c r="AF826" s="8" t="s">
        <v>1025</v>
      </c>
      <c r="AG826" s="8" t="s">
        <v>1025</v>
      </c>
      <c r="AH826" s="8" t="s">
        <v>1027</v>
      </c>
      <c r="AI826" s="8" t="s">
        <v>1025</v>
      </c>
    </row>
    <row r="827" spans="24:35" x14ac:dyDescent="0.25">
      <c r="X827" s="8" t="s">
        <v>914</v>
      </c>
      <c r="Y827" s="8" t="s">
        <v>983</v>
      </c>
      <c r="Z827" s="8" t="s">
        <v>938</v>
      </c>
      <c r="AA827" s="5">
        <v>76</v>
      </c>
      <c r="AB827" s="8" t="s">
        <v>926</v>
      </c>
      <c r="AC827" s="8" t="s">
        <v>961</v>
      </c>
      <c r="AD827" s="8" t="s">
        <v>1027</v>
      </c>
      <c r="AE827" s="8" t="s">
        <v>1025</v>
      </c>
      <c r="AF827" s="8" t="s">
        <v>1025</v>
      </c>
      <c r="AG827" s="8" t="s">
        <v>1028</v>
      </c>
      <c r="AH827" s="8" t="s">
        <v>1026</v>
      </c>
      <c r="AI827" s="8" t="s">
        <v>1027</v>
      </c>
    </row>
    <row r="828" spans="24:35" x14ac:dyDescent="0.25">
      <c r="X828" s="8" t="s">
        <v>915</v>
      </c>
      <c r="Y828" s="8" t="s">
        <v>961</v>
      </c>
      <c r="Z828" s="8" t="s">
        <v>960</v>
      </c>
      <c r="AA828" s="5">
        <v>80</v>
      </c>
      <c r="AB828" s="8" t="s">
        <v>987</v>
      </c>
      <c r="AC828" s="8" t="s">
        <v>1003</v>
      </c>
      <c r="AD828" s="8" t="s">
        <v>1025</v>
      </c>
      <c r="AE828" s="8" t="s">
        <v>1025</v>
      </c>
      <c r="AF828" s="8" t="s">
        <v>1027</v>
      </c>
      <c r="AG828" s="8" t="s">
        <v>1025</v>
      </c>
      <c r="AH828" s="8" t="s">
        <v>1026</v>
      </c>
      <c r="AI828" s="8" t="s">
        <v>1028</v>
      </c>
    </row>
    <row r="829" spans="24:35" x14ac:dyDescent="0.25">
      <c r="X829" s="8" t="s">
        <v>916</v>
      </c>
      <c r="Y829" s="8" t="s">
        <v>961</v>
      </c>
      <c r="Z829" s="8" t="s">
        <v>953</v>
      </c>
      <c r="AA829" s="5">
        <v>98</v>
      </c>
      <c r="AB829" s="8" t="s">
        <v>1020</v>
      </c>
      <c r="AC829" s="8" t="s">
        <v>983</v>
      </c>
      <c r="AD829" s="8" t="s">
        <v>1027</v>
      </c>
      <c r="AE829" s="8" t="s">
        <v>1027</v>
      </c>
      <c r="AF829" s="8" t="s">
        <v>1028</v>
      </c>
      <c r="AG829" s="8" t="s">
        <v>1027</v>
      </c>
      <c r="AH829" s="8" t="s">
        <v>1025</v>
      </c>
      <c r="AI829" s="8" t="s">
        <v>1027</v>
      </c>
    </row>
    <row r="830" spans="24:35" x14ac:dyDescent="0.25">
      <c r="X830" s="8" t="s">
        <v>917</v>
      </c>
      <c r="Y830" s="8" t="s">
        <v>931</v>
      </c>
      <c r="Z830" s="8" t="s">
        <v>943</v>
      </c>
      <c r="AA830" s="5">
        <v>82</v>
      </c>
      <c r="AB830" s="8" t="s">
        <v>1007</v>
      </c>
      <c r="AC830" s="8" t="s">
        <v>1014</v>
      </c>
      <c r="AD830" s="8" t="s">
        <v>1026</v>
      </c>
      <c r="AE830" s="8" t="s">
        <v>1026</v>
      </c>
      <c r="AF830" s="8" t="s">
        <v>1026</v>
      </c>
      <c r="AG830" s="8" t="s">
        <v>1027</v>
      </c>
      <c r="AH830" s="8" t="s">
        <v>1026</v>
      </c>
      <c r="AI830" s="8" t="s">
        <v>1026</v>
      </c>
    </row>
    <row r="831" spans="24:35" x14ac:dyDescent="0.25">
      <c r="X831" s="8" t="s">
        <v>918</v>
      </c>
      <c r="Y831" s="8" t="s">
        <v>1002</v>
      </c>
      <c r="Z831" s="8" t="s">
        <v>966</v>
      </c>
      <c r="AA831" s="5">
        <v>100</v>
      </c>
      <c r="AB831" s="8" t="s">
        <v>1015</v>
      </c>
      <c r="AC831" s="8" t="s">
        <v>961</v>
      </c>
      <c r="AD831" s="8" t="s">
        <v>1027</v>
      </c>
      <c r="AE831" s="8" t="s">
        <v>1027</v>
      </c>
      <c r="AF831" s="8" t="s">
        <v>1028</v>
      </c>
      <c r="AG831" s="8" t="s">
        <v>1027</v>
      </c>
      <c r="AH831" s="8" t="s">
        <v>1028</v>
      </c>
      <c r="AI831" s="8" t="s">
        <v>1027</v>
      </c>
    </row>
    <row r="832" spans="24:35" x14ac:dyDescent="0.25">
      <c r="X832" s="8" t="s">
        <v>919</v>
      </c>
      <c r="Y832" s="8" t="s">
        <v>1002</v>
      </c>
      <c r="Z832" s="8" t="s">
        <v>926</v>
      </c>
      <c r="AA832" s="5">
        <v>95</v>
      </c>
      <c r="AB832" s="8" t="s">
        <v>1015</v>
      </c>
      <c r="AC832" s="8" t="s">
        <v>942</v>
      </c>
      <c r="AD832" s="8" t="s">
        <v>1025</v>
      </c>
      <c r="AE832" s="8" t="s">
        <v>1025</v>
      </c>
      <c r="AF832" s="8" t="s">
        <v>1025</v>
      </c>
      <c r="AG832" s="8" t="s">
        <v>1027</v>
      </c>
      <c r="AH832" s="8" t="s">
        <v>1025</v>
      </c>
      <c r="AI832" s="8" t="s">
        <v>1025</v>
      </c>
    </row>
    <row r="833" spans="24:35" x14ac:dyDescent="0.25">
      <c r="X833" s="8" t="s">
        <v>920</v>
      </c>
      <c r="Y833" s="8" t="s">
        <v>990</v>
      </c>
      <c r="Z833" s="8" t="s">
        <v>951</v>
      </c>
      <c r="AA833" s="5">
        <v>86</v>
      </c>
      <c r="AB833" s="8" t="s">
        <v>1017</v>
      </c>
      <c r="AC833" s="8" t="s">
        <v>1014</v>
      </c>
      <c r="AD833" s="8" t="s">
        <v>1026</v>
      </c>
      <c r="AE833" s="8" t="s">
        <v>1026</v>
      </c>
      <c r="AF833" s="8" t="s">
        <v>1026</v>
      </c>
      <c r="AG833" s="8" t="s">
        <v>1026</v>
      </c>
      <c r="AH833" s="8" t="s">
        <v>1026</v>
      </c>
      <c r="AI833" s="8" t="s">
        <v>1026</v>
      </c>
    </row>
  </sheetData>
  <phoneticPr fontId="1" type="noConversion"/>
  <dataValidations count="2">
    <dataValidation type="list" allowBlank="1" showInputMessage="1" showErrorMessage="1" sqref="A6 A15" xr:uid="{9C0E6AAD-B279-439E-A53B-B007EDADBFF2}">
      <formula1>$Q$2:$Q$13</formula1>
    </dataValidation>
    <dataValidation type="list" allowBlank="1" showInputMessage="1" showErrorMessage="1" sqref="A3 A12" xr:uid="{4E7BB9F7-1CE0-4784-9328-FD70465AF4F0}">
      <formula1>$X$2:$X$833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城市收入</vt:lpstr>
      <vt:lpstr>部队攻防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坦克</cp:lastModifiedBy>
  <dcterms:created xsi:type="dcterms:W3CDTF">2015-06-05T18:17:20Z</dcterms:created>
  <dcterms:modified xsi:type="dcterms:W3CDTF">2025-12-16T13:53:02Z</dcterms:modified>
</cp:coreProperties>
</file>