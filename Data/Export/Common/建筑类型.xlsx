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B4B32A7D-9DD7-4EF4-BFA1-20C7AD7197A0}" xr6:coauthVersionLast="47" xr6:coauthVersionMax="47" xr10:uidLastSave="{00000000-0000-0000-0000-000000000000}"/>
  <bookViews>
    <workbookView xWindow="-108" yWindow="-108" windowWidth="30936" windowHeight="16896" tabRatio="923" xr2:uid="{00000000-000D-0000-FFFF-FFFF00000000}"/>
  </bookViews>
  <sheets>
    <sheet name="Building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6" l="1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8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L1" authorId="0" shapeId="0" xr:uid="{89166F7D-1A88-4585-8059-BAA7A0557A19}">
      <text>
        <r>
          <rPr>
            <b/>
            <sz val="9"/>
            <color indexed="81"/>
            <rFont val="宋体"/>
            <family val="3"/>
            <charset val="134"/>
          </rPr>
          <t xml:space="preserve">最终伤害会因受攻击的建筑的种类影响，请根据以下分类填写该项系数
- 火陷阱倍率1.6
- 内政设施倍率1.1
- 箭楼，连弩楼，投石台，石兵八阵倍率分别为1.0，0.7，1.0，1.0
- 土墙，石墙倍率0.9，0.7
- 港口，城池，关卡倍率0.8，0.7, 0.6
- 阵，砦，城塞倍率0.8, 0.7，0.6
- 堤防，落石倍率为0.7，1.0
</t>
        </r>
      </text>
    </comment>
  </commentList>
</comments>
</file>

<file path=xl/sharedStrings.xml><?xml version="1.0" encoding="utf-8"?>
<sst xmlns="http://schemas.openxmlformats.org/spreadsheetml/2006/main" count="616" uniqueCount="245">
  <si>
    <t>0</t>
  </si>
  <si>
    <t>0</t>
    <phoneticPr fontId="1" type="noConversion"/>
  </si>
  <si>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</si>
  <si>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</si>
  <si>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</si>
  <si>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</si>
  <si>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</si>
  <si>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</si>
  <si>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</si>
  <si>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浅滩</t>
  </si>
  <si>
    <t>都市</t>
  </si>
  <si>
    <t>关所</t>
  </si>
  <si>
    <t>Id</t>
  </si>
  <si>
    <t>Name</t>
    <phoneticPr fontId="1" type="noConversion"/>
  </si>
  <si>
    <t>连弩楼</t>
  </si>
  <si>
    <t>石墙</t>
  </si>
  <si>
    <t>投石台</t>
  </si>
  <si>
    <t>太鼓台</t>
  </si>
  <si>
    <t>军乐台</t>
  </si>
  <si>
    <t>石兵八阵</t>
  </si>
  <si>
    <t>根据地</t>
  </si>
  <si>
    <t>火球</t>
  </si>
  <si>
    <t>火焰球</t>
  </si>
  <si>
    <t>火船</t>
  </si>
  <si>
    <t>业火球</t>
  </si>
  <si>
    <t>落石</t>
  </si>
  <si>
    <t>堤防</t>
  </si>
  <si>
    <t>山岳</t>
  </si>
  <si>
    <t>长城</t>
  </si>
  <si>
    <t>遗迹</t>
  </si>
  <si>
    <t>庙</t>
  </si>
  <si>
    <t>太庙</t>
  </si>
  <si>
    <t>市场 Lv1</t>
  </si>
  <si>
    <t>农场 Lv1</t>
  </si>
  <si>
    <t>兵舍 Lv1</t>
  </si>
  <si>
    <t>锻冶厂 Lv1</t>
  </si>
  <si>
    <t>厩舍 Lv1</t>
  </si>
  <si>
    <t>工房</t>
  </si>
  <si>
    <t>造船厂</t>
  </si>
  <si>
    <t>造币厂</t>
  </si>
  <si>
    <t>符节台</t>
  </si>
  <si>
    <t>军事府</t>
  </si>
  <si>
    <t>人材府</t>
  </si>
  <si>
    <t>外交府</t>
  </si>
  <si>
    <t>计略府</t>
  </si>
  <si>
    <t>大市场</t>
  </si>
  <si>
    <t>鱼市</t>
  </si>
  <si>
    <t>黑市</t>
  </si>
  <si>
    <t>军屯农</t>
  </si>
  <si>
    <t>市场 Lv2</t>
  </si>
  <si>
    <t>市场 Lv3</t>
  </si>
  <si>
    <t>农场 Lv2</t>
  </si>
  <si>
    <t>农场 Lv3</t>
  </si>
  <si>
    <t>兵舍 Lv2</t>
  </si>
  <si>
    <t>兵舍 Lv3</t>
  </si>
  <si>
    <t>锻冶厂 Lv2</t>
  </si>
  <si>
    <t>锻冶厂 Lv3</t>
  </si>
  <si>
    <t>厩舍 Lv2</t>
  </si>
  <si>
    <t>厩舍 Lv3</t>
  </si>
  <si>
    <t>土垒</t>
  </si>
  <si>
    <t>火种</t>
  </si>
  <si>
    <t>火焰种</t>
  </si>
  <si>
    <t>业火种</t>
  </si>
  <si>
    <t>谷仓</t>
  </si>
  <si>
    <t>炼兵所</t>
  </si>
  <si>
    <t>最大耐久</t>
    <phoneticPr fontId="1" type="noConversion"/>
  </si>
  <si>
    <t>模型</t>
  </si>
  <si>
    <t>图标</t>
  </si>
  <si>
    <t>数量限制</t>
    <phoneticPr fontId="1" type="noConversion"/>
  </si>
  <si>
    <t>buildNumLimit</t>
  </si>
  <si>
    <t>说明</t>
  </si>
  <si>
    <t>desc</t>
    <phoneticPr fontId="1" type="noConversion"/>
  </si>
  <si>
    <t>生产资金、兵粮的据点</t>
  </si>
  <si>
    <t>防御力优越的据点</t>
    <phoneticPr fontId="1" type="noConversion"/>
  </si>
  <si>
    <t>强化位于周围２区格内己方部队之防御，并减轻其兵粮消费</t>
    <phoneticPr fontId="1" type="noConversion"/>
  </si>
  <si>
    <t>强化位于周围４区格内己方部队之防御，并减轻其兵粮消费</t>
    <phoneticPr fontId="1" type="noConversion"/>
  </si>
  <si>
    <t>每回合对位于周围２区格内的敌方部队执行弓箭攻击</t>
    <phoneticPr fontId="1" type="noConversion"/>
  </si>
  <si>
    <t>每回合对位于周围３区格内的敌方部队执行弓箭攻击</t>
    <phoneticPr fontId="1" type="noConversion"/>
  </si>
  <si>
    <t>阻碍部队行进的障碍物</t>
  </si>
  <si>
    <t>阻碍部队行进的障碍物，比土垒坚固</t>
  </si>
  <si>
    <t>每回合对位于周围２～３区格内的敌方部队执行投石攻击</t>
    <phoneticPr fontId="1" type="noConversion"/>
  </si>
  <si>
    <t>强化周围３区格内己方部队之攻击力，并提升单挑成功率</t>
    <phoneticPr fontId="1" type="noConversion"/>
  </si>
  <si>
    <t>回复位于周围２区格内的己方部队之气力</t>
    <phoneticPr fontId="1" type="noConversion"/>
  </si>
  <si>
    <t>让位于邻接区格中的敌方部队陷入混乱</t>
    <phoneticPr fontId="1" type="noConversion"/>
  </si>
  <si>
    <t>异族的据点</t>
    <phoneticPr fontId="1" type="noConversion"/>
  </si>
  <si>
    <t>盗贼的据点</t>
  </si>
  <si>
    <t>对邻接区格放火</t>
  </si>
  <si>
    <t>对周围２区格内放火</t>
  </si>
  <si>
    <t>边燃烧边滚越３区格</t>
  </si>
  <si>
    <t>边燃烧边滚越５区格</t>
  </si>
  <si>
    <t>对邻接区格放火，可设置于水上</t>
    <phoneticPr fontId="1" type="noConversion"/>
  </si>
  <si>
    <t>边燃烧边滚越４区格，可穿越建筑物</t>
    <phoneticPr fontId="1" type="noConversion"/>
  </si>
  <si>
    <t>对周围２区格放火，使敌方部队陷入混乱</t>
  </si>
  <si>
    <t>攻击的话，可将岩石推落崖下的陷阱</t>
  </si>
  <si>
    <t>可将其破坏以对周围进行水攻的陷阱</t>
    <phoneticPr fontId="1" type="noConversion"/>
  </si>
  <si>
    <t>若有研究技巧「难所行军」，就可渡过</t>
  </si>
  <si>
    <t>若有研究技巧「难所行军」，就可将其破坏</t>
    <phoneticPr fontId="1" type="noConversion"/>
  </si>
  <si>
    <t>万里长城，中国四千年的历史遗迹</t>
  </si>
  <si>
    <t>？？？</t>
  </si>
  <si>
    <t>每个月会增加技巧Ｐ</t>
  </si>
  <si>
    <t>提高资金收入</t>
  </si>
  <si>
    <t>提高兵粮收入</t>
  </si>
  <si>
    <t>执行征兵</t>
    <phoneticPr fontId="1" type="noConversion"/>
  </si>
  <si>
    <t>生产枪、戟、弩</t>
  </si>
  <si>
    <t>生产军马</t>
  </si>
  <si>
    <t>生产冲车、木兽、井阑、投石</t>
  </si>
  <si>
    <t>生产楼船、斗舰</t>
    <phoneticPr fontId="1" type="noConversion"/>
  </si>
  <si>
    <t>市场效果提高1.5倍</t>
  </si>
  <si>
    <t>农场效果提高1.5倍</t>
  </si>
  <si>
    <t>行动力回复量增加５、一部份俘虏的忠诚变得容易下降</t>
    <phoneticPr fontId="1" type="noConversion"/>
  </si>
  <si>
    <t>军事的所需行动力减半，并可以少额的资金设置军事设施、障碍物、陷阱</t>
    <phoneticPr fontId="1" type="noConversion"/>
  </si>
  <si>
    <t>探索人材、登庸武将的所需行动力减半，并可缩短研究技巧的期间</t>
    <phoneticPr fontId="1" type="noConversion"/>
  </si>
  <si>
    <t>外交的所需行动力减半，用于亲善的必要资金也减半。</t>
    <phoneticPr fontId="1" type="noConversion"/>
  </si>
  <si>
    <t>计略的所需行动力减半，并提升流言的成功率</t>
    <phoneticPr fontId="1" type="noConversion"/>
  </si>
  <si>
    <t>训练的效果增大，造船的生产期间缩短</t>
  </si>
  <si>
    <t>市场２倍的资金收入</t>
  </si>
  <si>
    <t>市场１.５倍的资金收入</t>
  </si>
  <si>
    <t>市场的８成资金收入，无造币厂的效果；可于短期开发，但１月时将强制撤除</t>
    <phoneticPr fontId="1" type="noConversion"/>
  </si>
  <si>
    <t>收入将与士兵数成比例的农场（士兵３万则为农场的２倍）</t>
  </si>
  <si>
    <t>说明文</t>
  </si>
  <si>
    <t>费用</t>
  </si>
  <si>
    <t>cost</t>
    <phoneticPr fontId="1" type="noConversion"/>
  </si>
  <si>
    <t>范围</t>
  </si>
  <si>
    <t>金钱产出</t>
  </si>
  <si>
    <t>粮食产出</t>
  </si>
  <si>
    <t>model</t>
  </si>
  <si>
    <t>icon</t>
  </si>
  <si>
    <t>ui://game/4845_7_12</t>
  </si>
  <si>
    <t>ui://game/4845_7_14</t>
  </si>
  <si>
    <t>ui://game/4845_7_15</t>
  </si>
  <si>
    <t>ui://game/4845_7_16</t>
  </si>
  <si>
    <t>ui://game/4845_7_17</t>
  </si>
  <si>
    <t>ui://game/4845_7_18</t>
  </si>
  <si>
    <t>ui://game/4845_7_19</t>
  </si>
  <si>
    <t>ui://game/4845_7_20</t>
  </si>
  <si>
    <t>ui://game/4845_7_21</t>
  </si>
  <si>
    <t>ui://game/4845_7_22</t>
  </si>
  <si>
    <t>ui://game/4845_7_23</t>
  </si>
  <si>
    <t>ui://game/4845_7_24</t>
  </si>
  <si>
    <t>ui://game/4845_8_0</t>
  </si>
  <si>
    <t>ui://game/4845_8_1</t>
  </si>
  <si>
    <t>ui://game/4845_8_2</t>
  </si>
  <si>
    <t>ui://game/4845_8_3</t>
  </si>
  <si>
    <t>ui://game/4845_8_4</t>
  </si>
  <si>
    <t>ui://game/4845_8_6</t>
  </si>
  <si>
    <t>ui://game/4845_8_7</t>
  </si>
  <si>
    <t>ui://game/4845_8_8</t>
  </si>
  <si>
    <t>ui://game/4845_8_9</t>
  </si>
  <si>
    <t>ui://game/4845_8_10</t>
  </si>
  <si>
    <t>ui://game/4845_8_11</t>
  </si>
  <si>
    <t>ui://game/4845_8_12</t>
  </si>
  <si>
    <t>ui://game/4845_8_13</t>
  </si>
  <si>
    <t>ui://game/4845_8_14</t>
  </si>
  <si>
    <t>ui://game/4845_5_34</t>
  </si>
  <si>
    <t>ui://game/4845_5_22</t>
  </si>
  <si>
    <t>ui://game/4845_5_23</t>
  </si>
  <si>
    <t>ui://game/4845_5_24</t>
  </si>
  <si>
    <t>ui://game/4845_5_25</t>
  </si>
  <si>
    <t>ui://game/4845_5_26</t>
  </si>
  <si>
    <t>ui://game/4845_5_27</t>
  </si>
  <si>
    <t>ui://game/4845_5_28</t>
  </si>
  <si>
    <t>ui://game/4845_5_29</t>
  </si>
  <si>
    <t>ui://game/4845_5_30</t>
  </si>
  <si>
    <t>u8</t>
    <phoneticPr fontId="1" type="noConversion"/>
  </si>
  <si>
    <t>kind</t>
    <phoneticPr fontId="1" type="noConversion"/>
  </si>
  <si>
    <t>种类</t>
    <phoneticPr fontId="1" type="noConversion"/>
  </si>
  <si>
    <t>goldGain</t>
  </si>
  <si>
    <t>foodGain</t>
    <phoneticPr fontId="1" type="noConversion"/>
  </si>
  <si>
    <t>radius</t>
    <phoneticPr fontId="1" type="noConversion"/>
  </si>
  <si>
    <t>durabilityLimit</t>
    <phoneticPr fontId="1" type="noConversion"/>
  </si>
  <si>
    <t>村庄</t>
    <phoneticPr fontId="1" type="noConversion"/>
  </si>
  <si>
    <t>30</t>
  </si>
  <si>
    <t>人口增长率</t>
    <phoneticPr fontId="1" type="noConversion"/>
  </si>
  <si>
    <t>f</t>
    <phoneticPr fontId="1" type="noConversion"/>
  </si>
  <si>
    <t>农田</t>
    <phoneticPr fontId="1" type="noConversion"/>
  </si>
  <si>
    <t>市场</t>
    <phoneticPr fontId="1" type="noConversion"/>
  </si>
  <si>
    <t>码头</t>
    <phoneticPr fontId="1" type="noConversion"/>
  </si>
  <si>
    <t>populationGain</t>
    <phoneticPr fontId="1" type="noConversion"/>
  </si>
  <si>
    <t>箭塔</t>
    <phoneticPr fontId="1" type="noConversion"/>
  </si>
  <si>
    <t>isIntrior</t>
    <phoneticPr fontId="1" type="noConversion"/>
  </si>
  <si>
    <t>b</t>
    <phoneticPr fontId="1" type="noConversion"/>
  </si>
  <si>
    <t>false</t>
    <phoneticPr fontId="1" type="noConversion"/>
  </si>
  <si>
    <t>true</t>
    <phoneticPr fontId="1" type="noConversion"/>
  </si>
  <si>
    <t>500</t>
    <phoneticPr fontId="1" type="noConversion"/>
  </si>
  <si>
    <t>insideOnly</t>
    <phoneticPr fontId="1" type="noConversion"/>
  </si>
  <si>
    <t>只能建在城内</t>
    <phoneticPr fontId="1" type="noConversion"/>
  </si>
  <si>
    <t>是否内政建筑</t>
    <phoneticPr fontId="1" type="noConversion"/>
  </si>
  <si>
    <t>damageBounds</t>
  </si>
  <si>
    <t>耐久被伤害系数</t>
    <phoneticPr fontId="1" type="noConversion"/>
  </si>
  <si>
    <t>1</t>
    <phoneticPr fontId="1" type="noConversion"/>
  </si>
  <si>
    <t>0.7</t>
    <phoneticPr fontId="1" type="noConversion"/>
  </si>
  <si>
    <t>0.8</t>
    <phoneticPr fontId="1" type="noConversion"/>
  </si>
  <si>
    <t>0.6</t>
    <phoneticPr fontId="1" type="noConversion"/>
  </si>
  <si>
    <t>50</t>
    <phoneticPr fontId="1" type="noConversion"/>
  </si>
  <si>
    <t>40</t>
    <phoneticPr fontId="1" type="noConversion"/>
  </si>
  <si>
    <t>反击攻击力</t>
    <phoneticPr fontId="1" type="noConversion"/>
  </si>
  <si>
    <t>atk</t>
    <phoneticPr fontId="1" type="noConversion"/>
  </si>
  <si>
    <t>兵营</t>
    <phoneticPr fontId="1" type="noConversion"/>
  </si>
  <si>
    <t>巡查局</t>
    <phoneticPr fontId="1" type="noConversion"/>
  </si>
  <si>
    <t>马厩</t>
    <phoneticPr fontId="1" type="noConversion"/>
  </si>
  <si>
    <t>铁匠铺</t>
  </si>
  <si>
    <t>工坊</t>
    <phoneticPr fontId="1" type="noConversion"/>
  </si>
  <si>
    <t>造船厂</t>
    <phoneticPr fontId="1" type="noConversion"/>
  </si>
  <si>
    <t>1000</t>
    <phoneticPr fontId="1" type="noConversion"/>
  </si>
  <si>
    <t>800</t>
    <phoneticPr fontId="1" type="noConversion"/>
  </si>
  <si>
    <t>1500</t>
    <phoneticPr fontId="1" type="noConversion"/>
  </si>
  <si>
    <t>modelBroken</t>
    <phoneticPr fontId="1" type="noConversion"/>
  </si>
  <si>
    <t>Assets/Model/Prefab/4447.prefab</t>
  </si>
  <si>
    <t>Assets/Model/Prefab/4487.prefab</t>
  </si>
  <si>
    <t>连弩塔</t>
    <phoneticPr fontId="1" type="noConversion"/>
  </si>
  <si>
    <t>Assets/Model/Prefab/4298.prefab</t>
    <phoneticPr fontId="1" type="noConversion"/>
  </si>
  <si>
    <t>Assets/Model/Prefab/4308.prefab</t>
    <phoneticPr fontId="1" type="noConversion"/>
  </si>
  <si>
    <t>堡垒</t>
    <phoneticPr fontId="1" type="noConversion"/>
  </si>
  <si>
    <t>atkBack</t>
    <phoneticPr fontId="1" type="noConversion"/>
  </si>
  <si>
    <t>攻击力</t>
    <phoneticPr fontId="1" type="noConversion"/>
  </si>
  <si>
    <t>20</t>
    <phoneticPr fontId="1" type="noConversion"/>
  </si>
  <si>
    <t>30</t>
    <phoneticPr fontId="1" type="noConversion"/>
  </si>
  <si>
    <t>1.2</t>
    <phoneticPr fontId="1" type="noConversion"/>
  </si>
  <si>
    <t>1.1</t>
    <phoneticPr fontId="1" type="noConversion"/>
  </si>
  <si>
    <t>攻击范围</t>
    <phoneticPr fontId="1" type="noConversion"/>
  </si>
  <si>
    <t>atkRange</t>
    <phoneticPr fontId="1" type="noConversion"/>
  </si>
  <si>
    <t>2</t>
    <phoneticPr fontId="1" type="noConversion"/>
  </si>
  <si>
    <t>3</t>
    <phoneticPr fontId="1" type="noConversion"/>
  </si>
  <si>
    <t>农田Lv.2</t>
    <phoneticPr fontId="1" type="noConversion"/>
  </si>
  <si>
    <t>市场Lv.2</t>
    <phoneticPr fontId="1" type="noConversion"/>
  </si>
  <si>
    <t>村庄Lv.2</t>
    <phoneticPr fontId="1" type="noConversion"/>
  </si>
  <si>
    <t>兵营Lv.2</t>
    <phoneticPr fontId="1" type="noConversion"/>
  </si>
  <si>
    <t>铁匠铺Lv.2</t>
    <phoneticPr fontId="1" type="noConversion"/>
  </si>
  <si>
    <t>工坊Lv.2</t>
    <phoneticPr fontId="1" type="noConversion"/>
  </si>
  <si>
    <t>造船厂Lv.2</t>
    <phoneticPr fontId="1" type="noConversion"/>
  </si>
  <si>
    <t>马厩Lv.2</t>
    <phoneticPr fontId="1" type="noConversion"/>
  </si>
  <si>
    <t>巡查局Lv.2</t>
    <phoneticPr fontId="1" type="noConversion"/>
  </si>
  <si>
    <t>农田Lv.3</t>
    <phoneticPr fontId="1" type="noConversion"/>
  </si>
  <si>
    <t>市场Lv.3</t>
    <phoneticPr fontId="1" type="noConversion"/>
  </si>
  <si>
    <t>村庄Lv.3</t>
    <phoneticPr fontId="1" type="noConversion"/>
  </si>
  <si>
    <t>兵营Lv.3</t>
    <phoneticPr fontId="1" type="noConversion"/>
  </si>
  <si>
    <t>铁匠铺Lv.3</t>
    <phoneticPr fontId="1" type="noConversion"/>
  </si>
  <si>
    <t>工坊Lv.3</t>
    <phoneticPr fontId="1" type="noConversion"/>
  </si>
  <si>
    <t>造船厂Lv.3</t>
    <phoneticPr fontId="1" type="noConversion"/>
  </si>
  <si>
    <t>马厩Lv.3</t>
    <phoneticPr fontId="1" type="noConversion"/>
  </si>
  <si>
    <t>巡查局Lv.3</t>
    <phoneticPr fontId="1" type="noConversion"/>
  </si>
  <si>
    <t>下一级</t>
    <phoneticPr fontId="1" type="noConversion"/>
  </si>
  <si>
    <t>nextId</t>
    <phoneticPr fontId="1" type="noConversion"/>
  </si>
  <si>
    <t>level</t>
    <phoneticPr fontId="1" type="noConversion"/>
  </si>
  <si>
    <t>等级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</si>
</sst>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8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B118"/>
  <sheetViews>
    <sheetView tabSelected="1" zoomScale="82" zoomScaleNormal="82" workbookViewId="0">
      <selection activeCell="D11" sqref="D11"/>
    </sheetView>
  </sheetViews>
  <sheetFormatPr defaultColWidth="9" defaultRowHeight="14.4" x14ac:dyDescent="0.25"/>
  <cols>
    <col min="1" max="1" width="15" style="2" customWidth="1"/>
    <col min="2" max="3" width="9" style="2"/>
    <col min="4" max="4" width="9.6640625" style="2" bestFit="1" customWidth="1"/>
    <col min="5" max="5" width="9.6640625" style="2" customWidth="1"/>
    <col min="6" max="6" width="11.21875" style="4" bestFit="1" customWidth="1"/>
    <col min="7" max="7" width="11.21875" style="4" customWidth="1"/>
    <col min="8" max="8" width="19.44140625" style="2" bestFit="1" customWidth="1"/>
    <col min="9" max="14" width="19.44140625" style="2" customWidth="1"/>
    <col min="15" max="15" width="17" style="2" customWidth="1"/>
    <col min="16" max="17" width="10.77734375" style="2" bestFit="1" customWidth="1"/>
    <col min="18" max="18" width="18.21875" style="2" bestFit="1" customWidth="1"/>
    <col min="19" max="19" width="6.21875" style="2" bestFit="1" customWidth="1"/>
    <col min="20" max="20" width="8.44140625" style="2" bestFit="1" customWidth="1"/>
    <col min="21" max="21" width="71.88671875" style="2" customWidth="1"/>
    <col min="22" max="22" width="21.6640625" style="2" bestFit="1" customWidth="1"/>
    <col min="23" max="24" width="37.88671875" style="2" bestFit="1" customWidth="1"/>
    <col min="25" max="16384" width="9" style="2"/>
  </cols>
  <sheetData>
    <row r="1" spans="1:28" s="10" customFormat="1" ht="59.25" customHeight="1" x14ac:dyDescent="0.25">
      <c r="A1" s="12"/>
      <c r="B1" s="9" t="s">
        <v>2</v>
      </c>
      <c r="C1" s="9" t="s">
        <v>3</v>
      </c>
      <c r="D1" s="14" t="s">
        <v>165</v>
      </c>
      <c r="E1" s="14" t="s">
        <v>241</v>
      </c>
      <c r="F1" s="14"/>
      <c r="G1" s="14" t="s">
        <v>244</v>
      </c>
      <c r="H1" s="8" t="s">
        <v>65</v>
      </c>
      <c r="I1" s="8" t="s">
        <v>195</v>
      </c>
      <c r="J1" s="8" t="s">
        <v>214</v>
      </c>
      <c r="K1" s="8" t="s">
        <v>219</v>
      </c>
      <c r="L1" s="8" t="s">
        <v>188</v>
      </c>
      <c r="M1" s="8" t="s">
        <v>186</v>
      </c>
      <c r="N1" s="8" t="s">
        <v>185</v>
      </c>
      <c r="O1" s="9" t="s">
        <v>68</v>
      </c>
      <c r="P1" s="14" t="s">
        <v>123</v>
      </c>
      <c r="Q1" s="14" t="s">
        <v>124</v>
      </c>
      <c r="R1" s="14" t="s">
        <v>172</v>
      </c>
      <c r="S1" s="14" t="s">
        <v>120</v>
      </c>
      <c r="T1" s="14" t="s">
        <v>122</v>
      </c>
      <c r="U1" s="14" t="s">
        <v>70</v>
      </c>
      <c r="V1" s="9" t="s">
        <v>67</v>
      </c>
      <c r="W1" s="9" t="s">
        <v>66</v>
      </c>
      <c r="X1" s="9" t="s">
        <v>66</v>
      </c>
      <c r="Y1" s="9"/>
      <c r="Z1" s="7"/>
      <c r="AA1" s="9"/>
      <c r="AB1" s="7"/>
    </row>
    <row r="2" spans="1:28" s="1" customFormat="1" ht="25.5" customHeight="1" x14ac:dyDescent="0.25">
      <c r="A2" s="1" t="s">
        <v>4</v>
      </c>
      <c r="B2" s="2"/>
      <c r="C2" s="2"/>
      <c r="D2"/>
      <c r="E2"/>
      <c r="F2"/>
      <c r="G2"/>
      <c r="H2" s="2"/>
      <c r="I2" s="2"/>
      <c r="J2" s="2"/>
      <c r="K2" s="2"/>
      <c r="L2" s="2"/>
      <c r="M2" s="2"/>
      <c r="N2" s="2"/>
      <c r="O2" s="2"/>
      <c r="P2"/>
      <c r="Q2"/>
      <c r="R2"/>
      <c r="S2"/>
      <c r="T2"/>
      <c r="U2"/>
      <c r="V2" s="2"/>
      <c r="W2" s="2"/>
      <c r="X2" s="2"/>
      <c r="Y2" s="2"/>
      <c r="Z2" s="2"/>
      <c r="AA2" s="2"/>
      <c r="AB2" s="2"/>
    </row>
    <row r="3" spans="1:28" s="5" customFormat="1" ht="33" customHeight="1" x14ac:dyDescent="0.25">
      <c r="A3" s="5" t="s">
        <v>7</v>
      </c>
      <c r="B3" s="8" t="s">
        <v>12</v>
      </c>
      <c r="C3" s="8" t="s">
        <v>13</v>
      </c>
      <c r="D3" s="8" t="s">
        <v>164</v>
      </c>
      <c r="E3" s="8" t="s">
        <v>242</v>
      </c>
      <c r="F3" s="13"/>
      <c r="G3" s="13" t="s">
        <v>243</v>
      </c>
      <c r="H3" s="8" t="s">
        <v>169</v>
      </c>
      <c r="I3" s="8" t="s">
        <v>213</v>
      </c>
      <c r="J3" s="16" t="s">
        <v>196</v>
      </c>
      <c r="K3" s="16" t="s">
        <v>220</v>
      </c>
      <c r="L3" s="8" t="s">
        <v>187</v>
      </c>
      <c r="M3" s="8" t="s">
        <v>179</v>
      </c>
      <c r="N3" s="8" t="s">
        <v>184</v>
      </c>
      <c r="O3" s="8" t="s">
        <v>69</v>
      </c>
      <c r="P3" s="8" t="s">
        <v>166</v>
      </c>
      <c r="Q3" s="8" t="s">
        <v>167</v>
      </c>
      <c r="R3" s="8" t="s">
        <v>177</v>
      </c>
      <c r="S3" s="8" t="s">
        <v>121</v>
      </c>
      <c r="T3" s="8" t="s">
        <v>168</v>
      </c>
      <c r="U3" s="8" t="s">
        <v>71</v>
      </c>
      <c r="V3" s="13" t="s">
        <v>126</v>
      </c>
      <c r="W3" s="13" t="s">
        <v>125</v>
      </c>
      <c r="X3" s="13" t="s">
        <v>206</v>
      </c>
      <c r="Y3" s="8"/>
      <c r="Z3" s="8"/>
      <c r="AA3" s="8"/>
      <c r="AB3" s="8"/>
    </row>
    <row r="4" spans="1:28" s="11" customFormat="1" ht="15.75" customHeight="1" x14ac:dyDescent="0.25">
      <c r="A4" s="5" t="s">
        <v>7</v>
      </c>
      <c r="B4" s="11" t="s">
        <v>8</v>
      </c>
      <c r="C4" s="11" t="s">
        <v>5</v>
      </c>
      <c r="D4" s="15" t="s">
        <v>163</v>
      </c>
      <c r="E4" s="15" t="s">
        <v>8</v>
      </c>
      <c r="F4" s="17" t="s">
        <v>7</v>
      </c>
      <c r="G4" s="17" t="s">
        <v>8</v>
      </c>
      <c r="H4" s="11" t="s">
        <v>6</v>
      </c>
      <c r="I4" s="11" t="s">
        <v>8</v>
      </c>
      <c r="J4" s="11" t="s">
        <v>8</v>
      </c>
      <c r="K4" s="11" t="s">
        <v>8</v>
      </c>
      <c r="L4" s="11" t="s">
        <v>173</v>
      </c>
      <c r="M4" s="11" t="s">
        <v>180</v>
      </c>
      <c r="N4" s="11" t="s">
        <v>180</v>
      </c>
      <c r="O4" s="11" t="s">
        <v>6</v>
      </c>
      <c r="P4" s="15" t="s">
        <v>6</v>
      </c>
      <c r="Q4" s="15" t="s">
        <v>6</v>
      </c>
      <c r="R4" s="15" t="s">
        <v>173</v>
      </c>
      <c r="S4" s="15" t="s">
        <v>6</v>
      </c>
      <c r="T4" s="15" t="s">
        <v>163</v>
      </c>
      <c r="U4" s="15" t="s">
        <v>5</v>
      </c>
      <c r="V4" s="11" t="s">
        <v>5</v>
      </c>
      <c r="W4" s="11" t="s">
        <v>5</v>
      </c>
      <c r="X4" s="11" t="s">
        <v>5</v>
      </c>
    </row>
    <row r="5" spans="1:28" x14ac:dyDescent="0.25">
      <c r="B5" s="2">
        <v>1</v>
      </c>
      <c r="C5" s="4" t="s">
        <v>10</v>
      </c>
      <c r="D5" s="4">
        <v>1</v>
      </c>
      <c r="E5" s="4"/>
      <c r="G5" s="4">
        <v>1</v>
      </c>
      <c r="H5" s="2" t="s">
        <v>0</v>
      </c>
      <c r="I5" s="2" t="s">
        <v>193</v>
      </c>
      <c r="J5" s="2" t="s">
        <v>1</v>
      </c>
      <c r="K5" s="2" t="s">
        <v>222</v>
      </c>
      <c r="L5" s="2" t="s">
        <v>190</v>
      </c>
      <c r="M5" s="2" t="s">
        <v>181</v>
      </c>
      <c r="N5" s="2" t="s">
        <v>181</v>
      </c>
      <c r="O5" s="6">
        <v>1</v>
      </c>
      <c r="P5" s="4">
        <v>600</v>
      </c>
      <c r="Q5" s="4">
        <v>5600</v>
      </c>
      <c r="R5" s="4">
        <v>0</v>
      </c>
      <c r="S5" s="4">
        <v>0</v>
      </c>
      <c r="T5" s="4">
        <v>1</v>
      </c>
      <c r="U5" s="4" t="s">
        <v>72</v>
      </c>
      <c r="Y5" s="4"/>
      <c r="AA5" s="4"/>
    </row>
    <row r="6" spans="1:28" x14ac:dyDescent="0.25">
      <c r="A6" s="3"/>
      <c r="B6" s="4">
        <v>2</v>
      </c>
      <c r="C6" s="4" t="s">
        <v>11</v>
      </c>
      <c r="D6" s="4">
        <v>2</v>
      </c>
      <c r="E6" s="4"/>
      <c r="G6" s="4">
        <v>1</v>
      </c>
      <c r="H6" s="2" t="s">
        <v>0</v>
      </c>
      <c r="I6" s="2" t="s">
        <v>194</v>
      </c>
      <c r="J6" s="2" t="s">
        <v>1</v>
      </c>
      <c r="K6" s="2" t="s">
        <v>222</v>
      </c>
      <c r="L6" s="2" t="s">
        <v>192</v>
      </c>
      <c r="M6" s="2" t="s">
        <v>181</v>
      </c>
      <c r="N6" s="2" t="s">
        <v>181</v>
      </c>
      <c r="O6" s="6">
        <v>1</v>
      </c>
      <c r="P6" s="4">
        <v>300</v>
      </c>
      <c r="Q6" s="4">
        <v>2800</v>
      </c>
      <c r="R6" s="4">
        <v>0</v>
      </c>
      <c r="S6" s="4">
        <v>0</v>
      </c>
      <c r="T6" s="4">
        <v>0</v>
      </c>
      <c r="U6" s="4" t="s">
        <v>73</v>
      </c>
      <c r="Y6" s="4"/>
      <c r="AA6" s="4"/>
    </row>
    <row r="7" spans="1:28" x14ac:dyDescent="0.25">
      <c r="B7" s="2">
        <v>3</v>
      </c>
      <c r="C7" s="4" t="s">
        <v>176</v>
      </c>
      <c r="D7" s="4">
        <v>3</v>
      </c>
      <c r="E7" s="4"/>
      <c r="G7" s="4">
        <v>1</v>
      </c>
      <c r="H7" s="2" t="s">
        <v>1</v>
      </c>
      <c r="I7" s="2" t="s">
        <v>194</v>
      </c>
      <c r="J7" s="2" t="s">
        <v>1</v>
      </c>
      <c r="K7" s="2" t="s">
        <v>222</v>
      </c>
      <c r="L7" s="2" t="s">
        <v>191</v>
      </c>
      <c r="M7" s="2" t="s">
        <v>181</v>
      </c>
      <c r="N7" s="2" t="s">
        <v>181</v>
      </c>
      <c r="O7" s="6">
        <v>1</v>
      </c>
      <c r="P7" s="4">
        <v>300</v>
      </c>
      <c r="Q7" s="4">
        <v>2800</v>
      </c>
      <c r="R7" s="4">
        <v>0.03</v>
      </c>
      <c r="S7" s="4">
        <v>0</v>
      </c>
      <c r="T7" s="4">
        <v>0</v>
      </c>
      <c r="U7" s="4" t="s">
        <v>76</v>
      </c>
      <c r="V7" s="2" t="s">
        <v>129</v>
      </c>
      <c r="Y7" s="4"/>
      <c r="AA7" s="4"/>
    </row>
    <row r="8" spans="1:28" x14ac:dyDescent="0.25">
      <c r="B8" s="4">
        <v>4</v>
      </c>
      <c r="C8" s="4" t="s">
        <v>174</v>
      </c>
      <c r="D8" s="4">
        <v>4</v>
      </c>
      <c r="E8" s="4">
        <v>13</v>
      </c>
      <c r="F8" s="4" t="str">
        <f>VLOOKUP(E8,B8:C34,2,1)</f>
        <v>农田Lv.2</v>
      </c>
      <c r="G8" s="4">
        <v>1</v>
      </c>
      <c r="H8" s="2" t="s">
        <v>183</v>
      </c>
      <c r="I8" s="2" t="s">
        <v>1</v>
      </c>
      <c r="J8" s="2" t="s">
        <v>1</v>
      </c>
      <c r="K8" s="2" t="s">
        <v>1</v>
      </c>
      <c r="L8" s="2" t="s">
        <v>189</v>
      </c>
      <c r="M8" s="2" t="s">
        <v>182</v>
      </c>
      <c r="N8" s="2" t="s">
        <v>181</v>
      </c>
      <c r="O8" s="6">
        <v>1</v>
      </c>
      <c r="P8" s="4">
        <v>0</v>
      </c>
      <c r="Q8" s="4">
        <v>1500</v>
      </c>
      <c r="R8" s="4">
        <v>0.01</v>
      </c>
      <c r="S8" s="4">
        <v>300</v>
      </c>
      <c r="T8" s="4">
        <v>0</v>
      </c>
      <c r="U8" s="4" t="s">
        <v>74</v>
      </c>
      <c r="V8" s="2" t="s">
        <v>127</v>
      </c>
      <c r="Y8" s="4"/>
      <c r="AA8" s="4"/>
    </row>
    <row r="9" spans="1:28" ht="14.25" customHeight="1" x14ac:dyDescent="0.25">
      <c r="B9" s="2">
        <v>5</v>
      </c>
      <c r="C9" s="4" t="s">
        <v>175</v>
      </c>
      <c r="D9" s="4">
        <v>5</v>
      </c>
      <c r="E9" s="4">
        <v>14</v>
      </c>
      <c r="F9" s="4" t="str">
        <f t="shared" ref="F9:F25" si="0">VLOOKUP(E9,B9:C35,2,1)</f>
        <v>市场Lv.2</v>
      </c>
      <c r="G9" s="4">
        <v>1</v>
      </c>
      <c r="H9" s="2" t="s">
        <v>183</v>
      </c>
      <c r="I9" s="2" t="s">
        <v>1</v>
      </c>
      <c r="J9" s="2" t="s">
        <v>1</v>
      </c>
      <c r="K9" s="2" t="s">
        <v>1</v>
      </c>
      <c r="L9" s="2" t="s">
        <v>189</v>
      </c>
      <c r="M9" s="2" t="s">
        <v>182</v>
      </c>
      <c r="N9" s="2" t="s">
        <v>181</v>
      </c>
      <c r="O9" s="6">
        <v>1</v>
      </c>
      <c r="P9" s="4">
        <v>100</v>
      </c>
      <c r="Q9" s="4">
        <v>0</v>
      </c>
      <c r="R9" s="4">
        <v>0.01</v>
      </c>
      <c r="S9" s="4">
        <v>300</v>
      </c>
      <c r="T9" s="4">
        <v>0</v>
      </c>
      <c r="U9" s="4" t="s">
        <v>76</v>
      </c>
      <c r="V9" s="2" t="s">
        <v>129</v>
      </c>
      <c r="Y9" s="4"/>
      <c r="AA9" s="4"/>
    </row>
    <row r="10" spans="1:28" x14ac:dyDescent="0.25">
      <c r="B10" s="4">
        <v>6</v>
      </c>
      <c r="C10" s="4" t="s">
        <v>170</v>
      </c>
      <c r="D10" s="4">
        <v>6</v>
      </c>
      <c r="E10" s="4">
        <v>15</v>
      </c>
      <c r="F10" s="4" t="str">
        <f t="shared" si="0"/>
        <v>村庄Lv.2</v>
      </c>
      <c r="G10" s="4">
        <v>1</v>
      </c>
      <c r="H10" s="2" t="s">
        <v>183</v>
      </c>
      <c r="I10" s="2" t="s">
        <v>1</v>
      </c>
      <c r="J10" s="2" t="s">
        <v>1</v>
      </c>
      <c r="K10" s="2" t="s">
        <v>1</v>
      </c>
      <c r="L10" s="2" t="s">
        <v>189</v>
      </c>
      <c r="M10" s="2" t="s">
        <v>182</v>
      </c>
      <c r="N10" s="2" t="s">
        <v>181</v>
      </c>
      <c r="O10" s="6">
        <v>1</v>
      </c>
      <c r="P10" s="4">
        <v>60</v>
      </c>
      <c r="Q10" s="4">
        <v>900</v>
      </c>
      <c r="R10" s="4">
        <v>0.2</v>
      </c>
      <c r="S10" s="4">
        <v>300</v>
      </c>
      <c r="T10" s="4">
        <v>0</v>
      </c>
      <c r="U10" s="4" t="s">
        <v>75</v>
      </c>
      <c r="V10" s="2" t="s">
        <v>128</v>
      </c>
      <c r="Y10" s="4"/>
      <c r="AA10" s="4"/>
    </row>
    <row r="11" spans="1:28" x14ac:dyDescent="0.25">
      <c r="B11" s="2">
        <v>7</v>
      </c>
      <c r="C11" s="4" t="s">
        <v>197</v>
      </c>
      <c r="D11" s="4">
        <v>7</v>
      </c>
      <c r="E11" s="4">
        <v>16</v>
      </c>
      <c r="F11" s="4" t="str">
        <f t="shared" si="0"/>
        <v>兵营Lv.2</v>
      </c>
      <c r="G11" s="4">
        <v>1</v>
      </c>
      <c r="H11" s="2" t="s">
        <v>203</v>
      </c>
      <c r="I11" s="2" t="s">
        <v>1</v>
      </c>
      <c r="J11" s="2" t="s">
        <v>1</v>
      </c>
      <c r="K11" s="2" t="s">
        <v>1</v>
      </c>
      <c r="L11" s="2" t="s">
        <v>189</v>
      </c>
      <c r="M11" s="2" t="s">
        <v>182</v>
      </c>
      <c r="N11" s="2" t="s">
        <v>181</v>
      </c>
      <c r="O11" s="6">
        <v>1</v>
      </c>
      <c r="P11" s="4">
        <v>0</v>
      </c>
      <c r="Q11" s="4">
        <v>0</v>
      </c>
      <c r="R11" s="4">
        <v>0</v>
      </c>
      <c r="S11" s="4">
        <v>300</v>
      </c>
      <c r="T11" s="4">
        <v>0</v>
      </c>
      <c r="U11" s="4" t="s">
        <v>76</v>
      </c>
      <c r="V11" s="2" t="s">
        <v>129</v>
      </c>
      <c r="Y11" s="4"/>
      <c r="AA11" s="4"/>
    </row>
    <row r="12" spans="1:28" x14ac:dyDescent="0.25">
      <c r="B12" s="4">
        <v>8</v>
      </c>
      <c r="C12" s="4" t="s">
        <v>200</v>
      </c>
      <c r="D12" s="4">
        <v>8</v>
      </c>
      <c r="E12" s="4">
        <v>17</v>
      </c>
      <c r="F12" s="4" t="str">
        <f t="shared" si="0"/>
        <v>铁匠铺Lv.2</v>
      </c>
      <c r="G12" s="4">
        <v>1</v>
      </c>
      <c r="H12" s="2" t="s">
        <v>203</v>
      </c>
      <c r="I12" s="2" t="s">
        <v>1</v>
      </c>
      <c r="J12" s="2" t="s">
        <v>1</v>
      </c>
      <c r="K12" s="2" t="s">
        <v>1</v>
      </c>
      <c r="L12" s="2" t="s">
        <v>189</v>
      </c>
      <c r="M12" s="2" t="s">
        <v>182</v>
      </c>
      <c r="N12" s="2" t="s">
        <v>181</v>
      </c>
      <c r="O12" s="6">
        <v>1</v>
      </c>
      <c r="P12" s="4">
        <v>0</v>
      </c>
      <c r="Q12" s="4">
        <v>0</v>
      </c>
      <c r="R12" s="4">
        <v>0</v>
      </c>
      <c r="S12" s="4">
        <v>300</v>
      </c>
      <c r="T12" s="4">
        <v>0</v>
      </c>
      <c r="U12" s="4" t="s">
        <v>76</v>
      </c>
      <c r="V12" s="2" t="s">
        <v>129</v>
      </c>
      <c r="Y12" s="4"/>
      <c r="AA12" s="4"/>
    </row>
    <row r="13" spans="1:28" x14ac:dyDescent="0.25">
      <c r="B13" s="2">
        <v>9</v>
      </c>
      <c r="C13" s="4" t="s">
        <v>201</v>
      </c>
      <c r="D13" s="4">
        <v>9</v>
      </c>
      <c r="E13" s="4">
        <v>18</v>
      </c>
      <c r="F13" s="4" t="str">
        <f t="shared" si="0"/>
        <v>工坊Lv.2</v>
      </c>
      <c r="G13" s="4">
        <v>1</v>
      </c>
      <c r="H13" s="2" t="s">
        <v>203</v>
      </c>
      <c r="I13" s="2" t="s">
        <v>1</v>
      </c>
      <c r="J13" s="2" t="s">
        <v>1</v>
      </c>
      <c r="K13" s="2" t="s">
        <v>1</v>
      </c>
      <c r="L13" s="2" t="s">
        <v>189</v>
      </c>
      <c r="M13" s="2" t="s">
        <v>182</v>
      </c>
      <c r="N13" s="2" t="s">
        <v>181</v>
      </c>
      <c r="O13" s="6">
        <v>1</v>
      </c>
      <c r="P13" s="4">
        <v>0</v>
      </c>
      <c r="Q13" s="4">
        <v>0</v>
      </c>
      <c r="R13" s="4">
        <v>0</v>
      </c>
      <c r="S13" s="4">
        <v>300</v>
      </c>
      <c r="T13" s="4">
        <v>0</v>
      </c>
      <c r="U13" s="4" t="s">
        <v>76</v>
      </c>
      <c r="V13" s="2" t="s">
        <v>129</v>
      </c>
      <c r="Y13" s="4"/>
      <c r="AA13" s="4"/>
    </row>
    <row r="14" spans="1:28" x14ac:dyDescent="0.25">
      <c r="B14" s="4">
        <v>10</v>
      </c>
      <c r="C14" s="4" t="s">
        <v>202</v>
      </c>
      <c r="D14" s="4">
        <v>10</v>
      </c>
      <c r="E14" s="4">
        <v>19</v>
      </c>
      <c r="F14" s="4" t="str">
        <f t="shared" si="0"/>
        <v>造船厂Lv.2</v>
      </c>
      <c r="G14" s="4">
        <v>1</v>
      </c>
      <c r="H14" s="2" t="s">
        <v>203</v>
      </c>
      <c r="I14" s="2" t="s">
        <v>1</v>
      </c>
      <c r="J14" s="2" t="s">
        <v>1</v>
      </c>
      <c r="K14" s="2" t="s">
        <v>1</v>
      </c>
      <c r="L14" s="2" t="s">
        <v>189</v>
      </c>
      <c r="M14" s="2" t="s">
        <v>182</v>
      </c>
      <c r="N14" s="2" t="s">
        <v>181</v>
      </c>
      <c r="O14" s="6">
        <v>1</v>
      </c>
      <c r="P14" s="4">
        <v>0</v>
      </c>
      <c r="Q14" s="4">
        <v>0</v>
      </c>
      <c r="R14" s="4">
        <v>0</v>
      </c>
      <c r="S14" s="4">
        <v>300</v>
      </c>
      <c r="T14" s="4">
        <v>0</v>
      </c>
      <c r="U14" s="4" t="s">
        <v>76</v>
      </c>
      <c r="V14" s="2" t="s">
        <v>129</v>
      </c>
      <c r="Y14" s="4"/>
      <c r="AA14" s="4"/>
    </row>
    <row r="15" spans="1:28" x14ac:dyDescent="0.25">
      <c r="B15" s="2">
        <v>11</v>
      </c>
      <c r="C15" s="4" t="s">
        <v>199</v>
      </c>
      <c r="D15" s="4">
        <v>11</v>
      </c>
      <c r="E15" s="4">
        <v>20</v>
      </c>
      <c r="F15" s="4" t="str">
        <f t="shared" si="0"/>
        <v>马厩Lv.2</v>
      </c>
      <c r="G15" s="4">
        <v>1</v>
      </c>
      <c r="H15" s="2" t="s">
        <v>204</v>
      </c>
      <c r="I15" s="2" t="s">
        <v>1</v>
      </c>
      <c r="J15" s="2" t="s">
        <v>1</v>
      </c>
      <c r="K15" s="2" t="s">
        <v>1</v>
      </c>
      <c r="L15" s="2" t="s">
        <v>189</v>
      </c>
      <c r="M15" s="2" t="s">
        <v>182</v>
      </c>
      <c r="N15" s="2" t="s">
        <v>181</v>
      </c>
      <c r="O15" s="6">
        <v>1</v>
      </c>
      <c r="P15" s="4">
        <v>0</v>
      </c>
      <c r="Q15" s="4">
        <v>0</v>
      </c>
      <c r="R15" s="4">
        <v>0</v>
      </c>
      <c r="S15" s="4">
        <v>300</v>
      </c>
      <c r="T15" s="4">
        <v>0</v>
      </c>
      <c r="U15" s="4" t="s">
        <v>76</v>
      </c>
      <c r="V15" s="2" t="s">
        <v>129</v>
      </c>
      <c r="Y15" s="4"/>
      <c r="AA15" s="4"/>
    </row>
    <row r="16" spans="1:28" x14ac:dyDescent="0.25">
      <c r="B16" s="4">
        <v>12</v>
      </c>
      <c r="C16" s="4" t="s">
        <v>198</v>
      </c>
      <c r="D16" s="4">
        <v>12</v>
      </c>
      <c r="E16" s="4">
        <v>21</v>
      </c>
      <c r="F16" s="4" t="str">
        <f t="shared" si="0"/>
        <v>巡查局Lv.2</v>
      </c>
      <c r="G16" s="4">
        <v>1</v>
      </c>
      <c r="H16" s="2" t="s">
        <v>204</v>
      </c>
      <c r="I16" s="2" t="s">
        <v>1</v>
      </c>
      <c r="J16" s="2" t="s">
        <v>1</v>
      </c>
      <c r="K16" s="2" t="s">
        <v>1</v>
      </c>
      <c r="L16" s="2" t="s">
        <v>189</v>
      </c>
      <c r="M16" s="2" t="s">
        <v>182</v>
      </c>
      <c r="N16" s="2" t="s">
        <v>181</v>
      </c>
      <c r="O16" s="6">
        <v>1</v>
      </c>
      <c r="P16" s="4">
        <v>0</v>
      </c>
      <c r="Q16" s="4">
        <v>0</v>
      </c>
      <c r="R16" s="4">
        <v>0</v>
      </c>
      <c r="S16" s="4">
        <v>300</v>
      </c>
      <c r="T16" s="4">
        <v>0</v>
      </c>
      <c r="U16" s="4" t="s">
        <v>76</v>
      </c>
      <c r="V16" s="2" t="s">
        <v>129</v>
      </c>
      <c r="Y16" s="4"/>
      <c r="AA16" s="4"/>
    </row>
    <row r="17" spans="2:27" x14ac:dyDescent="0.25">
      <c r="B17" s="2">
        <v>13</v>
      </c>
      <c r="C17" s="4" t="s">
        <v>223</v>
      </c>
      <c r="D17" s="4">
        <v>4</v>
      </c>
      <c r="E17" s="4">
        <v>22</v>
      </c>
      <c r="F17" s="4" t="str">
        <f t="shared" si="0"/>
        <v>农田Lv.3</v>
      </c>
      <c r="G17" s="4">
        <v>2</v>
      </c>
      <c r="H17" s="2" t="s">
        <v>183</v>
      </c>
      <c r="I17" s="2" t="s">
        <v>1</v>
      </c>
      <c r="J17" s="2" t="s">
        <v>1</v>
      </c>
      <c r="K17" s="2" t="s">
        <v>1</v>
      </c>
      <c r="L17" s="2" t="s">
        <v>189</v>
      </c>
      <c r="M17" s="2" t="s">
        <v>182</v>
      </c>
      <c r="N17" s="2" t="s">
        <v>181</v>
      </c>
      <c r="O17" s="6">
        <v>1</v>
      </c>
      <c r="P17" s="4">
        <v>0</v>
      </c>
      <c r="Q17" s="4">
        <v>1800</v>
      </c>
      <c r="R17" s="4">
        <v>0.01</v>
      </c>
      <c r="S17" s="4">
        <v>200</v>
      </c>
      <c r="T17" s="4">
        <v>0</v>
      </c>
      <c r="U17" s="4" t="s">
        <v>74</v>
      </c>
      <c r="V17" s="2" t="s">
        <v>127</v>
      </c>
      <c r="Y17" s="4"/>
      <c r="AA17" s="4"/>
    </row>
    <row r="18" spans="2:27" ht="14.25" customHeight="1" x14ac:dyDescent="0.25">
      <c r="B18" s="4">
        <v>14</v>
      </c>
      <c r="C18" s="4" t="s">
        <v>224</v>
      </c>
      <c r="D18" s="4">
        <v>5</v>
      </c>
      <c r="E18" s="4">
        <v>23</v>
      </c>
      <c r="F18" s="4" t="str">
        <f t="shared" si="0"/>
        <v>市场Lv.3</v>
      </c>
      <c r="G18" s="4">
        <v>2</v>
      </c>
      <c r="H18" s="2" t="s">
        <v>183</v>
      </c>
      <c r="I18" s="2" t="s">
        <v>1</v>
      </c>
      <c r="J18" s="2" t="s">
        <v>1</v>
      </c>
      <c r="K18" s="2" t="s">
        <v>1</v>
      </c>
      <c r="L18" s="2" t="s">
        <v>189</v>
      </c>
      <c r="M18" s="2" t="s">
        <v>182</v>
      </c>
      <c r="N18" s="2" t="s">
        <v>181</v>
      </c>
      <c r="O18" s="6">
        <v>1</v>
      </c>
      <c r="P18" s="4">
        <v>120</v>
      </c>
      <c r="Q18" s="4">
        <v>0</v>
      </c>
      <c r="R18" s="4">
        <v>0.01</v>
      </c>
      <c r="S18" s="4">
        <v>300</v>
      </c>
      <c r="T18" s="4">
        <v>0</v>
      </c>
      <c r="U18" s="4" t="s">
        <v>76</v>
      </c>
      <c r="V18" s="2" t="s">
        <v>129</v>
      </c>
      <c r="Y18" s="4"/>
      <c r="AA18" s="4"/>
    </row>
    <row r="19" spans="2:27" x14ac:dyDescent="0.25">
      <c r="B19" s="2">
        <v>15</v>
      </c>
      <c r="C19" s="4" t="s">
        <v>225</v>
      </c>
      <c r="D19" s="4">
        <v>6</v>
      </c>
      <c r="E19" s="4">
        <v>24</v>
      </c>
      <c r="F19" s="4" t="str">
        <f t="shared" si="0"/>
        <v>村庄Lv.3</v>
      </c>
      <c r="G19" s="4">
        <v>2</v>
      </c>
      <c r="H19" s="2" t="s">
        <v>183</v>
      </c>
      <c r="I19" s="2" t="s">
        <v>1</v>
      </c>
      <c r="J19" s="2" t="s">
        <v>1</v>
      </c>
      <c r="K19" s="2" t="s">
        <v>1</v>
      </c>
      <c r="L19" s="2" t="s">
        <v>189</v>
      </c>
      <c r="M19" s="2" t="s">
        <v>182</v>
      </c>
      <c r="N19" s="2" t="s">
        <v>181</v>
      </c>
      <c r="O19" s="6">
        <v>1</v>
      </c>
      <c r="P19" s="4">
        <v>80</v>
      </c>
      <c r="Q19" s="4">
        <v>1200</v>
      </c>
      <c r="R19" s="4">
        <v>0.2</v>
      </c>
      <c r="S19" s="4">
        <v>300</v>
      </c>
      <c r="T19" s="4">
        <v>0</v>
      </c>
      <c r="U19" s="4" t="s">
        <v>75</v>
      </c>
      <c r="V19" s="2" t="s">
        <v>128</v>
      </c>
      <c r="Y19" s="4"/>
      <c r="AA19" s="4"/>
    </row>
    <row r="20" spans="2:27" x14ac:dyDescent="0.25">
      <c r="B20" s="4">
        <v>16</v>
      </c>
      <c r="C20" s="4" t="s">
        <v>226</v>
      </c>
      <c r="D20" s="4">
        <v>7</v>
      </c>
      <c r="E20" s="4">
        <v>25</v>
      </c>
      <c r="F20" s="4" t="str">
        <f t="shared" si="0"/>
        <v>兵营Lv.3</v>
      </c>
      <c r="G20" s="4">
        <v>2</v>
      </c>
      <c r="H20" s="2" t="s">
        <v>203</v>
      </c>
      <c r="I20" s="2" t="s">
        <v>1</v>
      </c>
      <c r="J20" s="2" t="s">
        <v>1</v>
      </c>
      <c r="K20" s="2" t="s">
        <v>1</v>
      </c>
      <c r="L20" s="2" t="s">
        <v>189</v>
      </c>
      <c r="M20" s="2" t="s">
        <v>182</v>
      </c>
      <c r="N20" s="2" t="s">
        <v>181</v>
      </c>
      <c r="O20" s="6">
        <v>1</v>
      </c>
      <c r="P20" s="4">
        <v>0</v>
      </c>
      <c r="Q20" s="4">
        <v>0</v>
      </c>
      <c r="R20" s="4">
        <v>0</v>
      </c>
      <c r="S20" s="4">
        <v>300</v>
      </c>
      <c r="T20" s="4">
        <v>0</v>
      </c>
      <c r="U20" s="4" t="s">
        <v>76</v>
      </c>
      <c r="V20" s="2" t="s">
        <v>129</v>
      </c>
      <c r="Y20" s="4"/>
      <c r="AA20" s="4"/>
    </row>
    <row r="21" spans="2:27" x14ac:dyDescent="0.25">
      <c r="B21" s="2">
        <v>17</v>
      </c>
      <c r="C21" s="4" t="s">
        <v>227</v>
      </c>
      <c r="D21" s="4">
        <v>8</v>
      </c>
      <c r="E21" s="4">
        <v>26</v>
      </c>
      <c r="F21" s="4" t="str">
        <f t="shared" si="0"/>
        <v>铁匠铺Lv.3</v>
      </c>
      <c r="G21" s="4">
        <v>2</v>
      </c>
      <c r="H21" s="2" t="s">
        <v>203</v>
      </c>
      <c r="I21" s="2" t="s">
        <v>1</v>
      </c>
      <c r="J21" s="2" t="s">
        <v>1</v>
      </c>
      <c r="K21" s="2" t="s">
        <v>1</v>
      </c>
      <c r="L21" s="2" t="s">
        <v>189</v>
      </c>
      <c r="M21" s="2" t="s">
        <v>182</v>
      </c>
      <c r="N21" s="2" t="s">
        <v>181</v>
      </c>
      <c r="O21" s="6">
        <v>1</v>
      </c>
      <c r="P21" s="4">
        <v>0</v>
      </c>
      <c r="Q21" s="4">
        <v>0</v>
      </c>
      <c r="R21" s="4">
        <v>0</v>
      </c>
      <c r="S21" s="4">
        <v>300</v>
      </c>
      <c r="T21" s="4">
        <v>0</v>
      </c>
      <c r="U21" s="4" t="s">
        <v>76</v>
      </c>
      <c r="V21" s="2" t="s">
        <v>129</v>
      </c>
      <c r="Y21" s="4"/>
      <c r="AA21" s="4"/>
    </row>
    <row r="22" spans="2:27" x14ac:dyDescent="0.25">
      <c r="B22" s="4">
        <v>18</v>
      </c>
      <c r="C22" s="4" t="s">
        <v>228</v>
      </c>
      <c r="D22" s="4">
        <v>9</v>
      </c>
      <c r="E22" s="4">
        <v>27</v>
      </c>
      <c r="F22" s="4" t="str">
        <f t="shared" si="0"/>
        <v>工坊Lv.3</v>
      </c>
      <c r="G22" s="4">
        <v>2</v>
      </c>
      <c r="H22" s="2" t="s">
        <v>203</v>
      </c>
      <c r="I22" s="2" t="s">
        <v>1</v>
      </c>
      <c r="J22" s="2" t="s">
        <v>1</v>
      </c>
      <c r="K22" s="2" t="s">
        <v>1</v>
      </c>
      <c r="L22" s="2" t="s">
        <v>189</v>
      </c>
      <c r="M22" s="2" t="s">
        <v>182</v>
      </c>
      <c r="N22" s="2" t="s">
        <v>181</v>
      </c>
      <c r="O22" s="6">
        <v>1</v>
      </c>
      <c r="P22" s="4">
        <v>0</v>
      </c>
      <c r="Q22" s="4">
        <v>0</v>
      </c>
      <c r="R22" s="4">
        <v>0</v>
      </c>
      <c r="S22" s="4">
        <v>300</v>
      </c>
      <c r="T22" s="4">
        <v>0</v>
      </c>
      <c r="U22" s="4" t="s">
        <v>76</v>
      </c>
      <c r="V22" s="2" t="s">
        <v>129</v>
      </c>
      <c r="Y22" s="4"/>
      <c r="AA22" s="4"/>
    </row>
    <row r="23" spans="2:27" x14ac:dyDescent="0.25">
      <c r="B23" s="2">
        <v>19</v>
      </c>
      <c r="C23" s="4" t="s">
        <v>229</v>
      </c>
      <c r="D23" s="4">
        <v>10</v>
      </c>
      <c r="E23" s="4">
        <v>28</v>
      </c>
      <c r="F23" s="4" t="str">
        <f t="shared" si="0"/>
        <v>造船厂Lv.3</v>
      </c>
      <c r="G23" s="4">
        <v>2</v>
      </c>
      <c r="H23" s="2" t="s">
        <v>203</v>
      </c>
      <c r="I23" s="2" t="s">
        <v>1</v>
      </c>
      <c r="J23" s="2" t="s">
        <v>1</v>
      </c>
      <c r="K23" s="2" t="s">
        <v>1</v>
      </c>
      <c r="L23" s="2" t="s">
        <v>189</v>
      </c>
      <c r="M23" s="2" t="s">
        <v>182</v>
      </c>
      <c r="N23" s="2" t="s">
        <v>181</v>
      </c>
      <c r="O23" s="6">
        <v>1</v>
      </c>
      <c r="P23" s="4">
        <v>0</v>
      </c>
      <c r="Q23" s="4">
        <v>0</v>
      </c>
      <c r="R23" s="4">
        <v>0</v>
      </c>
      <c r="S23" s="4">
        <v>300</v>
      </c>
      <c r="T23" s="4">
        <v>0</v>
      </c>
      <c r="U23" s="4" t="s">
        <v>76</v>
      </c>
      <c r="V23" s="2" t="s">
        <v>129</v>
      </c>
      <c r="Y23" s="4"/>
      <c r="AA23" s="4"/>
    </row>
    <row r="24" spans="2:27" x14ac:dyDescent="0.25">
      <c r="B24" s="4">
        <v>20</v>
      </c>
      <c r="C24" s="4" t="s">
        <v>230</v>
      </c>
      <c r="D24" s="4">
        <v>11</v>
      </c>
      <c r="E24" s="4">
        <v>29</v>
      </c>
      <c r="F24" s="4" t="str">
        <f t="shared" si="0"/>
        <v>马厩Lv.3</v>
      </c>
      <c r="G24" s="4">
        <v>2</v>
      </c>
      <c r="H24" s="2" t="s">
        <v>204</v>
      </c>
      <c r="I24" s="2" t="s">
        <v>1</v>
      </c>
      <c r="J24" s="2" t="s">
        <v>1</v>
      </c>
      <c r="K24" s="2" t="s">
        <v>1</v>
      </c>
      <c r="L24" s="2" t="s">
        <v>189</v>
      </c>
      <c r="M24" s="2" t="s">
        <v>182</v>
      </c>
      <c r="N24" s="2" t="s">
        <v>181</v>
      </c>
      <c r="O24" s="6">
        <v>1</v>
      </c>
      <c r="P24" s="4">
        <v>0</v>
      </c>
      <c r="Q24" s="4">
        <v>0</v>
      </c>
      <c r="R24" s="4">
        <v>0</v>
      </c>
      <c r="S24" s="4">
        <v>300</v>
      </c>
      <c r="T24" s="4">
        <v>0</v>
      </c>
      <c r="U24" s="4" t="s">
        <v>76</v>
      </c>
      <c r="V24" s="2" t="s">
        <v>129</v>
      </c>
      <c r="Y24" s="4"/>
      <c r="AA24" s="4"/>
    </row>
    <row r="25" spans="2:27" x14ac:dyDescent="0.25">
      <c r="B25" s="2">
        <v>21</v>
      </c>
      <c r="C25" s="4" t="s">
        <v>231</v>
      </c>
      <c r="D25" s="4">
        <v>12</v>
      </c>
      <c r="E25" s="4">
        <v>30</v>
      </c>
      <c r="F25" s="4" t="str">
        <f t="shared" si="0"/>
        <v>巡查局Lv.3</v>
      </c>
      <c r="G25" s="4">
        <v>2</v>
      </c>
      <c r="H25" s="2" t="s">
        <v>204</v>
      </c>
      <c r="I25" s="2" t="s">
        <v>1</v>
      </c>
      <c r="J25" s="2" t="s">
        <v>1</v>
      </c>
      <c r="K25" s="2" t="s">
        <v>1</v>
      </c>
      <c r="L25" s="2" t="s">
        <v>189</v>
      </c>
      <c r="M25" s="2" t="s">
        <v>182</v>
      </c>
      <c r="N25" s="2" t="s">
        <v>181</v>
      </c>
      <c r="O25" s="6">
        <v>1</v>
      </c>
      <c r="P25" s="4">
        <v>0</v>
      </c>
      <c r="Q25" s="4">
        <v>0</v>
      </c>
      <c r="R25" s="4">
        <v>0</v>
      </c>
      <c r="S25" s="4">
        <v>300</v>
      </c>
      <c r="T25" s="4">
        <v>0</v>
      </c>
      <c r="U25" s="4" t="s">
        <v>76</v>
      </c>
      <c r="V25" s="2" t="s">
        <v>129</v>
      </c>
      <c r="Y25" s="4"/>
      <c r="AA25" s="4"/>
    </row>
    <row r="26" spans="2:27" x14ac:dyDescent="0.25">
      <c r="B26" s="4">
        <v>22</v>
      </c>
      <c r="C26" s="4" t="s">
        <v>232</v>
      </c>
      <c r="D26" s="4">
        <v>4</v>
      </c>
      <c r="E26" s="4"/>
      <c r="G26" s="4">
        <v>3</v>
      </c>
      <c r="H26" s="2" t="s">
        <v>183</v>
      </c>
      <c r="I26" s="2" t="s">
        <v>1</v>
      </c>
      <c r="J26" s="2" t="s">
        <v>1</v>
      </c>
      <c r="K26" s="2" t="s">
        <v>1</v>
      </c>
      <c r="L26" s="2" t="s">
        <v>189</v>
      </c>
      <c r="M26" s="2" t="s">
        <v>182</v>
      </c>
      <c r="N26" s="2" t="s">
        <v>181</v>
      </c>
      <c r="O26" s="6">
        <v>1</v>
      </c>
      <c r="P26" s="4">
        <v>0</v>
      </c>
      <c r="Q26" s="4">
        <v>2250</v>
      </c>
      <c r="R26" s="4">
        <v>0.01</v>
      </c>
      <c r="S26" s="4">
        <v>300</v>
      </c>
      <c r="T26" s="4">
        <v>0</v>
      </c>
      <c r="U26" s="4" t="s">
        <v>74</v>
      </c>
      <c r="V26" s="2" t="s">
        <v>127</v>
      </c>
      <c r="Y26" s="4"/>
      <c r="AA26" s="4"/>
    </row>
    <row r="27" spans="2:27" ht="14.25" customHeight="1" x14ac:dyDescent="0.25">
      <c r="B27" s="2">
        <v>23</v>
      </c>
      <c r="C27" s="4" t="s">
        <v>233</v>
      </c>
      <c r="D27" s="4">
        <v>5</v>
      </c>
      <c r="E27" s="4"/>
      <c r="G27" s="4">
        <v>3</v>
      </c>
      <c r="H27" s="2" t="s">
        <v>183</v>
      </c>
      <c r="I27" s="2" t="s">
        <v>1</v>
      </c>
      <c r="J27" s="2" t="s">
        <v>1</v>
      </c>
      <c r="K27" s="2" t="s">
        <v>1</v>
      </c>
      <c r="L27" s="2" t="s">
        <v>189</v>
      </c>
      <c r="M27" s="2" t="s">
        <v>182</v>
      </c>
      <c r="N27" s="2" t="s">
        <v>181</v>
      </c>
      <c r="O27" s="6">
        <v>1</v>
      </c>
      <c r="P27" s="4">
        <v>150</v>
      </c>
      <c r="Q27" s="4">
        <v>0</v>
      </c>
      <c r="R27" s="4">
        <v>0.01</v>
      </c>
      <c r="S27" s="4">
        <v>300</v>
      </c>
      <c r="T27" s="4">
        <v>0</v>
      </c>
      <c r="U27" s="4" t="s">
        <v>76</v>
      </c>
      <c r="V27" s="2" t="s">
        <v>129</v>
      </c>
      <c r="Y27" s="4"/>
      <c r="AA27" s="4"/>
    </row>
    <row r="28" spans="2:27" x14ac:dyDescent="0.25">
      <c r="B28" s="4">
        <v>24</v>
      </c>
      <c r="C28" s="4" t="s">
        <v>234</v>
      </c>
      <c r="D28" s="4">
        <v>6</v>
      </c>
      <c r="E28" s="4"/>
      <c r="G28" s="4">
        <v>3</v>
      </c>
      <c r="H28" s="2" t="s">
        <v>183</v>
      </c>
      <c r="I28" s="2" t="s">
        <v>1</v>
      </c>
      <c r="J28" s="2" t="s">
        <v>1</v>
      </c>
      <c r="K28" s="2" t="s">
        <v>1</v>
      </c>
      <c r="L28" s="2" t="s">
        <v>189</v>
      </c>
      <c r="M28" s="2" t="s">
        <v>182</v>
      </c>
      <c r="N28" s="2" t="s">
        <v>181</v>
      </c>
      <c r="O28" s="6">
        <v>1</v>
      </c>
      <c r="P28" s="4">
        <v>100</v>
      </c>
      <c r="Q28" s="4">
        <v>1500</v>
      </c>
      <c r="R28" s="4">
        <v>0.2</v>
      </c>
      <c r="S28" s="4">
        <v>300</v>
      </c>
      <c r="T28" s="4">
        <v>0</v>
      </c>
      <c r="U28" s="4" t="s">
        <v>75</v>
      </c>
      <c r="V28" s="2" t="s">
        <v>128</v>
      </c>
      <c r="Y28" s="4"/>
      <c r="AA28" s="4"/>
    </row>
    <row r="29" spans="2:27" x14ac:dyDescent="0.25">
      <c r="B29" s="2">
        <v>25</v>
      </c>
      <c r="C29" s="4" t="s">
        <v>235</v>
      </c>
      <c r="D29" s="4">
        <v>7</v>
      </c>
      <c r="E29" s="4"/>
      <c r="G29" s="4">
        <v>3</v>
      </c>
      <c r="H29" s="2" t="s">
        <v>203</v>
      </c>
      <c r="I29" s="2" t="s">
        <v>1</v>
      </c>
      <c r="J29" s="2" t="s">
        <v>1</v>
      </c>
      <c r="K29" s="2" t="s">
        <v>1</v>
      </c>
      <c r="L29" s="2" t="s">
        <v>189</v>
      </c>
      <c r="M29" s="2" t="s">
        <v>182</v>
      </c>
      <c r="N29" s="2" t="s">
        <v>181</v>
      </c>
      <c r="O29" s="6">
        <v>1</v>
      </c>
      <c r="P29" s="4">
        <v>0</v>
      </c>
      <c r="Q29" s="4">
        <v>0</v>
      </c>
      <c r="R29" s="4">
        <v>0</v>
      </c>
      <c r="S29" s="4">
        <v>300</v>
      </c>
      <c r="T29" s="4">
        <v>0</v>
      </c>
      <c r="U29" s="4" t="s">
        <v>76</v>
      </c>
      <c r="V29" s="2" t="s">
        <v>129</v>
      </c>
      <c r="Y29" s="4"/>
      <c r="AA29" s="4"/>
    </row>
    <row r="30" spans="2:27" x14ac:dyDescent="0.25">
      <c r="B30" s="4">
        <v>26</v>
      </c>
      <c r="C30" s="4" t="s">
        <v>236</v>
      </c>
      <c r="D30" s="4">
        <v>8</v>
      </c>
      <c r="E30" s="4"/>
      <c r="G30" s="4">
        <v>3</v>
      </c>
      <c r="H30" s="2" t="s">
        <v>203</v>
      </c>
      <c r="I30" s="2" t="s">
        <v>1</v>
      </c>
      <c r="J30" s="2" t="s">
        <v>1</v>
      </c>
      <c r="K30" s="2" t="s">
        <v>1</v>
      </c>
      <c r="L30" s="2" t="s">
        <v>189</v>
      </c>
      <c r="M30" s="2" t="s">
        <v>182</v>
      </c>
      <c r="N30" s="2" t="s">
        <v>181</v>
      </c>
      <c r="O30" s="6">
        <v>1</v>
      </c>
      <c r="P30" s="4">
        <v>0</v>
      </c>
      <c r="Q30" s="4">
        <v>0</v>
      </c>
      <c r="R30" s="4">
        <v>0</v>
      </c>
      <c r="S30" s="4">
        <v>300</v>
      </c>
      <c r="T30" s="4">
        <v>0</v>
      </c>
      <c r="U30" s="4" t="s">
        <v>76</v>
      </c>
      <c r="V30" s="2" t="s">
        <v>129</v>
      </c>
      <c r="Y30" s="4"/>
      <c r="AA30" s="4"/>
    </row>
    <row r="31" spans="2:27" x14ac:dyDescent="0.25">
      <c r="B31" s="2">
        <v>27</v>
      </c>
      <c r="C31" s="4" t="s">
        <v>237</v>
      </c>
      <c r="D31" s="4">
        <v>9</v>
      </c>
      <c r="E31" s="4"/>
      <c r="G31" s="4">
        <v>3</v>
      </c>
      <c r="H31" s="2" t="s">
        <v>203</v>
      </c>
      <c r="I31" s="2" t="s">
        <v>1</v>
      </c>
      <c r="J31" s="2" t="s">
        <v>1</v>
      </c>
      <c r="K31" s="2" t="s">
        <v>1</v>
      </c>
      <c r="L31" s="2" t="s">
        <v>189</v>
      </c>
      <c r="M31" s="2" t="s">
        <v>182</v>
      </c>
      <c r="N31" s="2" t="s">
        <v>181</v>
      </c>
      <c r="O31" s="6">
        <v>1</v>
      </c>
      <c r="P31" s="4">
        <v>0</v>
      </c>
      <c r="Q31" s="4">
        <v>0</v>
      </c>
      <c r="R31" s="4">
        <v>0</v>
      </c>
      <c r="S31" s="4">
        <v>300</v>
      </c>
      <c r="T31" s="4">
        <v>0</v>
      </c>
      <c r="U31" s="4" t="s">
        <v>76</v>
      </c>
      <c r="V31" s="2" t="s">
        <v>129</v>
      </c>
      <c r="Y31" s="4"/>
      <c r="AA31" s="4"/>
    </row>
    <row r="32" spans="2:27" x14ac:dyDescent="0.25">
      <c r="B32" s="4">
        <v>28</v>
      </c>
      <c r="C32" s="4" t="s">
        <v>238</v>
      </c>
      <c r="D32" s="4">
        <v>10</v>
      </c>
      <c r="E32" s="4"/>
      <c r="G32" s="4">
        <v>3</v>
      </c>
      <c r="H32" s="2" t="s">
        <v>203</v>
      </c>
      <c r="I32" s="2" t="s">
        <v>1</v>
      </c>
      <c r="J32" s="2" t="s">
        <v>1</v>
      </c>
      <c r="K32" s="2" t="s">
        <v>1</v>
      </c>
      <c r="L32" s="2" t="s">
        <v>189</v>
      </c>
      <c r="M32" s="2" t="s">
        <v>182</v>
      </c>
      <c r="N32" s="2" t="s">
        <v>181</v>
      </c>
      <c r="O32" s="6">
        <v>1</v>
      </c>
      <c r="P32" s="4">
        <v>0</v>
      </c>
      <c r="Q32" s="4">
        <v>0</v>
      </c>
      <c r="R32" s="4">
        <v>0</v>
      </c>
      <c r="S32" s="4">
        <v>300</v>
      </c>
      <c r="T32" s="4">
        <v>0</v>
      </c>
      <c r="U32" s="4" t="s">
        <v>76</v>
      </c>
      <c r="V32" s="2" t="s">
        <v>129</v>
      </c>
      <c r="Y32" s="4"/>
      <c r="AA32" s="4"/>
    </row>
    <row r="33" spans="2:27" x14ac:dyDescent="0.25">
      <c r="B33" s="2">
        <v>29</v>
      </c>
      <c r="C33" s="4" t="s">
        <v>239</v>
      </c>
      <c r="D33" s="4">
        <v>11</v>
      </c>
      <c r="E33" s="4"/>
      <c r="G33" s="4">
        <v>3</v>
      </c>
      <c r="H33" s="2" t="s">
        <v>204</v>
      </c>
      <c r="I33" s="2" t="s">
        <v>1</v>
      </c>
      <c r="J33" s="2" t="s">
        <v>1</v>
      </c>
      <c r="K33" s="2" t="s">
        <v>1</v>
      </c>
      <c r="L33" s="2" t="s">
        <v>189</v>
      </c>
      <c r="M33" s="2" t="s">
        <v>182</v>
      </c>
      <c r="N33" s="2" t="s">
        <v>181</v>
      </c>
      <c r="O33" s="6">
        <v>1</v>
      </c>
      <c r="P33" s="4">
        <v>0</v>
      </c>
      <c r="Q33" s="4">
        <v>0</v>
      </c>
      <c r="R33" s="4">
        <v>0</v>
      </c>
      <c r="S33" s="4">
        <v>300</v>
      </c>
      <c r="T33" s="4">
        <v>0</v>
      </c>
      <c r="U33" s="4" t="s">
        <v>76</v>
      </c>
      <c r="V33" s="2" t="s">
        <v>129</v>
      </c>
      <c r="Y33" s="4"/>
      <c r="AA33" s="4"/>
    </row>
    <row r="34" spans="2:27" x14ac:dyDescent="0.25">
      <c r="B34" s="4">
        <v>30</v>
      </c>
      <c r="C34" s="4" t="s">
        <v>240</v>
      </c>
      <c r="D34" s="4">
        <v>12</v>
      </c>
      <c r="E34" s="4"/>
      <c r="G34" s="4">
        <v>3</v>
      </c>
      <c r="H34" s="2" t="s">
        <v>204</v>
      </c>
      <c r="I34" s="2" t="s">
        <v>1</v>
      </c>
      <c r="J34" s="2" t="s">
        <v>1</v>
      </c>
      <c r="K34" s="2" t="s">
        <v>1</v>
      </c>
      <c r="L34" s="2" t="s">
        <v>189</v>
      </c>
      <c r="M34" s="2" t="s">
        <v>182</v>
      </c>
      <c r="N34" s="2" t="s">
        <v>181</v>
      </c>
      <c r="O34" s="6">
        <v>1</v>
      </c>
      <c r="P34" s="4">
        <v>0</v>
      </c>
      <c r="Q34" s="4">
        <v>0</v>
      </c>
      <c r="R34" s="4">
        <v>0</v>
      </c>
      <c r="S34" s="4">
        <v>300</v>
      </c>
      <c r="T34" s="4">
        <v>0</v>
      </c>
      <c r="U34" s="4" t="s">
        <v>76</v>
      </c>
      <c r="V34" s="2" t="s">
        <v>129</v>
      </c>
      <c r="Y34" s="4"/>
      <c r="AA34" s="4"/>
    </row>
    <row r="35" spans="2:27" x14ac:dyDescent="0.25">
      <c r="B35" s="2">
        <v>31</v>
      </c>
      <c r="C35" s="4" t="s">
        <v>178</v>
      </c>
      <c r="D35" s="4">
        <v>13</v>
      </c>
      <c r="E35" s="4"/>
      <c r="G35" s="4">
        <v>1</v>
      </c>
      <c r="H35" s="2" t="s">
        <v>203</v>
      </c>
      <c r="I35" s="2" t="s">
        <v>1</v>
      </c>
      <c r="J35" s="2" t="s">
        <v>215</v>
      </c>
      <c r="K35" s="2" t="s">
        <v>221</v>
      </c>
      <c r="L35" s="2" t="s">
        <v>217</v>
      </c>
      <c r="M35" s="2" t="s">
        <v>181</v>
      </c>
      <c r="N35" s="2" t="s">
        <v>181</v>
      </c>
      <c r="O35" s="6">
        <v>1</v>
      </c>
      <c r="P35" s="4">
        <v>0</v>
      </c>
      <c r="Q35" s="4">
        <v>0</v>
      </c>
      <c r="R35" s="4">
        <v>0</v>
      </c>
      <c r="S35" s="4">
        <v>800</v>
      </c>
      <c r="T35" s="4">
        <v>0</v>
      </c>
      <c r="U35" s="4" t="s">
        <v>76</v>
      </c>
      <c r="V35" s="2" t="s">
        <v>129</v>
      </c>
      <c r="W35" s="2" t="s">
        <v>208</v>
      </c>
      <c r="X35" s="2" t="s">
        <v>207</v>
      </c>
      <c r="Y35" s="4"/>
      <c r="AA35" s="4"/>
    </row>
    <row r="36" spans="2:27" x14ac:dyDescent="0.25">
      <c r="B36" s="4">
        <v>32</v>
      </c>
      <c r="C36" s="4" t="s">
        <v>209</v>
      </c>
      <c r="D36" s="4">
        <v>14</v>
      </c>
      <c r="E36" s="4"/>
      <c r="G36" s="4">
        <v>1</v>
      </c>
      <c r="H36" s="2" t="s">
        <v>203</v>
      </c>
      <c r="I36" s="2" t="s">
        <v>1</v>
      </c>
      <c r="J36" s="2" t="s">
        <v>216</v>
      </c>
      <c r="K36" s="2" t="s">
        <v>221</v>
      </c>
      <c r="L36" s="2" t="s">
        <v>218</v>
      </c>
      <c r="M36" s="2" t="s">
        <v>181</v>
      </c>
      <c r="N36" s="2" t="s">
        <v>181</v>
      </c>
      <c r="O36" s="6">
        <v>1</v>
      </c>
      <c r="P36" s="4">
        <v>0</v>
      </c>
      <c r="Q36" s="4">
        <v>0</v>
      </c>
      <c r="R36" s="4">
        <v>0</v>
      </c>
      <c r="S36" s="4">
        <v>800</v>
      </c>
      <c r="T36" s="4">
        <v>0</v>
      </c>
      <c r="U36" s="4" t="s">
        <v>76</v>
      </c>
      <c r="V36" s="2" t="s">
        <v>129</v>
      </c>
      <c r="W36" s="2" t="s">
        <v>208</v>
      </c>
      <c r="X36" s="2" t="s">
        <v>207</v>
      </c>
      <c r="Y36" s="4"/>
      <c r="AA36" s="4"/>
    </row>
    <row r="37" spans="2:27" x14ac:dyDescent="0.25">
      <c r="B37" s="2">
        <v>33</v>
      </c>
      <c r="C37" s="4" t="s">
        <v>212</v>
      </c>
      <c r="D37" s="4">
        <v>15</v>
      </c>
      <c r="E37" s="4"/>
      <c r="G37" s="4">
        <v>1</v>
      </c>
      <c r="H37" s="2" t="s">
        <v>205</v>
      </c>
      <c r="I37" s="2" t="s">
        <v>215</v>
      </c>
      <c r="J37" s="2" t="s">
        <v>1</v>
      </c>
      <c r="K37" s="2" t="s">
        <v>1</v>
      </c>
      <c r="L37" s="2" t="s">
        <v>189</v>
      </c>
      <c r="M37" s="2" t="s">
        <v>181</v>
      </c>
      <c r="N37" s="2" t="s">
        <v>181</v>
      </c>
      <c r="O37" s="6">
        <v>1</v>
      </c>
      <c r="P37" s="4">
        <v>0</v>
      </c>
      <c r="Q37" s="4">
        <v>0</v>
      </c>
      <c r="R37" s="4">
        <v>0</v>
      </c>
      <c r="S37" s="4">
        <v>800</v>
      </c>
      <c r="T37" s="4">
        <v>0</v>
      </c>
      <c r="U37" s="4" t="s">
        <v>76</v>
      </c>
      <c r="V37" s="2" t="s">
        <v>129</v>
      </c>
      <c r="W37" s="2" t="s">
        <v>211</v>
      </c>
      <c r="X37" s="2" t="s">
        <v>210</v>
      </c>
      <c r="Y37" s="4"/>
      <c r="AA37" s="4"/>
    </row>
    <row r="63" spans="4:21" x14ac:dyDescent="0.25">
      <c r="D63" s="4"/>
      <c r="E63" s="4"/>
      <c r="P63" s="4"/>
      <c r="Q63" s="4"/>
      <c r="R63" s="4"/>
      <c r="S63" s="4"/>
      <c r="T63" s="4"/>
      <c r="U63" s="4"/>
    </row>
    <row r="64" spans="4:21" x14ac:dyDescent="0.25">
      <c r="D64" s="4"/>
      <c r="E64" s="4"/>
      <c r="P64" s="4"/>
      <c r="Q64" s="4"/>
      <c r="R64" s="4"/>
      <c r="S64" s="4"/>
      <c r="T64" s="4"/>
      <c r="U64" s="4"/>
    </row>
    <row r="65" spans="2:27" x14ac:dyDescent="0.25">
      <c r="D65" s="4"/>
      <c r="E65" s="4"/>
      <c r="P65" s="4"/>
      <c r="Q65" s="4"/>
      <c r="R65" s="4"/>
      <c r="S65" s="4"/>
      <c r="T65" s="4"/>
      <c r="U65" s="4"/>
    </row>
    <row r="66" spans="2:27" x14ac:dyDescent="0.25">
      <c r="B66" s="4">
        <v>8</v>
      </c>
      <c r="C66" s="4" t="s">
        <v>14</v>
      </c>
      <c r="D66" s="4">
        <v>1</v>
      </c>
      <c r="E66" s="4"/>
      <c r="H66" s="2" t="s">
        <v>0</v>
      </c>
      <c r="O66" s="6">
        <v>1</v>
      </c>
      <c r="P66" s="4">
        <v>0</v>
      </c>
      <c r="Q66" s="4">
        <v>0</v>
      </c>
      <c r="R66" s="4"/>
      <c r="S66" s="4">
        <v>600</v>
      </c>
      <c r="T66" s="4">
        <v>0</v>
      </c>
      <c r="U66" s="4" t="s">
        <v>77</v>
      </c>
      <c r="V66" s="2" t="s">
        <v>130</v>
      </c>
      <c r="W66" s="2" t="s">
        <v>171</v>
      </c>
      <c r="X66" s="2" t="s">
        <v>171</v>
      </c>
      <c r="Y66" s="4"/>
      <c r="AA66" s="4"/>
    </row>
    <row r="67" spans="2:27" x14ac:dyDescent="0.25">
      <c r="B67" s="4">
        <v>9</v>
      </c>
      <c r="C67" s="4" t="s">
        <v>59</v>
      </c>
      <c r="D67" s="4">
        <v>2</v>
      </c>
      <c r="E67" s="4"/>
      <c r="H67" s="2" t="s">
        <v>0</v>
      </c>
      <c r="O67" s="6">
        <v>1</v>
      </c>
      <c r="P67" s="4">
        <v>0</v>
      </c>
      <c r="Q67" s="4">
        <v>0</v>
      </c>
      <c r="R67" s="4"/>
      <c r="S67" s="4">
        <v>300</v>
      </c>
      <c r="T67" s="4">
        <v>0</v>
      </c>
      <c r="U67" s="4" t="s">
        <v>78</v>
      </c>
      <c r="V67" s="2" t="s">
        <v>131</v>
      </c>
      <c r="W67" s="2" t="s">
        <v>171</v>
      </c>
      <c r="X67" s="2" t="s">
        <v>171</v>
      </c>
      <c r="Y67" s="4"/>
      <c r="AA67" s="4"/>
    </row>
    <row r="68" spans="2:27" x14ac:dyDescent="0.25">
      <c r="B68" s="4">
        <v>10</v>
      </c>
      <c r="C68" s="4" t="s">
        <v>15</v>
      </c>
      <c r="D68" s="4">
        <v>2</v>
      </c>
      <c r="E68" s="4"/>
      <c r="H68" s="2" t="s">
        <v>0</v>
      </c>
      <c r="O68" s="6">
        <v>1</v>
      </c>
      <c r="P68" s="4">
        <v>0</v>
      </c>
      <c r="Q68" s="4">
        <v>0</v>
      </c>
      <c r="R68" s="4"/>
      <c r="S68" s="4">
        <v>300</v>
      </c>
      <c r="T68" s="4">
        <v>0</v>
      </c>
      <c r="U68" s="4" t="s">
        <v>79</v>
      </c>
      <c r="V68" s="2" t="s">
        <v>132</v>
      </c>
      <c r="W68" s="2" t="s">
        <v>171</v>
      </c>
      <c r="X68" s="2" t="s">
        <v>171</v>
      </c>
      <c r="Y68" s="4"/>
      <c r="AA68" s="4"/>
    </row>
    <row r="69" spans="2:27" x14ac:dyDescent="0.25">
      <c r="B69" s="4">
        <v>11</v>
      </c>
      <c r="C69" s="4" t="s">
        <v>16</v>
      </c>
      <c r="D69" s="4">
        <v>1</v>
      </c>
      <c r="E69" s="4"/>
      <c r="H69" s="2" t="s">
        <v>0</v>
      </c>
      <c r="O69" s="6">
        <v>1</v>
      </c>
      <c r="P69" s="4">
        <v>0</v>
      </c>
      <c r="Q69" s="4">
        <v>0</v>
      </c>
      <c r="R69" s="4"/>
      <c r="S69" s="4">
        <v>800</v>
      </c>
      <c r="T69" s="4">
        <v>0</v>
      </c>
      <c r="U69" s="4" t="s">
        <v>80</v>
      </c>
      <c r="V69" s="2" t="s">
        <v>133</v>
      </c>
      <c r="W69" s="2" t="s">
        <v>171</v>
      </c>
      <c r="X69" s="2" t="s">
        <v>171</v>
      </c>
      <c r="Y69" s="4"/>
      <c r="AA69" s="4"/>
    </row>
    <row r="70" spans="2:27" x14ac:dyDescent="0.25">
      <c r="B70" s="4">
        <v>12</v>
      </c>
      <c r="C70" s="4" t="s">
        <v>17</v>
      </c>
      <c r="D70" s="4">
        <v>1</v>
      </c>
      <c r="E70" s="4"/>
      <c r="H70" s="2" t="s">
        <v>0</v>
      </c>
      <c r="O70" s="6">
        <v>1</v>
      </c>
      <c r="P70" s="4">
        <v>0</v>
      </c>
      <c r="Q70" s="4">
        <v>0</v>
      </c>
      <c r="R70" s="4"/>
      <c r="S70" s="4">
        <v>500</v>
      </c>
      <c r="T70" s="4">
        <v>0</v>
      </c>
      <c r="U70" s="4" t="s">
        <v>81</v>
      </c>
      <c r="V70" s="2" t="s">
        <v>134</v>
      </c>
      <c r="W70" s="2" t="s">
        <v>171</v>
      </c>
      <c r="X70" s="2" t="s">
        <v>171</v>
      </c>
      <c r="Y70" s="4"/>
      <c r="AA70" s="4"/>
    </row>
    <row r="71" spans="2:27" x14ac:dyDescent="0.25">
      <c r="B71" s="4">
        <v>13</v>
      </c>
      <c r="C71" s="4" t="s">
        <v>18</v>
      </c>
      <c r="D71" s="4">
        <v>1</v>
      </c>
      <c r="E71" s="4"/>
      <c r="H71" s="2" t="s">
        <v>0</v>
      </c>
      <c r="O71" s="6">
        <v>1</v>
      </c>
      <c r="P71" s="4">
        <v>0</v>
      </c>
      <c r="Q71" s="4">
        <v>0</v>
      </c>
      <c r="R71" s="4"/>
      <c r="S71" s="4">
        <v>800</v>
      </c>
      <c r="T71" s="4">
        <v>0</v>
      </c>
      <c r="U71" s="4" t="s">
        <v>82</v>
      </c>
      <c r="V71" s="2" t="s">
        <v>135</v>
      </c>
      <c r="W71" s="2" t="s">
        <v>171</v>
      </c>
      <c r="X71" s="2" t="s">
        <v>171</v>
      </c>
      <c r="Y71" s="4"/>
      <c r="AA71" s="4"/>
    </row>
    <row r="72" spans="2:27" x14ac:dyDescent="0.25">
      <c r="B72" s="4">
        <v>14</v>
      </c>
      <c r="C72" s="4" t="s">
        <v>19</v>
      </c>
      <c r="D72" s="4">
        <v>1</v>
      </c>
      <c r="E72" s="4"/>
      <c r="H72" s="2" t="s">
        <v>0</v>
      </c>
      <c r="O72" s="6">
        <v>1</v>
      </c>
      <c r="P72" s="4">
        <v>0</v>
      </c>
      <c r="Q72" s="4">
        <v>0</v>
      </c>
      <c r="R72" s="4"/>
      <c r="S72" s="4">
        <v>1200</v>
      </c>
      <c r="T72" s="4">
        <v>0</v>
      </c>
      <c r="U72" s="4" t="s">
        <v>83</v>
      </c>
      <c r="V72" s="2" t="s">
        <v>136</v>
      </c>
      <c r="W72" s="2" t="s">
        <v>171</v>
      </c>
      <c r="X72" s="2" t="s">
        <v>171</v>
      </c>
      <c r="Y72" s="4"/>
      <c r="AA72" s="4"/>
    </row>
    <row r="73" spans="2:27" x14ac:dyDescent="0.25">
      <c r="B73" s="4">
        <v>15</v>
      </c>
      <c r="C73" s="4" t="s">
        <v>20</v>
      </c>
      <c r="D73" s="4">
        <v>1</v>
      </c>
      <c r="E73" s="4"/>
      <c r="H73" s="2" t="s">
        <v>0</v>
      </c>
      <c r="O73" s="6">
        <v>1</v>
      </c>
      <c r="P73" s="4">
        <v>0</v>
      </c>
      <c r="Q73" s="4">
        <v>0</v>
      </c>
      <c r="R73" s="4"/>
      <c r="S73" s="4"/>
      <c r="T73" s="4">
        <v>0</v>
      </c>
      <c r="U73" s="4" t="s">
        <v>84</v>
      </c>
      <c r="W73" s="2" t="s">
        <v>171</v>
      </c>
      <c r="X73" s="2" t="s">
        <v>171</v>
      </c>
      <c r="Y73" s="4"/>
      <c r="AA73" s="4"/>
    </row>
    <row r="74" spans="2:27" x14ac:dyDescent="0.25">
      <c r="B74" s="4">
        <v>16</v>
      </c>
      <c r="C74" s="4" t="s">
        <v>20</v>
      </c>
      <c r="D74" s="4">
        <v>1</v>
      </c>
      <c r="E74" s="4"/>
      <c r="H74" s="2" t="s">
        <v>0</v>
      </c>
      <c r="O74" s="6">
        <v>1</v>
      </c>
      <c r="P74" s="4">
        <v>0</v>
      </c>
      <c r="Q74" s="4">
        <v>0</v>
      </c>
      <c r="R74" s="4"/>
      <c r="S74" s="4"/>
      <c r="T74" s="4">
        <v>0</v>
      </c>
      <c r="U74" s="4" t="s">
        <v>85</v>
      </c>
      <c r="W74" s="2" t="s">
        <v>171</v>
      </c>
      <c r="X74" s="2" t="s">
        <v>171</v>
      </c>
      <c r="Y74" s="4"/>
      <c r="AA74" s="4"/>
    </row>
    <row r="75" spans="2:27" x14ac:dyDescent="0.25">
      <c r="B75" s="4">
        <v>17</v>
      </c>
      <c r="C75" s="4" t="s">
        <v>60</v>
      </c>
      <c r="D75" s="4">
        <v>3</v>
      </c>
      <c r="E75" s="4"/>
      <c r="H75" s="2" t="s">
        <v>1</v>
      </c>
      <c r="O75" s="6">
        <v>1</v>
      </c>
      <c r="P75" s="4">
        <v>0</v>
      </c>
      <c r="Q75" s="4">
        <v>0</v>
      </c>
      <c r="R75" s="4"/>
      <c r="S75" s="4">
        <v>200</v>
      </c>
      <c r="T75" s="4">
        <v>0</v>
      </c>
      <c r="U75" s="4" t="s">
        <v>86</v>
      </c>
      <c r="V75" s="2" t="s">
        <v>137</v>
      </c>
      <c r="W75" s="2" t="s">
        <v>171</v>
      </c>
      <c r="X75" s="2" t="s">
        <v>171</v>
      </c>
      <c r="Y75" s="4"/>
      <c r="AA75" s="4"/>
    </row>
    <row r="76" spans="2:27" x14ac:dyDescent="0.25">
      <c r="B76" s="4">
        <v>18</v>
      </c>
      <c r="C76" s="4" t="s">
        <v>61</v>
      </c>
      <c r="D76" s="4">
        <v>3</v>
      </c>
      <c r="E76" s="4"/>
      <c r="H76" s="2" t="s">
        <v>0</v>
      </c>
      <c r="O76" s="6">
        <v>1</v>
      </c>
      <c r="P76" s="4">
        <v>0</v>
      </c>
      <c r="Q76" s="4">
        <v>0</v>
      </c>
      <c r="R76" s="4"/>
      <c r="S76" s="4">
        <v>200</v>
      </c>
      <c r="T76" s="4">
        <v>0</v>
      </c>
      <c r="U76" s="4" t="s">
        <v>87</v>
      </c>
      <c r="V76" s="2" t="s">
        <v>138</v>
      </c>
      <c r="W76" s="2" t="s">
        <v>171</v>
      </c>
      <c r="X76" s="2" t="s">
        <v>171</v>
      </c>
      <c r="Y76" s="4"/>
      <c r="AA76" s="4"/>
    </row>
    <row r="77" spans="2:27" x14ac:dyDescent="0.25">
      <c r="B77" s="4">
        <v>19</v>
      </c>
      <c r="C77" s="4" t="s">
        <v>21</v>
      </c>
      <c r="D77" s="4">
        <v>3</v>
      </c>
      <c r="E77" s="4"/>
      <c r="H77" s="2" t="s">
        <v>0</v>
      </c>
      <c r="O77" s="6">
        <v>1</v>
      </c>
      <c r="P77" s="4">
        <v>0</v>
      </c>
      <c r="Q77" s="4">
        <v>0</v>
      </c>
      <c r="R77" s="4"/>
      <c r="S77" s="4">
        <v>200</v>
      </c>
      <c r="T77" s="4">
        <v>0</v>
      </c>
      <c r="U77" s="4" t="s">
        <v>88</v>
      </c>
      <c r="V77" s="2" t="s">
        <v>139</v>
      </c>
      <c r="W77" s="2" t="s">
        <v>171</v>
      </c>
      <c r="X77" s="2" t="s">
        <v>171</v>
      </c>
      <c r="Y77" s="4"/>
      <c r="AA77" s="4"/>
    </row>
    <row r="78" spans="2:27" x14ac:dyDescent="0.25">
      <c r="B78" s="4">
        <v>20</v>
      </c>
      <c r="C78" s="4" t="s">
        <v>22</v>
      </c>
      <c r="D78" s="4">
        <v>3</v>
      </c>
      <c r="E78" s="4"/>
      <c r="H78" s="2" t="s">
        <v>0</v>
      </c>
      <c r="O78" s="6">
        <v>1</v>
      </c>
      <c r="P78" s="4">
        <v>0</v>
      </c>
      <c r="Q78" s="4">
        <v>0</v>
      </c>
      <c r="R78" s="4"/>
      <c r="S78" s="4">
        <v>200</v>
      </c>
      <c r="T78" s="4">
        <v>0</v>
      </c>
      <c r="U78" s="4" t="s">
        <v>89</v>
      </c>
      <c r="V78" s="2" t="s">
        <v>140</v>
      </c>
      <c r="W78" s="2" t="s">
        <v>171</v>
      </c>
      <c r="X78" s="2" t="s">
        <v>171</v>
      </c>
      <c r="Y78" s="4"/>
      <c r="AA78" s="4"/>
    </row>
    <row r="79" spans="2:27" x14ac:dyDescent="0.25">
      <c r="B79" s="4">
        <v>21</v>
      </c>
      <c r="C79" s="4" t="s">
        <v>23</v>
      </c>
      <c r="D79" s="4">
        <v>3</v>
      </c>
      <c r="E79" s="4"/>
      <c r="H79" s="2" t="s">
        <v>0</v>
      </c>
      <c r="O79" s="6">
        <v>1</v>
      </c>
      <c r="P79" s="4">
        <v>0</v>
      </c>
      <c r="Q79" s="4">
        <v>0</v>
      </c>
      <c r="R79" s="4"/>
      <c r="S79" s="4">
        <v>200</v>
      </c>
      <c r="T79" s="4">
        <v>0</v>
      </c>
      <c r="U79" s="4" t="s">
        <v>90</v>
      </c>
      <c r="V79" s="2" t="s">
        <v>141</v>
      </c>
      <c r="W79" s="2" t="s">
        <v>171</v>
      </c>
      <c r="X79" s="2" t="s">
        <v>171</v>
      </c>
      <c r="Y79" s="4"/>
      <c r="AA79" s="4"/>
    </row>
    <row r="80" spans="2:27" x14ac:dyDescent="0.25">
      <c r="B80" s="4">
        <v>22</v>
      </c>
      <c r="C80" s="4" t="s">
        <v>24</v>
      </c>
      <c r="D80" s="4">
        <v>3</v>
      </c>
      <c r="E80" s="4"/>
      <c r="H80" s="2" t="s">
        <v>0</v>
      </c>
      <c r="O80" s="6">
        <v>1</v>
      </c>
      <c r="P80" s="4">
        <v>0</v>
      </c>
      <c r="Q80" s="4">
        <v>0</v>
      </c>
      <c r="R80" s="4"/>
      <c r="S80" s="4">
        <v>200</v>
      </c>
      <c r="T80" s="4">
        <v>0</v>
      </c>
      <c r="U80" s="4" t="s">
        <v>91</v>
      </c>
      <c r="V80" s="2" t="s">
        <v>142</v>
      </c>
      <c r="W80" s="2" t="s">
        <v>171</v>
      </c>
      <c r="X80" s="2" t="s">
        <v>171</v>
      </c>
      <c r="Y80" s="4"/>
      <c r="AA80" s="4"/>
    </row>
    <row r="81" spans="2:27" x14ac:dyDescent="0.25">
      <c r="B81" s="4">
        <v>23</v>
      </c>
      <c r="C81" s="4" t="s">
        <v>62</v>
      </c>
      <c r="D81" s="4">
        <v>3</v>
      </c>
      <c r="E81" s="4"/>
      <c r="H81" s="2" t="s">
        <v>0</v>
      </c>
      <c r="O81" s="6">
        <v>1</v>
      </c>
      <c r="P81" s="4">
        <v>0</v>
      </c>
      <c r="Q81" s="4">
        <v>0</v>
      </c>
      <c r="R81" s="4"/>
      <c r="S81" s="4">
        <v>200</v>
      </c>
      <c r="T81" s="4">
        <v>0</v>
      </c>
      <c r="U81" s="4" t="s">
        <v>92</v>
      </c>
      <c r="V81" s="2" t="s">
        <v>143</v>
      </c>
      <c r="W81" s="2" t="s">
        <v>171</v>
      </c>
      <c r="X81" s="2" t="s">
        <v>171</v>
      </c>
      <c r="Y81" s="4"/>
      <c r="AA81" s="4"/>
    </row>
    <row r="82" spans="2:27" x14ac:dyDescent="0.25">
      <c r="B82" s="4">
        <v>24</v>
      </c>
      <c r="C82" s="4" t="s">
        <v>25</v>
      </c>
      <c r="D82" s="4">
        <v>3</v>
      </c>
      <c r="E82" s="4"/>
      <c r="H82" s="2" t="s">
        <v>0</v>
      </c>
      <c r="O82" s="6">
        <v>1</v>
      </c>
      <c r="P82" s="4">
        <v>0</v>
      </c>
      <c r="Q82" s="4">
        <v>0</v>
      </c>
      <c r="R82" s="4"/>
      <c r="S82" s="4"/>
      <c r="T82" s="4">
        <v>0</v>
      </c>
      <c r="U82" s="4" t="s">
        <v>93</v>
      </c>
      <c r="W82" s="2" t="s">
        <v>171</v>
      </c>
      <c r="X82" s="2" t="s">
        <v>171</v>
      </c>
      <c r="Y82" s="4"/>
      <c r="AA82" s="4"/>
    </row>
    <row r="83" spans="2:27" x14ac:dyDescent="0.25">
      <c r="B83" s="4">
        <v>25</v>
      </c>
      <c r="C83" s="4" t="s">
        <v>26</v>
      </c>
      <c r="D83" s="4">
        <v>3</v>
      </c>
      <c r="E83" s="4"/>
      <c r="H83" s="2" t="s">
        <v>0</v>
      </c>
      <c r="O83" s="6">
        <v>1</v>
      </c>
      <c r="P83" s="4">
        <v>0</v>
      </c>
      <c r="Q83" s="4">
        <v>0</v>
      </c>
      <c r="R83" s="4"/>
      <c r="S83" s="4"/>
      <c r="T83" s="4">
        <v>0</v>
      </c>
      <c r="U83" s="4" t="s">
        <v>94</v>
      </c>
      <c r="W83" s="2" t="s">
        <v>171</v>
      </c>
      <c r="X83" s="2" t="s">
        <v>171</v>
      </c>
      <c r="Y83" s="4"/>
      <c r="AA83" s="4"/>
    </row>
    <row r="84" spans="2:27" x14ac:dyDescent="0.25">
      <c r="B84" s="4">
        <v>26</v>
      </c>
      <c r="C84" s="4" t="s">
        <v>9</v>
      </c>
      <c r="D84" s="4">
        <v>3</v>
      </c>
      <c r="E84" s="4"/>
      <c r="H84" s="2" t="s">
        <v>0</v>
      </c>
      <c r="O84" s="6">
        <v>1</v>
      </c>
      <c r="P84" s="4">
        <v>0</v>
      </c>
      <c r="Q84" s="4">
        <v>0</v>
      </c>
      <c r="R84" s="4"/>
      <c r="S84" s="4"/>
      <c r="T84" s="4">
        <v>0</v>
      </c>
      <c r="U84" s="4" t="s">
        <v>95</v>
      </c>
      <c r="W84" s="2" t="s">
        <v>171</v>
      </c>
      <c r="X84" s="2" t="s">
        <v>171</v>
      </c>
      <c r="Y84" s="4"/>
      <c r="AA84" s="4"/>
    </row>
    <row r="85" spans="2:27" x14ac:dyDescent="0.25">
      <c r="B85" s="4">
        <v>27</v>
      </c>
      <c r="C85" s="4" t="s">
        <v>27</v>
      </c>
      <c r="D85" s="4">
        <v>2</v>
      </c>
      <c r="E85" s="4"/>
      <c r="H85" s="2" t="s">
        <v>0</v>
      </c>
      <c r="O85" s="6">
        <v>1</v>
      </c>
      <c r="P85" s="4">
        <v>0</v>
      </c>
      <c r="Q85" s="4">
        <v>0</v>
      </c>
      <c r="R85" s="4"/>
      <c r="S85" s="4"/>
      <c r="T85" s="4">
        <v>0</v>
      </c>
      <c r="U85" s="4" t="s">
        <v>96</v>
      </c>
      <c r="W85" s="2" t="s">
        <v>171</v>
      </c>
      <c r="X85" s="2" t="s">
        <v>171</v>
      </c>
      <c r="Y85" s="4"/>
      <c r="AA85" s="4"/>
    </row>
    <row r="86" spans="2:27" x14ac:dyDescent="0.25">
      <c r="B86" s="4">
        <v>28</v>
      </c>
      <c r="C86" s="4" t="s">
        <v>28</v>
      </c>
      <c r="D86" s="4">
        <v>2</v>
      </c>
      <c r="E86" s="4"/>
      <c r="H86" s="2" t="s">
        <v>0</v>
      </c>
      <c r="O86" s="6">
        <v>1</v>
      </c>
      <c r="P86" s="4">
        <v>0</v>
      </c>
      <c r="Q86" s="4">
        <v>0</v>
      </c>
      <c r="R86" s="4"/>
      <c r="S86" s="4"/>
      <c r="T86" s="4">
        <v>0</v>
      </c>
      <c r="U86" s="4" t="s">
        <v>97</v>
      </c>
      <c r="W86" s="2" t="s">
        <v>171</v>
      </c>
      <c r="X86" s="2" t="s">
        <v>171</v>
      </c>
      <c r="Y86" s="4"/>
      <c r="AA86" s="4"/>
    </row>
    <row r="87" spans="2:27" x14ac:dyDescent="0.25">
      <c r="B87" s="4">
        <v>29</v>
      </c>
      <c r="C87" s="4" t="s">
        <v>29</v>
      </c>
      <c r="D87" s="4">
        <v>2</v>
      </c>
      <c r="E87" s="4"/>
      <c r="H87" s="2" t="s">
        <v>0</v>
      </c>
      <c r="O87" s="6">
        <v>1</v>
      </c>
      <c r="P87" s="4">
        <v>0</v>
      </c>
      <c r="Q87" s="4">
        <v>0</v>
      </c>
      <c r="R87" s="4"/>
      <c r="S87" s="4"/>
      <c r="T87" s="4">
        <v>0</v>
      </c>
      <c r="U87" s="4" t="s">
        <v>98</v>
      </c>
      <c r="W87" s="2" t="s">
        <v>171</v>
      </c>
      <c r="X87" s="2" t="s">
        <v>171</v>
      </c>
      <c r="Y87" s="4"/>
      <c r="AA87" s="4"/>
    </row>
    <row r="88" spans="2:27" x14ac:dyDescent="0.25">
      <c r="B88" s="4">
        <v>30</v>
      </c>
      <c r="C88" s="4" t="s">
        <v>30</v>
      </c>
      <c r="D88" s="4">
        <v>2</v>
      </c>
      <c r="E88" s="4"/>
      <c r="H88" s="2" t="s">
        <v>0</v>
      </c>
      <c r="O88" s="6">
        <v>1</v>
      </c>
      <c r="P88" s="4">
        <v>0</v>
      </c>
      <c r="Q88" s="4">
        <v>0</v>
      </c>
      <c r="R88" s="4"/>
      <c r="S88" s="4"/>
      <c r="T88" s="4">
        <v>0</v>
      </c>
      <c r="U88" s="4" t="s">
        <v>98</v>
      </c>
      <c r="W88" s="2" t="s">
        <v>171</v>
      </c>
      <c r="X88" s="2" t="s">
        <v>171</v>
      </c>
      <c r="Y88" s="4"/>
      <c r="AA88" s="4"/>
    </row>
    <row r="89" spans="2:27" x14ac:dyDescent="0.25">
      <c r="B89" s="4">
        <v>31</v>
      </c>
      <c r="C89" s="4" t="s">
        <v>31</v>
      </c>
      <c r="D89" s="4">
        <v>5</v>
      </c>
      <c r="E89" s="4"/>
      <c r="H89" s="2" t="s">
        <v>0</v>
      </c>
      <c r="O89" s="6">
        <v>1</v>
      </c>
      <c r="P89" s="4">
        <v>10</v>
      </c>
      <c r="Q89" s="4">
        <v>10</v>
      </c>
      <c r="R89" s="4"/>
      <c r="S89" s="4">
        <v>1500</v>
      </c>
      <c r="T89" s="4">
        <v>0</v>
      </c>
      <c r="U89" s="4" t="s">
        <v>99</v>
      </c>
      <c r="W89" s="2" t="s">
        <v>171</v>
      </c>
      <c r="X89" s="2" t="s">
        <v>171</v>
      </c>
      <c r="Y89" s="4"/>
      <c r="AA89" s="4"/>
    </row>
    <row r="90" spans="2:27" x14ac:dyDescent="0.25">
      <c r="B90" s="4">
        <v>32</v>
      </c>
      <c r="C90" s="4" t="s">
        <v>32</v>
      </c>
      <c r="D90" s="4">
        <v>5</v>
      </c>
      <c r="E90" s="4"/>
      <c r="H90" s="2" t="s">
        <v>0</v>
      </c>
      <c r="O90" s="6">
        <v>1</v>
      </c>
      <c r="P90" s="4">
        <v>1000</v>
      </c>
      <c r="Q90" s="4">
        <v>0</v>
      </c>
      <c r="R90" s="4"/>
      <c r="S90" s="4">
        <v>200</v>
      </c>
      <c r="T90" s="4">
        <v>0</v>
      </c>
      <c r="U90" s="4" t="s">
        <v>100</v>
      </c>
      <c r="V90" s="2" t="s">
        <v>144</v>
      </c>
      <c r="W90" s="2">
        <v>362</v>
      </c>
      <c r="X90" s="2">
        <v>362</v>
      </c>
      <c r="Y90" s="4"/>
      <c r="AA90" s="4"/>
    </row>
    <row r="91" spans="2:27" x14ac:dyDescent="0.25">
      <c r="B91" s="4">
        <v>33</v>
      </c>
      <c r="C91" s="2" t="s">
        <v>33</v>
      </c>
      <c r="D91" s="4">
        <v>5</v>
      </c>
      <c r="E91" s="4"/>
      <c r="P91" s="4">
        <v>0</v>
      </c>
      <c r="Q91" s="4">
        <v>10000</v>
      </c>
      <c r="R91" s="4"/>
      <c r="S91" s="4">
        <v>200</v>
      </c>
      <c r="T91" s="4">
        <v>0</v>
      </c>
      <c r="U91" s="4" t="s">
        <v>101</v>
      </c>
      <c r="V91" s="2" t="s">
        <v>145</v>
      </c>
      <c r="W91" s="2">
        <v>376</v>
      </c>
      <c r="X91" s="2">
        <v>376</v>
      </c>
      <c r="Y91" s="4"/>
      <c r="AA91" s="4"/>
    </row>
    <row r="92" spans="2:27" x14ac:dyDescent="0.25">
      <c r="B92" s="2">
        <v>34</v>
      </c>
      <c r="C92" s="2" t="s">
        <v>34</v>
      </c>
      <c r="D92" s="4">
        <v>5</v>
      </c>
      <c r="E92" s="4"/>
      <c r="O92" s="6"/>
      <c r="P92" s="4">
        <v>0</v>
      </c>
      <c r="Q92" s="4">
        <v>0</v>
      </c>
      <c r="R92" s="4"/>
      <c r="S92" s="4">
        <v>300</v>
      </c>
      <c r="T92" s="4">
        <v>0</v>
      </c>
      <c r="U92" s="4" t="s">
        <v>102</v>
      </c>
      <c r="V92" s="2" t="s">
        <v>146</v>
      </c>
      <c r="W92" s="2">
        <v>360</v>
      </c>
      <c r="X92" s="2">
        <v>360</v>
      </c>
      <c r="Y92" s="4"/>
      <c r="AA92" s="4"/>
    </row>
    <row r="93" spans="2:27" x14ac:dyDescent="0.25">
      <c r="B93" s="2">
        <v>35</v>
      </c>
      <c r="C93" s="2" t="s">
        <v>35</v>
      </c>
      <c r="D93" s="4">
        <v>5</v>
      </c>
      <c r="E93" s="4"/>
      <c r="O93" s="6"/>
      <c r="P93" s="4">
        <v>0</v>
      </c>
      <c r="Q93" s="4">
        <v>1000</v>
      </c>
      <c r="R93" s="4"/>
      <c r="S93" s="4">
        <v>300</v>
      </c>
      <c r="T93" s="4">
        <v>0</v>
      </c>
      <c r="U93" s="4" t="s">
        <v>103</v>
      </c>
      <c r="V93" s="2" t="s">
        <v>147</v>
      </c>
      <c r="W93" s="2">
        <v>364</v>
      </c>
      <c r="X93" s="2">
        <v>364</v>
      </c>
      <c r="Y93" s="4"/>
      <c r="AA93" s="4"/>
    </row>
    <row r="94" spans="2:27" x14ac:dyDescent="0.25">
      <c r="B94" s="2">
        <v>36</v>
      </c>
      <c r="C94" s="2" t="s">
        <v>36</v>
      </c>
      <c r="D94" s="4">
        <v>5</v>
      </c>
      <c r="E94" s="4"/>
      <c r="O94" s="6"/>
      <c r="P94" s="4">
        <v>1000</v>
      </c>
      <c r="Q94" s="4">
        <v>1000</v>
      </c>
      <c r="R94" s="4"/>
      <c r="S94" s="4">
        <v>300</v>
      </c>
      <c r="T94" s="4">
        <v>0</v>
      </c>
      <c r="U94" s="4" t="s">
        <v>104</v>
      </c>
      <c r="V94" s="2" t="s">
        <v>148</v>
      </c>
      <c r="W94" s="2">
        <v>370</v>
      </c>
      <c r="X94" s="2">
        <v>370</v>
      </c>
      <c r="Y94" s="4"/>
      <c r="AA94" s="4"/>
    </row>
    <row r="95" spans="2:27" x14ac:dyDescent="0.25">
      <c r="B95" s="2">
        <v>37</v>
      </c>
      <c r="C95" s="2" t="s">
        <v>37</v>
      </c>
      <c r="D95" s="4">
        <v>5</v>
      </c>
      <c r="E95" s="4"/>
      <c r="O95" s="6"/>
      <c r="P95" s="4">
        <v>1</v>
      </c>
      <c r="Q95" s="4">
        <v>1</v>
      </c>
      <c r="R95" s="4"/>
      <c r="S95" s="4">
        <v>300</v>
      </c>
      <c r="T95" s="4">
        <v>0</v>
      </c>
      <c r="U95" s="4" t="s">
        <v>105</v>
      </c>
      <c r="V95" s="2" t="s">
        <v>149</v>
      </c>
      <c r="W95" s="2">
        <v>368</v>
      </c>
      <c r="X95" s="2">
        <v>368</v>
      </c>
      <c r="Y95" s="4"/>
      <c r="AA95" s="4"/>
    </row>
    <row r="96" spans="2:27" x14ac:dyDescent="0.25">
      <c r="B96" s="2">
        <v>38</v>
      </c>
      <c r="C96" s="2" t="s">
        <v>38</v>
      </c>
      <c r="D96" s="4">
        <v>5</v>
      </c>
      <c r="E96" s="4"/>
      <c r="O96" s="6"/>
      <c r="P96" s="4">
        <v>1</v>
      </c>
      <c r="Q96" s="4">
        <v>1</v>
      </c>
      <c r="R96" s="4"/>
      <c r="S96" s="4">
        <v>300</v>
      </c>
      <c r="T96" s="4">
        <v>0</v>
      </c>
      <c r="U96" s="4" t="s">
        <v>106</v>
      </c>
      <c r="V96" s="2" t="s">
        <v>150</v>
      </c>
      <c r="W96" s="2">
        <v>380</v>
      </c>
      <c r="X96" s="2">
        <v>380</v>
      </c>
      <c r="Y96" s="4"/>
      <c r="AA96" s="4"/>
    </row>
    <row r="97" spans="2:27" x14ac:dyDescent="0.25">
      <c r="B97" s="2">
        <v>39</v>
      </c>
      <c r="C97" s="2" t="s">
        <v>39</v>
      </c>
      <c r="D97" s="4">
        <v>5</v>
      </c>
      <c r="E97" s="4"/>
      <c r="O97" s="6"/>
      <c r="P97" s="4">
        <v>1</v>
      </c>
      <c r="Q97" s="4">
        <v>1</v>
      </c>
      <c r="R97" s="4"/>
      <c r="S97" s="4">
        <v>400</v>
      </c>
      <c r="T97" s="4">
        <v>0</v>
      </c>
      <c r="U97" s="4" t="s">
        <v>107</v>
      </c>
      <c r="V97" s="2" t="s">
        <v>151</v>
      </c>
      <c r="W97" s="2">
        <v>378</v>
      </c>
      <c r="X97" s="2">
        <v>378</v>
      </c>
      <c r="Y97" s="4"/>
      <c r="AA97" s="4"/>
    </row>
    <row r="98" spans="2:27" x14ac:dyDescent="0.25">
      <c r="B98" s="2">
        <v>40</v>
      </c>
      <c r="C98" s="2" t="s">
        <v>63</v>
      </c>
      <c r="D98" s="4">
        <v>5</v>
      </c>
      <c r="E98" s="4"/>
      <c r="O98" s="6"/>
      <c r="P98" s="4">
        <v>1</v>
      </c>
      <c r="Q98" s="4">
        <v>1</v>
      </c>
      <c r="R98" s="4"/>
      <c r="S98" s="4">
        <v>400</v>
      </c>
      <c r="T98" s="4">
        <v>0</v>
      </c>
      <c r="U98" s="4" t="s">
        <v>108</v>
      </c>
      <c r="V98" s="2" t="s">
        <v>152</v>
      </c>
      <c r="W98" s="2">
        <v>366</v>
      </c>
      <c r="X98" s="2">
        <v>366</v>
      </c>
      <c r="Y98" s="4"/>
      <c r="AA98" s="4"/>
    </row>
    <row r="99" spans="2:27" x14ac:dyDescent="0.25">
      <c r="B99" s="2">
        <v>41</v>
      </c>
      <c r="C99" s="2" t="s">
        <v>40</v>
      </c>
      <c r="D99" s="4">
        <v>5</v>
      </c>
      <c r="E99" s="4"/>
      <c r="O99" s="6"/>
      <c r="P99" s="4">
        <v>1</v>
      </c>
      <c r="Q99" s="4">
        <v>1</v>
      </c>
      <c r="R99" s="4"/>
      <c r="S99" s="4">
        <v>200</v>
      </c>
      <c r="T99" s="4">
        <v>0</v>
      </c>
      <c r="U99" s="4" t="s">
        <v>109</v>
      </c>
      <c r="V99" s="2" t="s">
        <v>153</v>
      </c>
      <c r="W99" s="2">
        <v>406</v>
      </c>
      <c r="X99" s="2">
        <v>406</v>
      </c>
      <c r="Y99" s="4"/>
      <c r="AA99" s="4"/>
    </row>
    <row r="100" spans="2:27" x14ac:dyDescent="0.25">
      <c r="B100" s="2">
        <v>42</v>
      </c>
      <c r="C100" s="2" t="s">
        <v>41</v>
      </c>
      <c r="D100" s="4">
        <v>5</v>
      </c>
      <c r="E100" s="4"/>
      <c r="O100" s="6"/>
      <c r="P100" s="4">
        <v>1</v>
      </c>
      <c r="Q100" s="4">
        <v>1</v>
      </c>
      <c r="R100" s="4"/>
      <c r="S100" s="4">
        <v>200</v>
      </c>
      <c r="T100" s="4">
        <v>0</v>
      </c>
      <c r="U100" s="4" t="s">
        <v>110</v>
      </c>
      <c r="V100" s="2" t="s">
        <v>154</v>
      </c>
      <c r="W100" s="2">
        <v>408</v>
      </c>
      <c r="X100" s="2">
        <v>408</v>
      </c>
      <c r="Y100" s="4"/>
      <c r="AA100" s="4"/>
    </row>
    <row r="101" spans="2:27" x14ac:dyDescent="0.25">
      <c r="B101" s="2">
        <v>43</v>
      </c>
      <c r="C101" s="2" t="s">
        <v>42</v>
      </c>
      <c r="D101" s="4">
        <v>5</v>
      </c>
      <c r="E101" s="4"/>
      <c r="P101" s="4">
        <v>1</v>
      </c>
      <c r="Q101" s="4">
        <v>1</v>
      </c>
      <c r="R101" s="4"/>
      <c r="S101" s="4">
        <v>200</v>
      </c>
      <c r="T101" s="4">
        <v>0</v>
      </c>
      <c r="U101" s="4" t="s">
        <v>111</v>
      </c>
      <c r="V101" s="2" t="s">
        <v>155</v>
      </c>
      <c r="W101" s="2">
        <v>410</v>
      </c>
      <c r="X101" s="2">
        <v>410</v>
      </c>
    </row>
    <row r="102" spans="2:27" x14ac:dyDescent="0.25">
      <c r="B102" s="2">
        <v>44</v>
      </c>
      <c r="C102" s="2" t="s">
        <v>43</v>
      </c>
      <c r="D102" s="4">
        <v>5</v>
      </c>
      <c r="E102" s="4"/>
      <c r="P102" s="4">
        <v>1</v>
      </c>
      <c r="Q102" s="4">
        <v>1</v>
      </c>
      <c r="R102" s="4"/>
      <c r="S102" s="4">
        <v>200</v>
      </c>
      <c r="T102" s="4">
        <v>0</v>
      </c>
      <c r="U102" s="4" t="s">
        <v>112</v>
      </c>
      <c r="V102" s="2" t="s">
        <v>156</v>
      </c>
      <c r="W102" s="2">
        <v>412</v>
      </c>
      <c r="X102" s="2">
        <v>412</v>
      </c>
    </row>
    <row r="103" spans="2:27" x14ac:dyDescent="0.25">
      <c r="B103" s="2">
        <v>45</v>
      </c>
      <c r="C103" s="2" t="s">
        <v>44</v>
      </c>
      <c r="D103" s="4">
        <v>5</v>
      </c>
      <c r="E103" s="4"/>
      <c r="P103" s="4">
        <v>1</v>
      </c>
      <c r="Q103" s="4">
        <v>1</v>
      </c>
      <c r="R103" s="4"/>
      <c r="S103" s="4">
        <v>200</v>
      </c>
      <c r="T103" s="4">
        <v>0</v>
      </c>
      <c r="U103" s="4" t="s">
        <v>113</v>
      </c>
      <c r="V103" s="2" t="s">
        <v>157</v>
      </c>
      <c r="W103" s="2">
        <v>414</v>
      </c>
      <c r="X103" s="2">
        <v>414</v>
      </c>
    </row>
    <row r="104" spans="2:27" x14ac:dyDescent="0.25">
      <c r="B104" s="2">
        <v>46</v>
      </c>
      <c r="C104" s="2" t="s">
        <v>64</v>
      </c>
      <c r="D104" s="4">
        <v>5</v>
      </c>
      <c r="E104" s="4"/>
      <c r="P104" s="4">
        <v>1</v>
      </c>
      <c r="Q104" s="4">
        <v>1</v>
      </c>
      <c r="R104" s="4"/>
      <c r="S104" s="4">
        <v>200</v>
      </c>
      <c r="T104" s="4">
        <v>0</v>
      </c>
      <c r="U104" s="4" t="s">
        <v>114</v>
      </c>
      <c r="V104" s="2" t="s">
        <v>158</v>
      </c>
      <c r="W104" s="2">
        <v>416</v>
      </c>
      <c r="X104" s="2">
        <v>416</v>
      </c>
    </row>
    <row r="105" spans="2:27" x14ac:dyDescent="0.25">
      <c r="B105" s="2">
        <v>47</v>
      </c>
      <c r="C105" s="2" t="s">
        <v>45</v>
      </c>
      <c r="D105" s="4">
        <v>5</v>
      </c>
      <c r="E105" s="4"/>
      <c r="P105" s="4">
        <v>240</v>
      </c>
      <c r="Q105" s="4">
        <v>240</v>
      </c>
      <c r="R105" s="4"/>
      <c r="S105" s="4">
        <v>400</v>
      </c>
      <c r="T105" s="4">
        <v>0</v>
      </c>
      <c r="U105" s="4" t="s">
        <v>115</v>
      </c>
      <c r="V105" s="2" t="s">
        <v>159</v>
      </c>
      <c r="W105" s="2">
        <v>418</v>
      </c>
      <c r="X105" s="2">
        <v>418</v>
      </c>
    </row>
    <row r="106" spans="2:27" x14ac:dyDescent="0.25">
      <c r="B106" s="2">
        <v>48</v>
      </c>
      <c r="C106" s="2" t="s">
        <v>46</v>
      </c>
      <c r="D106" s="4">
        <v>5</v>
      </c>
      <c r="E106" s="4"/>
      <c r="P106" s="4">
        <v>180</v>
      </c>
      <c r="Q106" s="4">
        <v>180</v>
      </c>
      <c r="R106" s="4"/>
      <c r="S106" s="4">
        <v>400</v>
      </c>
      <c r="T106" s="4">
        <v>0</v>
      </c>
      <c r="U106" s="4" t="s">
        <v>116</v>
      </c>
      <c r="V106" s="2" t="s">
        <v>160</v>
      </c>
      <c r="W106" s="2">
        <v>420</v>
      </c>
      <c r="X106" s="2">
        <v>420</v>
      </c>
    </row>
    <row r="107" spans="2:27" x14ac:dyDescent="0.25">
      <c r="B107" s="2">
        <v>49</v>
      </c>
      <c r="C107" s="2" t="s">
        <v>47</v>
      </c>
      <c r="D107" s="4">
        <v>5</v>
      </c>
      <c r="E107" s="4"/>
      <c r="P107" s="4">
        <v>100</v>
      </c>
      <c r="Q107" s="4">
        <v>100</v>
      </c>
      <c r="R107" s="4"/>
      <c r="S107" s="4">
        <v>50</v>
      </c>
      <c r="T107" s="4">
        <v>0</v>
      </c>
      <c r="U107" s="4" t="s">
        <v>117</v>
      </c>
      <c r="V107" s="2" t="s">
        <v>161</v>
      </c>
      <c r="W107" s="2">
        <v>422</v>
      </c>
      <c r="X107" s="2">
        <v>422</v>
      </c>
    </row>
    <row r="108" spans="2:27" x14ac:dyDescent="0.25">
      <c r="B108" s="2">
        <v>50</v>
      </c>
      <c r="C108" s="2" t="s">
        <v>48</v>
      </c>
      <c r="D108" s="4">
        <v>5</v>
      </c>
      <c r="E108" s="4"/>
      <c r="P108" s="4">
        <v>1600</v>
      </c>
      <c r="Q108" s="4">
        <v>1600</v>
      </c>
      <c r="R108" s="4"/>
      <c r="S108" s="4">
        <v>400</v>
      </c>
      <c r="T108" s="4">
        <v>0</v>
      </c>
      <c r="U108" s="4" t="s">
        <v>118</v>
      </c>
      <c r="V108" s="2" t="s">
        <v>162</v>
      </c>
      <c r="W108" s="2">
        <v>424</v>
      </c>
      <c r="X108" s="2">
        <v>424</v>
      </c>
    </row>
    <row r="109" spans="2:27" x14ac:dyDescent="0.25">
      <c r="B109" s="2">
        <v>51</v>
      </c>
      <c r="C109" s="2" t="s">
        <v>49</v>
      </c>
      <c r="D109" s="4">
        <v>5</v>
      </c>
      <c r="E109" s="4"/>
      <c r="P109" s="4">
        <v>90</v>
      </c>
      <c r="Q109" s="4">
        <v>90</v>
      </c>
      <c r="R109" s="4"/>
      <c r="S109" s="4">
        <v>100</v>
      </c>
      <c r="T109" s="4">
        <v>0</v>
      </c>
      <c r="U109" s="4" t="s">
        <v>119</v>
      </c>
      <c r="W109" s="2">
        <v>426</v>
      </c>
      <c r="X109" s="2">
        <v>426</v>
      </c>
    </row>
    <row r="110" spans="2:27" x14ac:dyDescent="0.25">
      <c r="B110" s="2">
        <v>52</v>
      </c>
      <c r="C110" s="2" t="s">
        <v>50</v>
      </c>
      <c r="D110" s="4">
        <v>5</v>
      </c>
      <c r="E110" s="4"/>
      <c r="P110" s="4">
        <v>120</v>
      </c>
      <c r="Q110" s="4">
        <v>120</v>
      </c>
      <c r="R110" s="4"/>
      <c r="S110" s="4">
        <v>100</v>
      </c>
      <c r="T110" s="4">
        <v>0</v>
      </c>
      <c r="U110" s="4" t="s">
        <v>119</v>
      </c>
      <c r="W110" s="2">
        <v>426</v>
      </c>
      <c r="X110" s="2">
        <v>426</v>
      </c>
    </row>
    <row r="111" spans="2:27" x14ac:dyDescent="0.25">
      <c r="B111" s="2">
        <v>53</v>
      </c>
      <c r="C111" s="2" t="s">
        <v>51</v>
      </c>
      <c r="D111" s="4">
        <v>5</v>
      </c>
      <c r="E111" s="4"/>
      <c r="P111" s="4">
        <v>1200</v>
      </c>
      <c r="Q111" s="4">
        <v>1200</v>
      </c>
      <c r="R111" s="4"/>
      <c r="S111" s="4">
        <v>100</v>
      </c>
      <c r="T111" s="4">
        <v>0</v>
      </c>
      <c r="U111" s="4" t="s">
        <v>119</v>
      </c>
      <c r="W111" s="2">
        <v>428</v>
      </c>
      <c r="X111" s="2">
        <v>428</v>
      </c>
    </row>
    <row r="112" spans="2:27" x14ac:dyDescent="0.25">
      <c r="B112" s="2">
        <v>54</v>
      </c>
      <c r="C112" s="2" t="s">
        <v>52</v>
      </c>
      <c r="D112" s="4">
        <v>5</v>
      </c>
      <c r="E112" s="4"/>
      <c r="P112" s="4">
        <v>1600</v>
      </c>
      <c r="Q112" s="4">
        <v>1600</v>
      </c>
      <c r="R112" s="4"/>
      <c r="S112" s="4">
        <v>100</v>
      </c>
      <c r="T112" s="4">
        <v>0</v>
      </c>
      <c r="U112" s="4" t="s">
        <v>119</v>
      </c>
      <c r="W112" s="2">
        <v>428</v>
      </c>
      <c r="X112" s="2">
        <v>428</v>
      </c>
    </row>
    <row r="113" spans="2:24" x14ac:dyDescent="0.25">
      <c r="B113" s="2">
        <v>55</v>
      </c>
      <c r="C113" s="2" t="s">
        <v>53</v>
      </c>
      <c r="D113" s="4">
        <v>5</v>
      </c>
      <c r="E113" s="4"/>
      <c r="P113" s="4">
        <v>1</v>
      </c>
      <c r="Q113" s="4">
        <v>1</v>
      </c>
      <c r="R113" s="4"/>
      <c r="S113" s="4">
        <v>100</v>
      </c>
      <c r="T113" s="4">
        <v>0</v>
      </c>
      <c r="U113" s="4" t="s">
        <v>119</v>
      </c>
      <c r="W113" s="2">
        <v>430</v>
      </c>
      <c r="X113" s="2">
        <v>430</v>
      </c>
    </row>
    <row r="114" spans="2:24" x14ac:dyDescent="0.25">
      <c r="B114" s="2">
        <v>56</v>
      </c>
      <c r="C114" s="2" t="s">
        <v>54</v>
      </c>
      <c r="D114" s="4">
        <v>5</v>
      </c>
      <c r="E114" s="4"/>
      <c r="P114" s="4">
        <v>1</v>
      </c>
      <c r="Q114" s="4">
        <v>1</v>
      </c>
      <c r="R114" s="4"/>
      <c r="S114" s="4">
        <v>100</v>
      </c>
      <c r="T114" s="4">
        <v>0</v>
      </c>
      <c r="U114" s="4" t="s">
        <v>119</v>
      </c>
      <c r="W114" s="2">
        <v>430</v>
      </c>
      <c r="X114" s="2">
        <v>430</v>
      </c>
    </row>
    <row r="115" spans="2:24" x14ac:dyDescent="0.25">
      <c r="B115" s="2">
        <v>57</v>
      </c>
      <c r="C115" s="2" t="s">
        <v>55</v>
      </c>
      <c r="D115" s="4">
        <v>5</v>
      </c>
      <c r="E115" s="4"/>
      <c r="P115" s="4">
        <v>1</v>
      </c>
      <c r="Q115" s="4">
        <v>1</v>
      </c>
      <c r="R115" s="4"/>
      <c r="S115" s="4">
        <v>100</v>
      </c>
      <c r="T115" s="4">
        <v>0</v>
      </c>
      <c r="U115" s="4" t="s">
        <v>119</v>
      </c>
      <c r="W115" s="2">
        <v>432</v>
      </c>
      <c r="X115" s="2">
        <v>432</v>
      </c>
    </row>
    <row r="116" spans="2:24" x14ac:dyDescent="0.25">
      <c r="B116" s="2">
        <v>58</v>
      </c>
      <c r="C116" s="2" t="s">
        <v>56</v>
      </c>
      <c r="D116" s="4">
        <v>5</v>
      </c>
      <c r="E116" s="4"/>
      <c r="P116" s="4">
        <v>1</v>
      </c>
      <c r="Q116" s="4">
        <v>1</v>
      </c>
      <c r="R116" s="4"/>
      <c r="S116" s="4">
        <v>100</v>
      </c>
      <c r="T116" s="4">
        <v>0</v>
      </c>
      <c r="U116" s="4" t="s">
        <v>119</v>
      </c>
      <c r="W116" s="2">
        <v>432</v>
      </c>
      <c r="X116" s="2">
        <v>432</v>
      </c>
    </row>
    <row r="117" spans="2:24" x14ac:dyDescent="0.25">
      <c r="B117" s="2">
        <v>59</v>
      </c>
      <c r="C117" s="2" t="s">
        <v>57</v>
      </c>
      <c r="D117" s="4">
        <v>5</v>
      </c>
      <c r="E117" s="4"/>
      <c r="P117" s="4">
        <v>1</v>
      </c>
      <c r="Q117" s="4">
        <v>1</v>
      </c>
      <c r="R117" s="4"/>
      <c r="S117" s="4">
        <v>100</v>
      </c>
      <c r="T117" s="4">
        <v>0</v>
      </c>
      <c r="U117" s="4" t="s">
        <v>119</v>
      </c>
      <c r="W117" s="2">
        <v>434</v>
      </c>
      <c r="X117" s="2">
        <v>434</v>
      </c>
    </row>
    <row r="118" spans="2:24" x14ac:dyDescent="0.25">
      <c r="B118" s="2">
        <v>60</v>
      </c>
      <c r="C118" s="2" t="s">
        <v>58</v>
      </c>
      <c r="D118" s="4">
        <v>5</v>
      </c>
      <c r="E118" s="4"/>
      <c r="P118" s="4">
        <v>1</v>
      </c>
      <c r="Q118" s="4">
        <v>1</v>
      </c>
      <c r="R118" s="4"/>
      <c r="S118" s="4">
        <v>100</v>
      </c>
      <c r="T118" s="4">
        <v>0</v>
      </c>
      <c r="U118" s="4" t="s">
        <v>119</v>
      </c>
      <c r="W118" s="2">
        <v>434</v>
      </c>
      <c r="X118" s="2">
        <v>434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2025-10-22T15:21:16Z</dcterms:modified>
</cp:coreProperties>
</file>