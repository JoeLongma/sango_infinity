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FE20E8E5-8CD4-40FE-9138-6D4E32AFD219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<sst xmlns="http://schemas.openxmlformats.org/spreadsheetml/2006/main" count="440" uniqueCount="199">
  <si>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</si>
  <si>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</si>
  <si>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</si>
  <si>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</si>
  <si>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</si>
  <si>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</si>
  <si>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</si>
  <si>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</si>
  <si>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</si>
  <si>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</si>
  <si>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</si>
  <si>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</si>
  <si>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</si>
  <si>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</si>
  <si>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</si>
  <si>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</si>
  <si>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</si>
  <si>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</si>
  <si>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</si>
  <si>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</si>
  <si>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</si>
  <si>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</si>
  <si>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</si>
  <si>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</si>
  <si>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</si>
  <si>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</si>
  <si>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</si>
  <si>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</si>
  <si>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</si>
  <si>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</si>
  <si>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</si>
  <si>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</si>
  <si>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</si>
  <si>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</si>
  <si>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</si>
  <si>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</si>
  <si>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</si>
  <si>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</si>
  <si>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</si>
  <si>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</si>
  <si>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</si>
  <si>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</si>
  <si>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</si>
  <si>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</si>
  <si>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</si>
  <si>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</si>
  <si>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</si>
  <si>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</si>
  <si>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</si>
  <si>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</si>
  <si>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</si>
  <si>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</si>
  <si>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</si>
  <si>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</si>
  <si>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</si>
  <si>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</si>
  <si>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</si>
  <si>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</si>
  <si>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</si>
  <si>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</si>
  <si>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</si>
  <si>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</si>
  <si>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</si>
  <si>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</si>
  <si>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</si>
  <si>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</si>
  <si>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</si>
  <si>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</si>
  <si>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</si>
  <si>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</si>
  <si>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</si>
  <si>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</si>
  <si>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</si>
  <si>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</si>
  <si>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</si>
  <si>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</si>
  <si>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</si>
  <si>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</si>
  <si>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</si>
  <si>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</si>
  <si>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</si>
  <si>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</si>
  <si>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</si>
  <si>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</si>
  <si>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</si>
  <si>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</si>
  <si>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</si>
  <si>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</si>
  <si>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</si>
  <si>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</si>
  <si>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</si>
  <si>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</si>
  <si>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</si>
  <si>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</si>
  <si>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</si>
  <si>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</si>
  <si>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</si>
  <si>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杂兵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</si>
  <si>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</si>
  <si>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</si>
  <si>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</si>
  <si>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</si>
  <si>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</si>
  <si>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</si>
  <si>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</si>
  <si>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</si>
  <si>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</si>
  <si>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</si>
  <si>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</si>
  <si>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</si>
  <si>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</si>
  <si>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</si>
  <si>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</si>
  <si>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</si>
  <si>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</si>
  <si>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</si>
  <si>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</si>
  <si>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</si>
  <si>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</si>
  <si>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</si>
  <si>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</si>
  <si>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</si>
  <si>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</si>
  <si>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</si>
  <si>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</si>
  <si>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</si>
  <si>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</si>
  <si>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</si>
  <si>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</si>
  <si>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</si>
  <si>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</si>
  <si>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</si>
  <si>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</si>
  <si>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</si>
  <si>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</si>
  <si>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</si>
  <si>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</si>
  <si>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</si>
  <si>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</si>
  <si>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</si>
  <si>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</si>
  <si>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</si>
  <si>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</si>
  <si>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</si>
  <si>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</si>
  <si>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</si>
  <si>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</si>
  <si>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</si>
  <si>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</si>
  <si>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</si>
  <si>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</si>
  <si>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11,10</t>
    <phoneticPr fontId="1" type="noConversion"/>
  </si>
  <si>
    <t>12,8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</si>
  <si>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</si>
  <si>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</si>
  <si>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</si>
  <si>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</si>
  <si>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</si>
  <si>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</si>
  <si>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9,10</t>
    <phoneticPr fontId="1" type="noConversion"/>
  </si>
  <si>
    <t>-1</t>
    <phoneticPr fontId="1" type="noConversion"/>
  </si>
  <si>
    <t>-2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</si>
  <si>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</si>
  <si>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</si>
  <si>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</si>
  <si>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</si>
  <si>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</si>
  <si>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</si>
  <si>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</si>
  <si>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</si>
  <si>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</si>
  <si>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</si>
  <si>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</si>
  <si>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</si>
  <si>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</si>
  <si>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</si>
  <si>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4845_7_0</t>
  </si>
  <si>
    <t>4845_7_1</t>
    <phoneticPr fontId="1" type="noConversion"/>
  </si>
  <si>
    <t>4845_7_2</t>
    <phoneticPr fontId="1" type="noConversion"/>
  </si>
  <si>
    <t>4845_7_3</t>
    <phoneticPr fontId="1" type="noConversion"/>
  </si>
  <si>
    <t>4845_7_4</t>
    <phoneticPr fontId="1" type="noConversion"/>
  </si>
  <si>
    <t>4845_7_9</t>
    <phoneticPr fontId="1" type="noConversion"/>
  </si>
  <si>
    <t>4845_7_10</t>
    <phoneticPr fontId="1" type="noConversion"/>
  </si>
  <si>
    <t>4845_7_11</t>
    <phoneticPr fontId="1" type="noConversion"/>
  </si>
  <si>
    <t>4845_7_5</t>
    <phoneticPr fontId="1" type="noConversion"/>
  </si>
  <si>
    <t>4845_7_8</t>
    <phoneticPr fontId="1" type="noConversion"/>
  </si>
  <si>
    <t>4845_7_6</t>
    <phoneticPr fontId="1" type="noConversion"/>
  </si>
  <si>
    <t>4845_7_7</t>
    <phoneticPr fontId="1" type="noConversion"/>
  </si>
  <si>
    <t>22</t>
    <phoneticPr fontId="1" type="noConversion"/>
  </si>
  <si>
    <t>0</t>
  </si>
  <si>
    <t>extraMoveCost</t>
    <phoneticPr fontId="1" type="noConversion"/>
  </si>
  <si>
    <t>0,0,0,0,0,0,4,0,0,0,0,0,0,0,0,0,0,0,0,0,3,0,0,0,0</t>
    <phoneticPr fontId="1" type="noConversion"/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</si>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</sst>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J71"/>
  <sheetViews>
    <sheetView tabSelected="1" zoomScale="93" zoomScaleNormal="93" workbookViewId="0">
      <pane xSplit="5" ySplit="4" topLeftCell="X5" activePane="bottomRight" state="frozen"/>
      <selection pane="topRight" activeCell="F1" sqref="F1"/>
      <selection pane="bottomLeft" activeCell="A5" sqref="A5"/>
      <selection pane="bottomRight" activeCell="AB12" sqref="AB12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18.2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22" style="2" bestFit="1" customWidth="1"/>
    <col min="29" max="29" width="76.5" style="2" bestFit="1" customWidth="1"/>
    <col min="30" max="30" width="33.625" style="2" customWidth="1"/>
    <col min="31" max="31" width="55.125" style="2" bestFit="1" customWidth="1"/>
    <col min="32" max="32" width="45.125" style="2" customWidth="1"/>
    <col min="33" max="33" width="41.875" style="2" customWidth="1"/>
    <col min="34" max="34" width="9.75" style="2" bestFit="1" customWidth="1"/>
    <col min="35" max="16384" width="9" style="2"/>
  </cols>
  <sheetData>
    <row r="1" spans="1:36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120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169</v>
      </c>
      <c r="O1" s="8" t="s">
        <v>111</v>
      </c>
      <c r="P1" s="8" t="s">
        <v>110</v>
      </c>
      <c r="Q1" s="20" t="s">
        <v>146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198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6"/>
    </row>
    <row r="2" spans="1:36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</row>
    <row r="3" spans="1:36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168</v>
      </c>
      <c r="O3" s="7" t="s">
        <v>109</v>
      </c>
      <c r="P3" s="7" t="s">
        <v>166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193</v>
      </c>
      <c r="AC3" s="7" t="s">
        <v>190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/>
      <c r="AJ3" s="7"/>
    </row>
    <row r="4" spans="1:36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194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</row>
    <row r="5" spans="1:36" x14ac:dyDescent="0.15">
      <c r="B5" s="4">
        <v>1</v>
      </c>
      <c r="C5" s="4" t="s">
        <v>97</v>
      </c>
      <c r="D5" s="4">
        <v>1</v>
      </c>
      <c r="E5" s="4" t="s">
        <v>97</v>
      </c>
      <c r="F5" s="18" t="s">
        <v>65</v>
      </c>
      <c r="G5" s="4">
        <v>65</v>
      </c>
      <c r="H5" s="4">
        <v>65</v>
      </c>
      <c r="I5" s="4">
        <v>30</v>
      </c>
      <c r="J5" s="4">
        <v>22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2" t="s">
        <v>66</v>
      </c>
      <c r="AE5" s="4" t="s">
        <v>27</v>
      </c>
      <c r="AF5" s="2" t="s">
        <v>176</v>
      </c>
      <c r="AG5" s="2" t="s">
        <v>112</v>
      </c>
      <c r="AH5" s="2" t="s">
        <v>61</v>
      </c>
      <c r="AI5" s="4"/>
    </row>
    <row r="6" spans="1:36" x14ac:dyDescent="0.1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117</v>
      </c>
      <c r="G6" s="4">
        <v>95</v>
      </c>
      <c r="H6" s="4">
        <v>85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170</v>
      </c>
      <c r="Q6" s="2" t="s">
        <v>147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195</v>
      </c>
      <c r="AC6" s="2" t="s">
        <v>66</v>
      </c>
      <c r="AE6" s="4" t="s">
        <v>28</v>
      </c>
      <c r="AF6" s="2" t="s">
        <v>177</v>
      </c>
      <c r="AG6" s="2" t="s">
        <v>113</v>
      </c>
      <c r="AH6" s="2" t="s">
        <v>60</v>
      </c>
      <c r="AI6" s="4"/>
    </row>
    <row r="7" spans="1:36" x14ac:dyDescent="0.15">
      <c r="B7" s="4">
        <v>3</v>
      </c>
      <c r="C7" s="4" t="s">
        <v>196</v>
      </c>
      <c r="D7" s="4">
        <v>3</v>
      </c>
      <c r="E7" s="4" t="s">
        <v>196</v>
      </c>
      <c r="F7" s="18" t="s">
        <v>118</v>
      </c>
      <c r="G7" s="4">
        <v>75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171</v>
      </c>
      <c r="Q7" s="2" t="s">
        <v>150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195</v>
      </c>
      <c r="AC7" s="2" t="s">
        <v>66</v>
      </c>
      <c r="AE7" s="4" t="s">
        <v>29</v>
      </c>
      <c r="AF7" s="2" t="s">
        <v>178</v>
      </c>
      <c r="AG7" s="2" t="s">
        <v>114</v>
      </c>
      <c r="AH7" s="2" t="s">
        <v>57</v>
      </c>
      <c r="AI7" s="4"/>
    </row>
    <row r="8" spans="1:36" x14ac:dyDescent="0.15">
      <c r="B8" s="4">
        <v>4</v>
      </c>
      <c r="C8" s="4" t="s">
        <v>197</v>
      </c>
      <c r="D8" s="4">
        <v>4</v>
      </c>
      <c r="E8" s="4" t="s">
        <v>197</v>
      </c>
      <c r="F8" s="18" t="s">
        <v>121</v>
      </c>
      <c r="G8" s="4">
        <v>85</v>
      </c>
      <c r="H8" s="4">
        <v>75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172</v>
      </c>
      <c r="Q8" s="2" t="s">
        <v>149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66</v>
      </c>
      <c r="AE8" s="4" t="s">
        <v>30</v>
      </c>
      <c r="AF8" s="2" t="s">
        <v>179</v>
      </c>
      <c r="AG8" s="2" t="s">
        <v>115</v>
      </c>
      <c r="AH8" s="2" t="s">
        <v>59</v>
      </c>
      <c r="AI8" s="4"/>
    </row>
    <row r="9" spans="1:36" x14ac:dyDescent="0.15">
      <c r="B9" s="4">
        <v>5</v>
      </c>
      <c r="C9" s="4" t="s">
        <v>95</v>
      </c>
      <c r="D9" s="4">
        <v>5</v>
      </c>
      <c r="E9" s="4" t="s">
        <v>95</v>
      </c>
      <c r="F9" s="18" t="s">
        <v>119</v>
      </c>
      <c r="G9" s="4">
        <v>105</v>
      </c>
      <c r="H9" s="4">
        <v>95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173</v>
      </c>
      <c r="Q9" s="2" t="s">
        <v>148</v>
      </c>
      <c r="R9" s="4"/>
      <c r="S9" s="4"/>
      <c r="T9" s="4"/>
      <c r="U9" s="4"/>
      <c r="V9" s="4"/>
      <c r="W9" s="4">
        <v>2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189</v>
      </c>
      <c r="AC9" s="2" t="s">
        <v>191</v>
      </c>
      <c r="AD9" s="2" t="s">
        <v>192</v>
      </c>
      <c r="AE9" s="4" t="s">
        <v>31</v>
      </c>
      <c r="AF9" s="2" t="s">
        <v>180</v>
      </c>
      <c r="AG9" s="2" t="s">
        <v>116</v>
      </c>
      <c r="AH9" s="2" t="s">
        <v>58</v>
      </c>
      <c r="AI9" s="4"/>
    </row>
    <row r="10" spans="1:36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189</v>
      </c>
      <c r="AC10" s="2" t="s">
        <v>66</v>
      </c>
      <c r="AE10" s="4" t="s">
        <v>39</v>
      </c>
      <c r="AG10" s="2" t="s">
        <v>137</v>
      </c>
      <c r="AI10" s="4"/>
    </row>
    <row r="11" spans="1:36" x14ac:dyDescent="0.1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189</v>
      </c>
      <c r="AC11" s="2" t="s">
        <v>66</v>
      </c>
      <c r="AE11" s="4" t="s">
        <v>40</v>
      </c>
      <c r="AG11" s="2" t="s">
        <v>138</v>
      </c>
      <c r="AI11" s="4"/>
    </row>
    <row r="12" spans="1:36" x14ac:dyDescent="0.15">
      <c r="B12" s="4">
        <v>8</v>
      </c>
      <c r="C12" s="4" t="s">
        <v>19</v>
      </c>
      <c r="D12" s="4">
        <v>6</v>
      </c>
      <c r="E12" s="4" t="s">
        <v>139</v>
      </c>
      <c r="F12" s="18" t="s">
        <v>144</v>
      </c>
      <c r="G12" s="4">
        <v>70</v>
      </c>
      <c r="H12" s="4">
        <v>80</v>
      </c>
      <c r="I12" s="2" t="s">
        <v>127</v>
      </c>
      <c r="J12" s="4">
        <v>16</v>
      </c>
      <c r="K12" s="4"/>
      <c r="L12" s="4"/>
      <c r="M12" s="2" t="s">
        <v>167</v>
      </c>
      <c r="N12" s="2" t="s">
        <v>174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189</v>
      </c>
      <c r="AC12" s="2" t="s">
        <v>66</v>
      </c>
      <c r="AE12" s="4" t="s">
        <v>36</v>
      </c>
      <c r="AF12" s="2" t="s">
        <v>181</v>
      </c>
      <c r="AG12" s="2" t="s">
        <v>141</v>
      </c>
      <c r="AI12" s="4"/>
    </row>
    <row r="13" spans="1:36" x14ac:dyDescent="0.15">
      <c r="B13" s="4">
        <v>9</v>
      </c>
      <c r="C13" s="4" t="s">
        <v>20</v>
      </c>
      <c r="D13" s="4">
        <v>6</v>
      </c>
      <c r="E13" s="4" t="s">
        <v>139</v>
      </c>
      <c r="F13" s="18" t="s">
        <v>140</v>
      </c>
      <c r="G13" s="4">
        <v>80</v>
      </c>
      <c r="H13" s="4">
        <v>100</v>
      </c>
      <c r="I13" s="2" t="s">
        <v>127</v>
      </c>
      <c r="J13" s="4">
        <v>20</v>
      </c>
      <c r="K13" s="4"/>
      <c r="L13" s="4"/>
      <c r="M13" s="2" t="s">
        <v>167</v>
      </c>
      <c r="N13" s="2" t="s">
        <v>174</v>
      </c>
      <c r="Q13" s="2" t="s">
        <v>151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189</v>
      </c>
      <c r="AC13" s="2" t="s">
        <v>66</v>
      </c>
      <c r="AE13" s="4" t="s">
        <v>37</v>
      </c>
      <c r="AF13" s="2" t="s">
        <v>182</v>
      </c>
      <c r="AG13" s="2" t="s">
        <v>142</v>
      </c>
      <c r="AI13" s="4"/>
    </row>
    <row r="14" spans="1:36" x14ac:dyDescent="0.15">
      <c r="B14" s="4">
        <v>10</v>
      </c>
      <c r="C14" s="4" t="s">
        <v>21</v>
      </c>
      <c r="D14" s="4">
        <v>6</v>
      </c>
      <c r="E14" s="4" t="s">
        <v>139</v>
      </c>
      <c r="F14" s="18" t="s">
        <v>145</v>
      </c>
      <c r="G14" s="4">
        <v>90</v>
      </c>
      <c r="H14" s="4">
        <v>120</v>
      </c>
      <c r="I14" s="2" t="s">
        <v>127</v>
      </c>
      <c r="J14" s="4">
        <v>20</v>
      </c>
      <c r="K14" s="4"/>
      <c r="L14" s="4"/>
      <c r="M14" s="2" t="s">
        <v>167</v>
      </c>
      <c r="N14" s="2" t="s">
        <v>174</v>
      </c>
      <c r="Q14" s="2" t="s">
        <v>152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189</v>
      </c>
      <c r="AC14" s="2" t="s">
        <v>66</v>
      </c>
      <c r="AE14" s="4" t="s">
        <v>38</v>
      </c>
      <c r="AF14" s="2" t="s">
        <v>183</v>
      </c>
      <c r="AG14" s="2" t="s">
        <v>143</v>
      </c>
      <c r="AI14" s="4"/>
    </row>
    <row r="15" spans="1:36" x14ac:dyDescent="0.15">
      <c r="B15" s="4">
        <v>11</v>
      </c>
      <c r="C15" s="4" t="s">
        <v>153</v>
      </c>
      <c r="D15" s="4">
        <v>8</v>
      </c>
      <c r="E15" s="4" t="s">
        <v>153</v>
      </c>
      <c r="F15" s="18" t="s">
        <v>165</v>
      </c>
      <c r="G15" s="4">
        <v>70</v>
      </c>
      <c r="H15" s="4">
        <v>90</v>
      </c>
      <c r="I15" s="2" t="s">
        <v>127</v>
      </c>
      <c r="J15" s="4">
        <v>18</v>
      </c>
      <c r="K15" s="4"/>
      <c r="L15" s="4"/>
      <c r="M15" s="2" t="s">
        <v>70</v>
      </c>
      <c r="N15" s="2" t="s">
        <v>175</v>
      </c>
      <c r="P15" s="2" t="s">
        <v>160</v>
      </c>
      <c r="Q15" s="2" t="s">
        <v>158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189</v>
      </c>
      <c r="AC15" s="2" t="s">
        <v>66</v>
      </c>
      <c r="AE15" s="4" t="s">
        <v>32</v>
      </c>
      <c r="AF15" s="2" t="s">
        <v>184</v>
      </c>
      <c r="AG15" s="2" t="s">
        <v>155</v>
      </c>
      <c r="AH15" s="2" t="s">
        <v>58</v>
      </c>
      <c r="AI15" s="4"/>
    </row>
    <row r="16" spans="1:36" x14ac:dyDescent="0.15">
      <c r="B16" s="4">
        <v>12</v>
      </c>
      <c r="C16" s="4" t="s">
        <v>162</v>
      </c>
      <c r="D16" s="4">
        <v>8</v>
      </c>
      <c r="E16" s="4" t="s">
        <v>153</v>
      </c>
      <c r="F16" s="18" t="s">
        <v>164</v>
      </c>
      <c r="G16" s="4">
        <v>90</v>
      </c>
      <c r="H16" s="4">
        <v>90</v>
      </c>
      <c r="I16" s="2" t="s">
        <v>127</v>
      </c>
      <c r="J16" s="4">
        <v>18</v>
      </c>
      <c r="K16" s="4"/>
      <c r="L16" s="4"/>
      <c r="M16" s="2" t="s">
        <v>70</v>
      </c>
      <c r="N16" s="2" t="s">
        <v>175</v>
      </c>
      <c r="P16" s="2" t="s">
        <v>65</v>
      </c>
      <c r="Q16" s="2" t="s">
        <v>158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189</v>
      </c>
      <c r="AC16" s="2" t="s">
        <v>66</v>
      </c>
      <c r="AE16" s="4" t="s">
        <v>35</v>
      </c>
      <c r="AF16" s="2" t="s">
        <v>185</v>
      </c>
      <c r="AG16" s="2" t="s">
        <v>155</v>
      </c>
      <c r="AH16" s="2" t="s">
        <v>57</v>
      </c>
      <c r="AI16" s="4"/>
    </row>
    <row r="17" spans="2:35" x14ac:dyDescent="0.15">
      <c r="B17" s="4">
        <v>13</v>
      </c>
      <c r="C17" s="4" t="s">
        <v>17</v>
      </c>
      <c r="D17" s="4">
        <v>9</v>
      </c>
      <c r="E17" s="4" t="s">
        <v>154</v>
      </c>
      <c r="F17" s="18" t="s">
        <v>163</v>
      </c>
      <c r="G17" s="4">
        <v>80</v>
      </c>
      <c r="H17" s="4">
        <v>80</v>
      </c>
      <c r="I17" s="2" t="s">
        <v>127</v>
      </c>
      <c r="J17" s="4">
        <v>18</v>
      </c>
      <c r="K17" s="4"/>
      <c r="L17" s="4"/>
      <c r="M17" s="2" t="s">
        <v>70</v>
      </c>
      <c r="N17" s="2" t="s">
        <v>175</v>
      </c>
      <c r="P17" s="2" t="s">
        <v>161</v>
      </c>
      <c r="Q17" s="2" t="s">
        <v>159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189</v>
      </c>
      <c r="AC17" s="2" t="s">
        <v>66</v>
      </c>
      <c r="AE17" s="4" t="s">
        <v>33</v>
      </c>
      <c r="AF17" s="2" t="s">
        <v>186</v>
      </c>
      <c r="AG17" s="2" t="s">
        <v>156</v>
      </c>
      <c r="AH17" s="2" t="s">
        <v>58</v>
      </c>
      <c r="AI17" s="4"/>
    </row>
    <row r="18" spans="2:35" ht="14.25" customHeight="1" x14ac:dyDescent="0.15">
      <c r="B18" s="4">
        <v>14</v>
      </c>
      <c r="C18" s="4" t="s">
        <v>18</v>
      </c>
      <c r="D18" s="4">
        <v>9</v>
      </c>
      <c r="E18" s="4" t="s">
        <v>154</v>
      </c>
      <c r="F18" s="18" t="s">
        <v>122</v>
      </c>
      <c r="G18" s="4">
        <v>100</v>
      </c>
      <c r="H18" s="4">
        <v>80</v>
      </c>
      <c r="I18" s="2" t="s">
        <v>127</v>
      </c>
      <c r="J18" s="4">
        <v>18</v>
      </c>
      <c r="K18" s="4"/>
      <c r="L18" s="4"/>
      <c r="M18" s="2" t="s">
        <v>70</v>
      </c>
      <c r="N18" s="2" t="s">
        <v>175</v>
      </c>
      <c r="P18" s="2" t="s">
        <v>67</v>
      </c>
      <c r="Q18" s="2" t="s">
        <v>159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189</v>
      </c>
      <c r="AC18" s="2" t="s">
        <v>66</v>
      </c>
      <c r="AE18" s="4" t="s">
        <v>34</v>
      </c>
      <c r="AF18" s="2" t="s">
        <v>187</v>
      </c>
      <c r="AG18" s="2" t="s">
        <v>156</v>
      </c>
      <c r="AH18" s="2" t="s">
        <v>58</v>
      </c>
      <c r="AI18" s="4"/>
    </row>
    <row r="19" spans="2:35" x14ac:dyDescent="0.15">
      <c r="B19" s="4">
        <v>15</v>
      </c>
      <c r="C19" s="2" t="s">
        <v>98</v>
      </c>
      <c r="D19" s="4">
        <v>3</v>
      </c>
      <c r="E19" s="4" t="str">
        <f>VLOOKUP(D19,$D$6:$E$9,2,0)</f>
        <v>戟兵</v>
      </c>
      <c r="F19" s="18" t="s">
        <v>118</v>
      </c>
      <c r="G19" s="2" t="s">
        <v>125</v>
      </c>
      <c r="H19" s="2" t="s">
        <v>127</v>
      </c>
      <c r="I19" s="2" t="s">
        <v>127</v>
      </c>
      <c r="J19" s="2" t="s">
        <v>188</v>
      </c>
      <c r="M19" s="2" t="s">
        <v>67</v>
      </c>
      <c r="N19" s="2" t="s">
        <v>171</v>
      </c>
      <c r="O19" s="4">
        <v>8</v>
      </c>
      <c r="AB19" s="2" t="s">
        <v>195</v>
      </c>
      <c r="AC19" s="2" t="s">
        <v>189</v>
      </c>
    </row>
    <row r="20" spans="2:35" x14ac:dyDescent="0.15">
      <c r="B20" s="4">
        <v>20</v>
      </c>
      <c r="C20" s="2" t="s">
        <v>108</v>
      </c>
      <c r="D20" s="4">
        <v>3</v>
      </c>
      <c r="E20" s="4" t="str">
        <f>VLOOKUP(D20,$D$6:$E$9,2,0)</f>
        <v>戟兵</v>
      </c>
      <c r="F20" s="18" t="s">
        <v>118</v>
      </c>
      <c r="G20" s="2" t="s">
        <v>124</v>
      </c>
      <c r="H20" s="2" t="s">
        <v>131</v>
      </c>
      <c r="I20" s="2" t="s">
        <v>126</v>
      </c>
      <c r="J20" s="2" t="s">
        <v>188</v>
      </c>
      <c r="M20" s="2" t="s">
        <v>67</v>
      </c>
      <c r="N20" s="2" t="s">
        <v>171</v>
      </c>
      <c r="O20" s="4">
        <v>13</v>
      </c>
      <c r="AB20" s="2" t="s">
        <v>195</v>
      </c>
      <c r="AC20" s="2" t="s">
        <v>189</v>
      </c>
    </row>
    <row r="21" spans="2:35" x14ac:dyDescent="0.15">
      <c r="B21" s="4">
        <v>23</v>
      </c>
      <c r="C21" s="2" t="s">
        <v>102</v>
      </c>
      <c r="D21" s="4">
        <v>3</v>
      </c>
      <c r="E21" s="4" t="str">
        <f>VLOOKUP(D21,$D$6:$E$9,2,0)</f>
        <v>戟兵</v>
      </c>
      <c r="F21" s="18" t="s">
        <v>118</v>
      </c>
      <c r="G21" s="2" t="s">
        <v>124</v>
      </c>
      <c r="H21" s="2" t="s">
        <v>134</v>
      </c>
      <c r="I21" s="2" t="s">
        <v>126</v>
      </c>
      <c r="J21" s="2" t="s">
        <v>188</v>
      </c>
      <c r="M21" s="2" t="s">
        <v>67</v>
      </c>
      <c r="N21" s="2" t="s">
        <v>171</v>
      </c>
      <c r="O21" s="4">
        <v>16</v>
      </c>
      <c r="AB21" s="2" t="s">
        <v>195</v>
      </c>
      <c r="AC21" s="2" t="s">
        <v>189</v>
      </c>
    </row>
    <row r="22" spans="2:35" x14ac:dyDescent="0.15">
      <c r="B22" s="4">
        <v>16</v>
      </c>
      <c r="C22" s="2" t="s">
        <v>106</v>
      </c>
      <c r="D22" s="4">
        <v>2</v>
      </c>
      <c r="E22" s="4" t="str">
        <f t="shared" ref="E22:E30" si="0">VLOOKUP(D22,$D$6:$E$9,2,0)</f>
        <v>枪兵</v>
      </c>
      <c r="F22" s="18" t="s">
        <v>117</v>
      </c>
      <c r="G22" s="2" t="s">
        <v>125</v>
      </c>
      <c r="H22" s="2" t="s">
        <v>127</v>
      </c>
      <c r="I22" s="2" t="s">
        <v>127</v>
      </c>
      <c r="J22" s="2" t="s">
        <v>188</v>
      </c>
      <c r="M22" s="2" t="s">
        <v>65</v>
      </c>
      <c r="N22" s="2" t="s">
        <v>170</v>
      </c>
      <c r="O22" s="4">
        <v>9</v>
      </c>
      <c r="AB22" s="2" t="s">
        <v>195</v>
      </c>
      <c r="AC22" s="2" t="s">
        <v>189</v>
      </c>
    </row>
    <row r="23" spans="2:35" x14ac:dyDescent="0.15">
      <c r="B23" s="4">
        <v>17</v>
      </c>
      <c r="C23" s="2" t="s">
        <v>99</v>
      </c>
      <c r="D23" s="4">
        <v>2</v>
      </c>
      <c r="E23" s="4" t="str">
        <f t="shared" si="0"/>
        <v>枪兵</v>
      </c>
      <c r="F23" s="18" t="s">
        <v>117</v>
      </c>
      <c r="G23" s="2" t="s">
        <v>124</v>
      </c>
      <c r="H23" s="2" t="s">
        <v>128</v>
      </c>
      <c r="I23" s="2" t="s">
        <v>126</v>
      </c>
      <c r="J23" s="2" t="s">
        <v>188</v>
      </c>
      <c r="M23" s="2" t="s">
        <v>65</v>
      </c>
      <c r="N23" s="2" t="s">
        <v>170</v>
      </c>
      <c r="O23" s="4">
        <v>10</v>
      </c>
      <c r="AB23" s="2" t="s">
        <v>195</v>
      </c>
      <c r="AC23" s="2" t="s">
        <v>189</v>
      </c>
    </row>
    <row r="24" spans="2:35" x14ac:dyDescent="0.15">
      <c r="B24" s="4">
        <v>19</v>
      </c>
      <c r="C24" s="2" t="s">
        <v>107</v>
      </c>
      <c r="D24" s="4">
        <v>2</v>
      </c>
      <c r="E24" s="4" t="str">
        <f>VLOOKUP(D24,$D$6:$E$9,2,0)</f>
        <v>枪兵</v>
      </c>
      <c r="F24" s="18" t="s">
        <v>117</v>
      </c>
      <c r="G24" s="2" t="s">
        <v>124</v>
      </c>
      <c r="H24" s="2" t="s">
        <v>130</v>
      </c>
      <c r="I24" s="2" t="s">
        <v>126</v>
      </c>
      <c r="J24" s="2" t="s">
        <v>188</v>
      </c>
      <c r="M24" s="2" t="s">
        <v>65</v>
      </c>
      <c r="N24" s="2" t="s">
        <v>170</v>
      </c>
      <c r="O24" s="4">
        <v>12</v>
      </c>
      <c r="AB24" s="2" t="s">
        <v>195</v>
      </c>
      <c r="AC24" s="2" t="s">
        <v>189</v>
      </c>
    </row>
    <row r="25" spans="2:35" x14ac:dyDescent="0.15">
      <c r="B25" s="4">
        <v>18</v>
      </c>
      <c r="C25" s="2" t="s">
        <v>100</v>
      </c>
      <c r="D25" s="4">
        <v>5</v>
      </c>
      <c r="E25" s="4" t="str">
        <f t="shared" si="0"/>
        <v>骑兵</v>
      </c>
      <c r="F25" s="18" t="s">
        <v>119</v>
      </c>
      <c r="G25" s="2" t="s">
        <v>124</v>
      </c>
      <c r="H25" s="2" t="s">
        <v>129</v>
      </c>
      <c r="I25" s="2" t="s">
        <v>126</v>
      </c>
      <c r="J25" s="4">
        <v>28</v>
      </c>
      <c r="M25" s="2" t="s">
        <v>69</v>
      </c>
      <c r="N25" s="2" t="s">
        <v>173</v>
      </c>
      <c r="O25" s="4">
        <v>11</v>
      </c>
      <c r="AB25" s="2" t="s">
        <v>189</v>
      </c>
      <c r="AC25" s="2" t="s">
        <v>191</v>
      </c>
      <c r="AD25" s="2" t="s">
        <v>192</v>
      </c>
    </row>
    <row r="26" spans="2:35" x14ac:dyDescent="0.15">
      <c r="B26" s="4">
        <v>21</v>
      </c>
      <c r="C26" s="2" t="s">
        <v>101</v>
      </c>
      <c r="D26" s="4">
        <v>5</v>
      </c>
      <c r="E26" s="4" t="str">
        <f t="shared" si="0"/>
        <v>骑兵</v>
      </c>
      <c r="F26" s="18" t="s">
        <v>119</v>
      </c>
      <c r="G26" s="2" t="s">
        <v>124</v>
      </c>
      <c r="H26" s="2" t="s">
        <v>132</v>
      </c>
      <c r="I26" s="2" t="s">
        <v>126</v>
      </c>
      <c r="J26" s="4">
        <v>28</v>
      </c>
      <c r="M26" s="2" t="s">
        <v>69</v>
      </c>
      <c r="N26" s="2" t="s">
        <v>173</v>
      </c>
      <c r="O26" s="4">
        <v>14</v>
      </c>
      <c r="AB26" s="2" t="s">
        <v>189</v>
      </c>
      <c r="AC26" s="2" t="s">
        <v>191</v>
      </c>
      <c r="AD26" s="2" t="s">
        <v>192</v>
      </c>
    </row>
    <row r="27" spans="2:35" x14ac:dyDescent="0.15">
      <c r="B27" s="4">
        <v>22</v>
      </c>
      <c r="C27" s="2" t="s">
        <v>157</v>
      </c>
      <c r="D27" s="4">
        <v>5</v>
      </c>
      <c r="E27" s="4" t="str">
        <f t="shared" si="0"/>
        <v>骑兵</v>
      </c>
      <c r="F27" s="18" t="s">
        <v>119</v>
      </c>
      <c r="G27" s="2" t="s">
        <v>124</v>
      </c>
      <c r="H27" s="2" t="s">
        <v>133</v>
      </c>
      <c r="I27" s="2" t="s">
        <v>126</v>
      </c>
      <c r="J27" s="4">
        <v>28</v>
      </c>
      <c r="M27" s="2" t="s">
        <v>69</v>
      </c>
      <c r="N27" s="2" t="s">
        <v>173</v>
      </c>
      <c r="O27" s="4">
        <v>15</v>
      </c>
      <c r="AB27" s="2" t="s">
        <v>189</v>
      </c>
      <c r="AC27" s="2" t="s">
        <v>191</v>
      </c>
      <c r="AD27" s="2" t="s">
        <v>192</v>
      </c>
    </row>
    <row r="28" spans="2:35" x14ac:dyDescent="0.15">
      <c r="B28" s="4">
        <v>24</v>
      </c>
      <c r="C28" s="4" t="s">
        <v>103</v>
      </c>
      <c r="D28" s="4">
        <v>5</v>
      </c>
      <c r="E28" s="4" t="str">
        <f t="shared" si="0"/>
        <v>骑兵</v>
      </c>
      <c r="F28" s="18" t="s">
        <v>119</v>
      </c>
      <c r="G28" s="2" t="s">
        <v>124</v>
      </c>
      <c r="H28" s="2" t="s">
        <v>135</v>
      </c>
      <c r="I28" s="2" t="s">
        <v>126</v>
      </c>
      <c r="J28" s="4">
        <v>22</v>
      </c>
      <c r="M28" s="2" t="s">
        <v>69</v>
      </c>
      <c r="N28" s="2" t="s">
        <v>173</v>
      </c>
      <c r="O28" s="4">
        <v>17</v>
      </c>
      <c r="AB28" s="2" t="s">
        <v>189</v>
      </c>
      <c r="AC28" s="2" t="s">
        <v>191</v>
      </c>
      <c r="AD28" s="2" t="s">
        <v>192</v>
      </c>
      <c r="AE28" s="4"/>
      <c r="AI28" s="4"/>
    </row>
    <row r="29" spans="2:35" x14ac:dyDescent="0.15">
      <c r="B29" s="4">
        <v>25</v>
      </c>
      <c r="C29" s="4" t="s">
        <v>104</v>
      </c>
      <c r="D29" s="4">
        <v>4</v>
      </c>
      <c r="E29" s="4" t="str">
        <f t="shared" si="0"/>
        <v>弩兵</v>
      </c>
      <c r="F29" s="18" t="s">
        <v>121</v>
      </c>
      <c r="G29" s="2" t="s">
        <v>124</v>
      </c>
      <c r="H29" s="2" t="s">
        <v>136</v>
      </c>
      <c r="I29" s="2" t="s">
        <v>126</v>
      </c>
      <c r="J29" s="2" t="s">
        <v>188</v>
      </c>
      <c r="M29" s="2" t="s">
        <v>68</v>
      </c>
      <c r="N29" s="2" t="s">
        <v>172</v>
      </c>
      <c r="O29" s="2" t="s">
        <v>122</v>
      </c>
      <c r="AB29" s="2" t="s">
        <v>70</v>
      </c>
      <c r="AC29" s="2" t="s">
        <v>189</v>
      </c>
      <c r="AE29" s="4"/>
      <c r="AI29" s="4"/>
    </row>
    <row r="30" spans="2:35" x14ac:dyDescent="0.15">
      <c r="B30" s="4">
        <v>26</v>
      </c>
      <c r="C30" s="2" t="s">
        <v>105</v>
      </c>
      <c r="D30" s="4">
        <v>4</v>
      </c>
      <c r="E30" s="4" t="str">
        <f t="shared" si="0"/>
        <v>弩兵</v>
      </c>
      <c r="F30" s="18" t="s">
        <v>121</v>
      </c>
      <c r="G30" s="2" t="s">
        <v>124</v>
      </c>
      <c r="H30" s="2" t="s">
        <v>124</v>
      </c>
      <c r="I30" s="2" t="s">
        <v>126</v>
      </c>
      <c r="J30" s="2" t="s">
        <v>188</v>
      </c>
      <c r="M30" s="2" t="s">
        <v>68</v>
      </c>
      <c r="N30" s="2" t="s">
        <v>172</v>
      </c>
      <c r="O30" s="2" t="s">
        <v>123</v>
      </c>
      <c r="AB30" s="2" t="s">
        <v>70</v>
      </c>
      <c r="AC30" s="2" t="s">
        <v>189</v>
      </c>
    </row>
    <row r="39" spans="2:35" x14ac:dyDescent="0.15">
      <c r="B39" s="4"/>
      <c r="C39" s="4"/>
      <c r="D39" s="4"/>
      <c r="E39" s="4"/>
      <c r="AE39" s="4"/>
      <c r="AI39" s="4"/>
    </row>
    <row r="40" spans="2:35" ht="12.75" customHeight="1" x14ac:dyDescent="0.1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I40" s="4"/>
    </row>
    <row r="41" spans="2:35" x14ac:dyDescent="0.1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I41" s="4"/>
    </row>
    <row r="42" spans="2:35" x14ac:dyDescent="0.15">
      <c r="D42" s="4"/>
      <c r="E42" s="4"/>
      <c r="AE42" s="4"/>
      <c r="AI42" s="4"/>
    </row>
    <row r="43" spans="2:35" x14ac:dyDescent="0.15">
      <c r="D43" s="4"/>
      <c r="E43" s="4"/>
      <c r="AE43" s="4"/>
      <c r="AI43" s="4"/>
    </row>
    <row r="44" spans="2:35" x14ac:dyDescent="0.15">
      <c r="D44" s="4"/>
      <c r="E44" s="4"/>
      <c r="AE44" s="4"/>
      <c r="AI44" s="4"/>
    </row>
    <row r="45" spans="2:35" x14ac:dyDescent="0.15">
      <c r="D45" s="4"/>
      <c r="E45" s="4"/>
      <c r="AE45" s="4"/>
      <c r="AI45" s="4"/>
    </row>
    <row r="46" spans="2:35" x14ac:dyDescent="0.15">
      <c r="D46" s="4"/>
      <c r="E46" s="4"/>
      <c r="AE46" s="4"/>
      <c r="AI46" s="4"/>
    </row>
    <row r="47" spans="2:35" x14ac:dyDescent="0.15">
      <c r="D47" s="4"/>
      <c r="E47" s="4"/>
      <c r="AE47" s="4"/>
      <c r="AI47" s="4"/>
    </row>
    <row r="48" spans="2:35" x14ac:dyDescent="0.15">
      <c r="D48" s="4"/>
      <c r="E48" s="4"/>
      <c r="AE48" s="4"/>
      <c r="AI48" s="4"/>
    </row>
    <row r="49" spans="4:31" x14ac:dyDescent="0.15">
      <c r="D49" s="4"/>
      <c r="E49" s="4"/>
      <c r="AE49" s="4"/>
    </row>
    <row r="50" spans="4:31" x14ac:dyDescent="0.15">
      <c r="D50" s="4"/>
      <c r="E50" s="4"/>
      <c r="AE50" s="4"/>
    </row>
    <row r="51" spans="4:31" x14ac:dyDescent="0.15">
      <c r="D51" s="4"/>
      <c r="E51" s="4"/>
      <c r="AE51" s="4"/>
    </row>
    <row r="52" spans="4:31" x14ac:dyDescent="0.15">
      <c r="D52" s="4"/>
      <c r="E52" s="4"/>
      <c r="AE52" s="4"/>
    </row>
    <row r="53" spans="4:31" x14ac:dyDescent="0.15">
      <c r="D53" s="4"/>
      <c r="E53" s="4"/>
      <c r="AE53" s="4"/>
    </row>
    <row r="54" spans="4:31" x14ac:dyDescent="0.15">
      <c r="D54" s="4"/>
      <c r="E54" s="4"/>
      <c r="AE54" s="4"/>
    </row>
    <row r="55" spans="4:31" x14ac:dyDescent="0.15">
      <c r="D55" s="4"/>
      <c r="E55" s="4"/>
      <c r="AE55" s="4"/>
    </row>
    <row r="56" spans="4:31" x14ac:dyDescent="0.15">
      <c r="D56" s="4"/>
      <c r="E56" s="4"/>
      <c r="AE56" s="4"/>
    </row>
    <row r="57" spans="4:31" x14ac:dyDescent="0.15">
      <c r="D57" s="4"/>
      <c r="E57" s="4"/>
      <c r="AE57" s="4"/>
    </row>
    <row r="58" spans="4:31" x14ac:dyDescent="0.15">
      <c r="D58" s="4"/>
      <c r="E58" s="4"/>
      <c r="AE58" s="4"/>
    </row>
    <row r="59" spans="4:31" x14ac:dyDescent="0.15">
      <c r="D59" s="4"/>
      <c r="E59" s="4"/>
      <c r="AE59" s="4"/>
    </row>
    <row r="60" spans="4:31" x14ac:dyDescent="0.15">
      <c r="D60" s="4"/>
      <c r="E60" s="4"/>
      <c r="AE60" s="4"/>
    </row>
    <row r="61" spans="4:31" x14ac:dyDescent="0.15">
      <c r="D61" s="4"/>
      <c r="E61" s="4"/>
      <c r="AE61" s="4"/>
    </row>
    <row r="62" spans="4:31" x14ac:dyDescent="0.15">
      <c r="D62" s="4"/>
      <c r="E62" s="4"/>
      <c r="AE62" s="4"/>
    </row>
    <row r="63" spans="4:31" x14ac:dyDescent="0.15">
      <c r="D63" s="4"/>
      <c r="E63" s="4"/>
      <c r="AE63" s="4"/>
    </row>
    <row r="64" spans="4:31" x14ac:dyDescent="0.15">
      <c r="D64" s="4"/>
      <c r="E64" s="4"/>
      <c r="AE64" s="4"/>
    </row>
    <row r="65" spans="4:31" x14ac:dyDescent="0.15">
      <c r="D65" s="4"/>
      <c r="E65" s="4"/>
      <c r="AE65" s="4"/>
    </row>
    <row r="66" spans="4:31" x14ac:dyDescent="0.15">
      <c r="D66" s="4"/>
      <c r="E66" s="4"/>
      <c r="AE66" s="4"/>
    </row>
    <row r="67" spans="4:31" x14ac:dyDescent="0.15">
      <c r="D67" s="4"/>
      <c r="E67" s="4"/>
      <c r="AE67" s="4"/>
    </row>
    <row r="68" spans="4:31" x14ac:dyDescent="0.15">
      <c r="D68" s="4"/>
      <c r="E68" s="4"/>
      <c r="AE68" s="4"/>
    </row>
    <row r="69" spans="4:31" x14ac:dyDescent="0.15">
      <c r="D69" s="4"/>
      <c r="E69" s="4"/>
      <c r="AE69" s="4"/>
    </row>
    <row r="70" spans="4:31" x14ac:dyDescent="0.15">
      <c r="D70" s="4"/>
      <c r="E70" s="4"/>
      <c r="AE70" s="4"/>
    </row>
    <row r="71" spans="4:31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2025-12-30T04:01:42Z</dcterms:modified>
</cp:coreProperties>
</file>