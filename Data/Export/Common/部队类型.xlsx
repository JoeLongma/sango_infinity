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B7A38854-496E-463A-A1D4-90495FF5D0E3}" xr6:coauthVersionLast="47" xr6:coauthVersionMax="47" xr10:uidLastSave="{00000000-0000-0000-0000-000000000000}"/>
  <bookViews>
    <workbookView xWindow="-110" yWindow="-110" windowWidth="25820" windowHeight="1550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<sst xmlns="http://schemas.openxmlformats.org/spreadsheetml/2006/main" count="408" uniqueCount="196">
  <si>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</si>
  <si>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</si>
  <si>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</si>
  <si>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</si>
  <si>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</si>
  <si>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</si>
  <si>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</si>
  <si>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</si>
  <si>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</si>
  <si>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</si>
  <si>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</si>
  <si>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</si>
  <si>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</si>
  <si>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</si>
  <si>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</si>
  <si>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</si>
  <si>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</si>
  <si>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</si>
  <si>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</si>
  <si>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</si>
  <si>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</si>
  <si>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</si>
  <si>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</si>
  <si>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</si>
  <si>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</si>
  <si>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</si>
  <si>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</si>
  <si>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</si>
  <si>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</si>
  <si>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</si>
  <si>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</si>
  <si>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</si>
  <si>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</si>
  <si>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</si>
  <si>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</si>
  <si>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</si>
  <si>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</si>
  <si>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</si>
  <si>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</si>
  <si>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</si>
  <si>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</si>
  <si>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</si>
  <si>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</si>
  <si>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</si>
  <si>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</si>
  <si>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</si>
  <si>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</si>
  <si>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</si>
  <si>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</si>
  <si>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</si>
  <si>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</si>
  <si>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</si>
  <si>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</si>
  <si>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</si>
  <si>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</si>
  <si>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</si>
  <si>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</si>
  <si>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</si>
  <si>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</si>
  <si>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</si>
  <si>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</si>
  <si>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</si>
  <si>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</si>
  <si>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</si>
  <si>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</si>
  <si>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</si>
  <si>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</si>
  <si>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</si>
  <si>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</si>
  <si>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</si>
  <si>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</si>
  <si>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</si>
  <si>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</si>
  <si>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</si>
  <si>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</si>
  <si>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</si>
  <si>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</si>
  <si>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</si>
  <si>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</si>
  <si>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</si>
  <si>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</si>
  <si>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</si>
  <si>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</si>
  <si>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</si>
  <si>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</si>
  <si>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</si>
  <si>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</si>
  <si>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</si>
  <si>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</si>
  <si>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</si>
  <si>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</si>
  <si>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</si>
  <si>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</si>
  <si>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</si>
  <si>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</si>
  <si>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</si>
  <si>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</si>
  <si>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</si>
  <si>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</si>
  <si>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</si>
  <si>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</si>
  <si>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</si>
  <si>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</si>
  <si>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刀兵</t>
    <phoneticPr fontId="1" type="noConversion"/>
  </si>
  <si>
    <t>杂兵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</si>
  <si>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</si>
  <si>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</si>
  <si>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</si>
  <si>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</si>
  <si>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</si>
  <si>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</si>
  <si>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</si>
  <si>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</si>
  <si>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</si>
  <si>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</si>
  <si>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</si>
  <si>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</si>
  <si>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</si>
  <si>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</si>
  <si>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</si>
  <si>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</si>
  <si>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</si>
  <si>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</si>
  <si>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</si>
  <si>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</si>
  <si>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</si>
  <si>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</si>
  <si>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</si>
  <si>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</si>
  <si>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</si>
  <si>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</si>
  <si>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</si>
  <si>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</si>
  <si>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</si>
  <si>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</si>
  <si>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</si>
  <si>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</si>
  <si>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</si>
  <si>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</si>
  <si>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</si>
  <si>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</si>
  <si>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</si>
  <si>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</si>
  <si>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</si>
  <si>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</si>
  <si>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</si>
  <si>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</si>
  <si>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</si>
  <si>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</si>
  <si>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</si>
  <si>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</si>
  <si>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</si>
  <si>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</si>
  <si>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</si>
  <si>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</si>
  <si>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</si>
  <si>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</si>
  <si>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</si>
  <si>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10,50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</si>
  <si>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</si>
  <si>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</si>
  <si>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</si>
  <si>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</si>
  <si>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</si>
  <si>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</si>
  <si>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</si>
  <si>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</si>
  <si>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</si>
  <si>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</si>
  <si>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</si>
  <si>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</si>
  <si>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</si>
  <si>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</si>
  <si>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</si>
  <si>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</si>
  <si>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</si>
  <si>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</si>
  <si>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</si>
  <si>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</si>
  <si>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</si>
  <si>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</si>
  <si>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</si>
  <si>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</si>
  <si>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</si>
  <si>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4845_7_0</t>
  </si>
  <si>
    <t>4845_7_1</t>
    <phoneticPr fontId="1" type="noConversion"/>
  </si>
  <si>
    <t>4845_7_2</t>
    <phoneticPr fontId="1" type="noConversion"/>
  </si>
  <si>
    <t>4845_7_3</t>
    <phoneticPr fontId="1" type="noConversion"/>
  </si>
  <si>
    <t>4845_7_4</t>
    <phoneticPr fontId="1" type="noConversion"/>
  </si>
  <si>
    <t>4845_7_9</t>
    <phoneticPr fontId="1" type="noConversion"/>
  </si>
  <si>
    <t>4845_7_10</t>
    <phoneticPr fontId="1" type="noConversion"/>
  </si>
  <si>
    <t>4845_7_11</t>
    <phoneticPr fontId="1" type="noConversion"/>
  </si>
  <si>
    <t>4845_7_5</t>
    <phoneticPr fontId="1" type="noConversion"/>
  </si>
  <si>
    <t>4845_7_8</t>
    <phoneticPr fontId="1" type="noConversion"/>
  </si>
  <si>
    <t>4845_7_6</t>
    <phoneticPr fontId="1" type="noConversion"/>
  </si>
  <si>
    <t>4845_7_7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</si>
</sst>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H71"/>
  <sheetViews>
    <sheetView tabSelected="1" zoomScale="93" zoomScaleNormal="93" workbookViewId="0">
      <pane xSplit="3" ySplit="4" topLeftCell="AB5" activePane="bottomRight" state="frozen"/>
      <selection pane="topRight" activeCell="D1" sqref="D1"/>
      <selection pane="bottomLeft" activeCell="A5" sqref="A5"/>
      <selection pane="bottomRight" activeCell="AD21" sqref="AD21"/>
    </sheetView>
  </sheetViews>
  <sheetFormatPr defaultColWidth="9" defaultRowHeight="14" x14ac:dyDescent="0.25"/>
  <cols>
    <col min="1" max="1" width="6.7265625" style="2" bestFit="1" customWidth="1"/>
    <col min="2" max="2" width="5.7265625" style="2" bestFit="1" customWidth="1"/>
    <col min="3" max="3" width="8.90625" style="2" customWidth="1"/>
    <col min="4" max="4" width="6.26953125" style="2" bestFit="1" customWidth="1"/>
    <col min="5" max="5" width="5.453125" style="2" bestFit="1" customWidth="1"/>
    <col min="6" max="6" width="11.6328125" style="2" bestFit="1" customWidth="1"/>
    <col min="7" max="8" width="7.7265625" style="2" bestFit="1" customWidth="1"/>
    <col min="9" max="9" width="17" style="2" customWidth="1"/>
    <col min="10" max="10" width="7.7265625" style="2" bestFit="1" customWidth="1"/>
    <col min="11" max="12" width="9.7265625" style="2" bestFit="1" customWidth="1"/>
    <col min="13" max="13" width="20.7265625" style="2" bestFit="1" customWidth="1"/>
    <col min="14" max="16" width="20.7265625" style="2" customWidth="1"/>
    <col min="17" max="17" width="18.26953125" style="2" customWidth="1"/>
    <col min="18" max="19" width="14.26953125" style="2" bestFit="1" customWidth="1"/>
    <col min="20" max="20" width="19.7265625" style="2" bestFit="1" customWidth="1"/>
    <col min="21" max="22" width="19.7265625" style="2" customWidth="1"/>
    <col min="23" max="23" width="18.26953125" style="2" bestFit="1" customWidth="1"/>
    <col min="24" max="25" width="16.6328125" style="2" bestFit="1" customWidth="1"/>
    <col min="26" max="27" width="14.26953125" style="2" bestFit="1" customWidth="1"/>
    <col min="28" max="28" width="76.453125" style="2" bestFit="1" customWidth="1"/>
    <col min="29" max="29" width="55.08984375" style="2" bestFit="1" customWidth="1"/>
    <col min="30" max="30" width="45.08984375" style="2" customWidth="1"/>
    <col min="31" max="31" width="41.90625" style="2" customWidth="1"/>
    <col min="32" max="32" width="9.7265625" style="2" bestFit="1" customWidth="1"/>
    <col min="33" max="16384" width="9" style="2"/>
  </cols>
  <sheetData>
    <row r="1" spans="1:34" s="9" customFormat="1" ht="59.25" customHeight="1" x14ac:dyDescent="0.25">
      <c r="A1" s="11"/>
      <c r="B1" s="8" t="s">
        <v>0</v>
      </c>
      <c r="C1" s="8" t="s">
        <v>1</v>
      </c>
      <c r="D1" s="13" t="s">
        <v>16</v>
      </c>
      <c r="E1" s="13"/>
      <c r="F1" s="13" t="s">
        <v>74</v>
      </c>
      <c r="G1" s="13" t="s">
        <v>41</v>
      </c>
      <c r="H1" s="13" t="s">
        <v>42</v>
      </c>
      <c r="I1" s="13" t="s">
        <v>127</v>
      </c>
      <c r="J1" s="13" t="s">
        <v>43</v>
      </c>
      <c r="K1" s="13" t="s">
        <v>85</v>
      </c>
      <c r="L1" s="13" t="s">
        <v>84</v>
      </c>
      <c r="M1" s="8" t="s">
        <v>65</v>
      </c>
      <c r="N1" s="8" t="s">
        <v>177</v>
      </c>
      <c r="O1" s="8" t="s">
        <v>118</v>
      </c>
      <c r="P1" s="8" t="s">
        <v>117</v>
      </c>
      <c r="Q1" s="20" t="s">
        <v>153</v>
      </c>
      <c r="R1" s="13" t="s">
        <v>95</v>
      </c>
      <c r="S1" s="13" t="s">
        <v>94</v>
      </c>
      <c r="T1" s="13" t="s">
        <v>93</v>
      </c>
      <c r="U1" s="13" t="s">
        <v>92</v>
      </c>
      <c r="V1" s="19" t="s">
        <v>91</v>
      </c>
      <c r="W1" s="13" t="s">
        <v>97</v>
      </c>
      <c r="X1" s="8" t="s">
        <v>81</v>
      </c>
      <c r="Y1" s="8" t="s">
        <v>47</v>
      </c>
      <c r="Z1" s="8" t="s">
        <v>48</v>
      </c>
      <c r="AA1" s="8" t="s">
        <v>49</v>
      </c>
      <c r="AB1" s="6" t="s">
        <v>63</v>
      </c>
      <c r="AC1" s="13" t="s">
        <v>11</v>
      </c>
      <c r="AD1" s="8" t="s">
        <v>10</v>
      </c>
      <c r="AE1" s="8" t="s">
        <v>9</v>
      </c>
      <c r="AF1" s="8" t="s">
        <v>24</v>
      </c>
      <c r="AG1" s="8"/>
      <c r="AH1" s="6"/>
    </row>
    <row r="2" spans="1:34" s="1" customFormat="1" ht="25.5" customHeight="1" x14ac:dyDescent="0.2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/>
      <c r="AD2" s="2"/>
      <c r="AE2" s="2"/>
      <c r="AF2" s="2"/>
      <c r="AG2" s="2"/>
      <c r="AH2" s="2"/>
    </row>
    <row r="3" spans="1:34" s="5" customFormat="1" ht="33" customHeight="1" x14ac:dyDescent="0.2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75</v>
      </c>
      <c r="G3" s="7" t="s">
        <v>44</v>
      </c>
      <c r="H3" s="7" t="s">
        <v>45</v>
      </c>
      <c r="I3" s="7" t="s">
        <v>79</v>
      </c>
      <c r="J3" s="7" t="s">
        <v>46</v>
      </c>
      <c r="K3" s="7" t="s">
        <v>82</v>
      </c>
      <c r="L3" s="7" t="s">
        <v>83</v>
      </c>
      <c r="M3" s="7" t="s">
        <v>77</v>
      </c>
      <c r="N3" s="7" t="s">
        <v>176</v>
      </c>
      <c r="O3" s="7" t="s">
        <v>116</v>
      </c>
      <c r="P3" s="7" t="s">
        <v>174</v>
      </c>
      <c r="Q3" s="7" t="s">
        <v>102</v>
      </c>
      <c r="R3" s="7" t="s">
        <v>86</v>
      </c>
      <c r="S3" s="7" t="s">
        <v>87</v>
      </c>
      <c r="T3" s="7" t="s">
        <v>88</v>
      </c>
      <c r="U3" s="7" t="s">
        <v>89</v>
      </c>
      <c r="V3" s="7" t="s">
        <v>90</v>
      </c>
      <c r="W3" s="7" t="s">
        <v>98</v>
      </c>
      <c r="X3" s="7" t="s">
        <v>80</v>
      </c>
      <c r="Y3" s="7" t="s">
        <v>50</v>
      </c>
      <c r="Z3" s="7" t="s">
        <v>51</v>
      </c>
      <c r="AA3" s="7" t="s">
        <v>52</v>
      </c>
      <c r="AB3" s="7" t="s">
        <v>62</v>
      </c>
      <c r="AC3" s="7" t="s">
        <v>12</v>
      </c>
      <c r="AD3" s="12" t="s">
        <v>13</v>
      </c>
      <c r="AE3" s="12" t="s">
        <v>56</v>
      </c>
      <c r="AF3" s="7" t="s">
        <v>25</v>
      </c>
      <c r="AG3" s="7"/>
      <c r="AH3" s="7"/>
    </row>
    <row r="4" spans="1:34" s="10" customFormat="1" ht="15.75" customHeight="1" x14ac:dyDescent="0.2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96</v>
      </c>
      <c r="X4" s="15" t="s">
        <v>55</v>
      </c>
      <c r="Y4" s="15" t="s">
        <v>55</v>
      </c>
      <c r="Z4" s="15" t="s">
        <v>55</v>
      </c>
      <c r="AA4" s="15" t="s">
        <v>55</v>
      </c>
      <c r="AB4" s="10" t="s">
        <v>64</v>
      </c>
      <c r="AC4" s="14" t="s">
        <v>3</v>
      </c>
      <c r="AD4" s="10" t="s">
        <v>3</v>
      </c>
      <c r="AE4" s="10" t="s">
        <v>3</v>
      </c>
      <c r="AF4" s="15" t="s">
        <v>26</v>
      </c>
    </row>
    <row r="5" spans="1:34" x14ac:dyDescent="0.25">
      <c r="B5" s="4">
        <v>1</v>
      </c>
      <c r="C5" s="4" t="s">
        <v>104</v>
      </c>
      <c r="D5" s="4">
        <v>1</v>
      </c>
      <c r="E5" s="4" t="s">
        <v>104</v>
      </c>
      <c r="F5" s="18" t="s">
        <v>66</v>
      </c>
      <c r="G5" s="4">
        <v>65</v>
      </c>
      <c r="H5" s="4">
        <v>65</v>
      </c>
      <c r="I5" s="4">
        <v>30</v>
      </c>
      <c r="J5" s="4">
        <v>16</v>
      </c>
      <c r="K5" s="4">
        <v>1</v>
      </c>
      <c r="L5" s="4">
        <v>1</v>
      </c>
      <c r="M5" s="2" t="s">
        <v>67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73</v>
      </c>
      <c r="AC5" s="4" t="s">
        <v>27</v>
      </c>
      <c r="AD5" s="2" t="s">
        <v>184</v>
      </c>
      <c r="AE5" s="2" t="s">
        <v>119</v>
      </c>
      <c r="AF5" s="2" t="s">
        <v>61</v>
      </c>
      <c r="AG5" s="4"/>
    </row>
    <row r="6" spans="1:34" x14ac:dyDescent="0.25">
      <c r="A6" s="3"/>
      <c r="B6" s="4">
        <v>2</v>
      </c>
      <c r="C6" s="4" t="s">
        <v>99</v>
      </c>
      <c r="D6" s="4">
        <v>3</v>
      </c>
      <c r="E6" s="4" t="s">
        <v>99</v>
      </c>
      <c r="F6" s="18" t="s">
        <v>124</v>
      </c>
      <c r="G6" s="4">
        <v>95</v>
      </c>
      <c r="H6" s="4">
        <v>85</v>
      </c>
      <c r="I6" s="4">
        <v>100</v>
      </c>
      <c r="J6" s="4">
        <v>16</v>
      </c>
      <c r="K6" s="4">
        <v>2</v>
      </c>
      <c r="L6" s="4">
        <v>2</v>
      </c>
      <c r="M6" s="2" t="s">
        <v>66</v>
      </c>
      <c r="N6" s="2" t="s">
        <v>178</v>
      </c>
      <c r="Q6" s="2" t="s">
        <v>154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73</v>
      </c>
      <c r="AC6" s="4" t="s">
        <v>28</v>
      </c>
      <c r="AD6" s="2" t="s">
        <v>185</v>
      </c>
      <c r="AE6" s="2" t="s">
        <v>120</v>
      </c>
      <c r="AF6" s="2" t="s">
        <v>60</v>
      </c>
      <c r="AG6" s="4"/>
    </row>
    <row r="7" spans="1:34" x14ac:dyDescent="0.25">
      <c r="B7" s="4">
        <v>3</v>
      </c>
      <c r="C7" s="4" t="s">
        <v>103</v>
      </c>
      <c r="D7" s="4">
        <v>1</v>
      </c>
      <c r="E7" s="4" t="s">
        <v>103</v>
      </c>
      <c r="F7" s="18" t="s">
        <v>125</v>
      </c>
      <c r="G7" s="4">
        <v>75</v>
      </c>
      <c r="H7" s="4">
        <v>105</v>
      </c>
      <c r="I7" s="4">
        <v>100</v>
      </c>
      <c r="J7" s="4">
        <v>16</v>
      </c>
      <c r="K7" s="4">
        <v>2</v>
      </c>
      <c r="L7" s="4">
        <v>1</v>
      </c>
      <c r="M7" s="2" t="s">
        <v>68</v>
      </c>
      <c r="N7" s="2" t="s">
        <v>179</v>
      </c>
      <c r="Q7" s="2" t="s">
        <v>157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72</v>
      </c>
      <c r="AC7" s="4" t="s">
        <v>29</v>
      </c>
      <c r="AD7" s="2" t="s">
        <v>186</v>
      </c>
      <c r="AE7" s="2" t="s">
        <v>121</v>
      </c>
      <c r="AF7" s="2" t="s">
        <v>57</v>
      </c>
      <c r="AG7" s="4"/>
    </row>
    <row r="8" spans="1:34" x14ac:dyDescent="0.25">
      <c r="B8" s="4">
        <v>4</v>
      </c>
      <c r="C8" s="4" t="s">
        <v>100</v>
      </c>
      <c r="D8" s="4">
        <v>2</v>
      </c>
      <c r="E8" s="4" t="s">
        <v>100</v>
      </c>
      <c r="F8" s="18" t="s">
        <v>128</v>
      </c>
      <c r="G8" s="4">
        <v>85</v>
      </c>
      <c r="H8" s="4">
        <v>75</v>
      </c>
      <c r="I8" s="4">
        <v>100</v>
      </c>
      <c r="J8" s="4">
        <v>16</v>
      </c>
      <c r="K8" s="4">
        <v>3</v>
      </c>
      <c r="L8" s="4">
        <v>2</v>
      </c>
      <c r="M8" s="2" t="s">
        <v>69</v>
      </c>
      <c r="N8" s="2" t="s">
        <v>180</v>
      </c>
      <c r="Q8" s="2" t="s">
        <v>156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72</v>
      </c>
      <c r="AC8" s="4" t="s">
        <v>30</v>
      </c>
      <c r="AD8" s="2" t="s">
        <v>187</v>
      </c>
      <c r="AE8" s="2" t="s">
        <v>122</v>
      </c>
      <c r="AF8" s="2" t="s">
        <v>59</v>
      </c>
      <c r="AG8" s="4"/>
    </row>
    <row r="9" spans="1:34" x14ac:dyDescent="0.25">
      <c r="B9" s="4">
        <v>5</v>
      </c>
      <c r="C9" s="4" t="s">
        <v>101</v>
      </c>
      <c r="D9" s="4">
        <v>4</v>
      </c>
      <c r="E9" s="4" t="s">
        <v>101</v>
      </c>
      <c r="F9" s="18" t="s">
        <v>126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70</v>
      </c>
      <c r="N9" s="2" t="s">
        <v>181</v>
      </c>
      <c r="Q9" s="2" t="s">
        <v>155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72</v>
      </c>
      <c r="AC9" s="4" t="s">
        <v>31</v>
      </c>
      <c r="AD9" s="2" t="s">
        <v>188</v>
      </c>
      <c r="AE9" s="2" t="s">
        <v>123</v>
      </c>
      <c r="AF9" s="2" t="s">
        <v>58</v>
      </c>
      <c r="AG9" s="4"/>
    </row>
    <row r="10" spans="1:34" ht="12.75" customHeight="1" x14ac:dyDescent="0.2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24</v>
      </c>
      <c r="K10" s="4">
        <v>1</v>
      </c>
      <c r="L10" s="4">
        <v>1</v>
      </c>
      <c r="M10" s="2" t="s">
        <v>67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72</v>
      </c>
      <c r="AC10" s="4" t="s">
        <v>39</v>
      </c>
      <c r="AE10" s="2" t="s">
        <v>144</v>
      </c>
      <c r="AG10" s="4"/>
    </row>
    <row r="11" spans="1:34" x14ac:dyDescent="0.2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32</v>
      </c>
      <c r="K11" s="4">
        <v>1</v>
      </c>
      <c r="L11" s="4">
        <v>1</v>
      </c>
      <c r="M11" s="2" t="s">
        <v>67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72</v>
      </c>
      <c r="AC11" s="4" t="s">
        <v>40</v>
      </c>
      <c r="AE11" s="2" t="s">
        <v>145</v>
      </c>
      <c r="AG11" s="4"/>
    </row>
    <row r="12" spans="1:34" x14ac:dyDescent="0.25">
      <c r="B12" s="4">
        <v>8</v>
      </c>
      <c r="C12" s="4" t="s">
        <v>19</v>
      </c>
      <c r="D12" s="4">
        <v>6</v>
      </c>
      <c r="E12" s="4" t="s">
        <v>146</v>
      </c>
      <c r="F12" s="18" t="s">
        <v>151</v>
      </c>
      <c r="G12" s="4">
        <v>70</v>
      </c>
      <c r="H12" s="4">
        <v>80</v>
      </c>
      <c r="I12" s="2" t="s">
        <v>134</v>
      </c>
      <c r="J12" s="4">
        <v>24</v>
      </c>
      <c r="K12" s="4"/>
      <c r="L12" s="4"/>
      <c r="M12" s="2" t="s">
        <v>175</v>
      </c>
      <c r="N12" s="2" t="s">
        <v>182</v>
      </c>
      <c r="Q12" s="2" t="s">
        <v>158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72</v>
      </c>
      <c r="AC12" s="4" t="s">
        <v>36</v>
      </c>
      <c r="AD12" s="2" t="s">
        <v>189</v>
      </c>
      <c r="AE12" s="2" t="s">
        <v>148</v>
      </c>
      <c r="AG12" s="4"/>
    </row>
    <row r="13" spans="1:34" x14ac:dyDescent="0.25">
      <c r="B13" s="4">
        <v>9</v>
      </c>
      <c r="C13" s="4" t="s">
        <v>20</v>
      </c>
      <c r="D13" s="4">
        <v>6</v>
      </c>
      <c r="E13" s="4" t="s">
        <v>146</v>
      </c>
      <c r="F13" s="18" t="s">
        <v>147</v>
      </c>
      <c r="G13" s="4">
        <v>80</v>
      </c>
      <c r="H13" s="4">
        <v>100</v>
      </c>
      <c r="I13" s="2" t="s">
        <v>134</v>
      </c>
      <c r="J13" s="4">
        <v>26</v>
      </c>
      <c r="K13" s="4"/>
      <c r="L13" s="4"/>
      <c r="M13" s="2" t="s">
        <v>175</v>
      </c>
      <c r="N13" s="2" t="s">
        <v>182</v>
      </c>
      <c r="Q13" s="2" t="s">
        <v>159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72</v>
      </c>
      <c r="AC13" s="4" t="s">
        <v>37</v>
      </c>
      <c r="AD13" s="2" t="s">
        <v>190</v>
      </c>
      <c r="AE13" s="2" t="s">
        <v>149</v>
      </c>
      <c r="AG13" s="4"/>
    </row>
    <row r="14" spans="1:34" x14ac:dyDescent="0.25">
      <c r="B14" s="4">
        <v>10</v>
      </c>
      <c r="C14" s="4" t="s">
        <v>21</v>
      </c>
      <c r="D14" s="4">
        <v>6</v>
      </c>
      <c r="E14" s="4" t="s">
        <v>146</v>
      </c>
      <c r="F14" s="18" t="s">
        <v>152</v>
      </c>
      <c r="G14" s="4">
        <v>90</v>
      </c>
      <c r="H14" s="4">
        <v>120</v>
      </c>
      <c r="I14" s="2" t="s">
        <v>134</v>
      </c>
      <c r="J14" s="4">
        <v>28</v>
      </c>
      <c r="K14" s="4"/>
      <c r="L14" s="4"/>
      <c r="M14" s="2" t="s">
        <v>175</v>
      </c>
      <c r="N14" s="2" t="s">
        <v>182</v>
      </c>
      <c r="Q14" s="2" t="s">
        <v>160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72</v>
      </c>
      <c r="AC14" s="4" t="s">
        <v>38</v>
      </c>
      <c r="AD14" s="2" t="s">
        <v>191</v>
      </c>
      <c r="AE14" s="2" t="s">
        <v>150</v>
      </c>
      <c r="AG14" s="4"/>
    </row>
    <row r="15" spans="1:34" x14ac:dyDescent="0.25">
      <c r="B15" s="4">
        <v>11</v>
      </c>
      <c r="C15" s="4" t="s">
        <v>161</v>
      </c>
      <c r="D15" s="4">
        <v>8</v>
      </c>
      <c r="E15" s="4" t="s">
        <v>161</v>
      </c>
      <c r="F15" s="18" t="s">
        <v>173</v>
      </c>
      <c r="G15" s="4">
        <v>70</v>
      </c>
      <c r="H15" s="4">
        <v>90</v>
      </c>
      <c r="I15" s="2" t="s">
        <v>134</v>
      </c>
      <c r="J15" s="4">
        <v>16</v>
      </c>
      <c r="K15" s="4"/>
      <c r="L15" s="4"/>
      <c r="M15" s="2" t="s">
        <v>71</v>
      </c>
      <c r="N15" s="2" t="s">
        <v>183</v>
      </c>
      <c r="P15" s="2" t="s">
        <v>168</v>
      </c>
      <c r="Q15" s="2" t="s">
        <v>166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72</v>
      </c>
      <c r="AC15" s="4" t="s">
        <v>32</v>
      </c>
      <c r="AD15" s="2" t="s">
        <v>192</v>
      </c>
      <c r="AE15" s="2" t="s">
        <v>163</v>
      </c>
      <c r="AF15" s="2" t="s">
        <v>58</v>
      </c>
      <c r="AG15" s="4"/>
    </row>
    <row r="16" spans="1:34" x14ac:dyDescent="0.25">
      <c r="B16" s="4">
        <v>12</v>
      </c>
      <c r="C16" s="4" t="s">
        <v>170</v>
      </c>
      <c r="D16" s="4">
        <v>8</v>
      </c>
      <c r="E16" s="4" t="s">
        <v>161</v>
      </c>
      <c r="F16" s="18" t="s">
        <v>172</v>
      </c>
      <c r="G16" s="4">
        <v>90</v>
      </c>
      <c r="H16" s="4">
        <v>90</v>
      </c>
      <c r="I16" s="2" t="s">
        <v>134</v>
      </c>
      <c r="J16" s="4">
        <v>16</v>
      </c>
      <c r="K16" s="4"/>
      <c r="L16" s="4"/>
      <c r="M16" s="2" t="s">
        <v>71</v>
      </c>
      <c r="N16" s="2" t="s">
        <v>183</v>
      </c>
      <c r="P16" s="2" t="s">
        <v>66</v>
      </c>
      <c r="Q16" s="2" t="s">
        <v>166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72</v>
      </c>
      <c r="AC16" s="4" t="s">
        <v>35</v>
      </c>
      <c r="AD16" s="2" t="s">
        <v>193</v>
      </c>
      <c r="AE16" s="2" t="s">
        <v>163</v>
      </c>
      <c r="AF16" s="2" t="s">
        <v>57</v>
      </c>
      <c r="AG16" s="4"/>
    </row>
    <row r="17" spans="2:33" x14ac:dyDescent="0.25">
      <c r="B17" s="4">
        <v>13</v>
      </c>
      <c r="C17" s="4" t="s">
        <v>17</v>
      </c>
      <c r="D17" s="4">
        <v>9</v>
      </c>
      <c r="E17" s="4" t="s">
        <v>162</v>
      </c>
      <c r="F17" s="18" t="s">
        <v>171</v>
      </c>
      <c r="G17" s="4">
        <v>80</v>
      </c>
      <c r="H17" s="4">
        <v>80</v>
      </c>
      <c r="I17" s="2" t="s">
        <v>134</v>
      </c>
      <c r="J17" s="4">
        <v>16</v>
      </c>
      <c r="K17" s="4"/>
      <c r="L17" s="4"/>
      <c r="M17" s="2" t="s">
        <v>71</v>
      </c>
      <c r="N17" s="2" t="s">
        <v>183</v>
      </c>
      <c r="P17" s="2" t="s">
        <v>169</v>
      </c>
      <c r="Q17" s="2" t="s">
        <v>167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72</v>
      </c>
      <c r="AC17" s="4" t="s">
        <v>33</v>
      </c>
      <c r="AD17" s="2" t="s">
        <v>194</v>
      </c>
      <c r="AE17" s="2" t="s">
        <v>164</v>
      </c>
      <c r="AF17" s="2" t="s">
        <v>58</v>
      </c>
      <c r="AG17" s="4"/>
    </row>
    <row r="18" spans="2:33" ht="14.25" customHeight="1" x14ac:dyDescent="0.25">
      <c r="B18" s="4">
        <v>14</v>
      </c>
      <c r="C18" s="4" t="s">
        <v>18</v>
      </c>
      <c r="D18" s="4">
        <v>9</v>
      </c>
      <c r="E18" s="4" t="s">
        <v>162</v>
      </c>
      <c r="F18" s="18" t="s">
        <v>129</v>
      </c>
      <c r="G18" s="4">
        <v>100</v>
      </c>
      <c r="H18" s="4">
        <v>80</v>
      </c>
      <c r="I18" s="2" t="s">
        <v>134</v>
      </c>
      <c r="J18" s="4">
        <v>16</v>
      </c>
      <c r="K18" s="4"/>
      <c r="L18" s="4"/>
      <c r="M18" s="2" t="s">
        <v>71</v>
      </c>
      <c r="N18" s="2" t="s">
        <v>183</v>
      </c>
      <c r="P18" s="2" t="s">
        <v>68</v>
      </c>
      <c r="Q18" s="2" t="s">
        <v>167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72</v>
      </c>
      <c r="AC18" s="4" t="s">
        <v>34</v>
      </c>
      <c r="AD18" s="2" t="s">
        <v>195</v>
      </c>
      <c r="AE18" s="2" t="s">
        <v>164</v>
      </c>
      <c r="AF18" s="2" t="s">
        <v>58</v>
      </c>
      <c r="AG18" s="4"/>
    </row>
    <row r="19" spans="2:33" x14ac:dyDescent="0.25">
      <c r="B19" s="4">
        <v>15</v>
      </c>
      <c r="C19" s="2" t="s">
        <v>105</v>
      </c>
      <c r="D19" s="4">
        <v>1</v>
      </c>
      <c r="E19" s="4" t="str">
        <f>VLOOKUP(D19,$D$6:$E$9,2,0)</f>
        <v>刀兵</v>
      </c>
      <c r="F19" s="18" t="s">
        <v>125</v>
      </c>
      <c r="G19" s="2" t="s">
        <v>132</v>
      </c>
      <c r="H19" s="2" t="s">
        <v>134</v>
      </c>
      <c r="I19" s="2" t="s">
        <v>134</v>
      </c>
      <c r="M19" s="2" t="s">
        <v>68</v>
      </c>
      <c r="N19" s="2" t="s">
        <v>179</v>
      </c>
      <c r="O19" s="4">
        <v>8</v>
      </c>
    </row>
    <row r="20" spans="2:33" x14ac:dyDescent="0.25">
      <c r="B20" s="4">
        <v>20</v>
      </c>
      <c r="C20" s="2" t="s">
        <v>115</v>
      </c>
      <c r="D20" s="4">
        <v>1</v>
      </c>
      <c r="E20" s="4" t="str">
        <f>VLOOKUP(D20,$D$6:$E$9,2,0)</f>
        <v>刀兵</v>
      </c>
      <c r="F20" s="18" t="s">
        <v>125</v>
      </c>
      <c r="G20" s="2" t="s">
        <v>131</v>
      </c>
      <c r="H20" s="2" t="s">
        <v>138</v>
      </c>
      <c r="I20" s="2" t="s">
        <v>133</v>
      </c>
      <c r="M20" s="2" t="s">
        <v>68</v>
      </c>
      <c r="N20" s="2" t="s">
        <v>179</v>
      </c>
      <c r="O20" s="4">
        <v>13</v>
      </c>
    </row>
    <row r="21" spans="2:33" x14ac:dyDescent="0.25">
      <c r="B21" s="4">
        <v>23</v>
      </c>
      <c r="C21" s="2" t="s">
        <v>109</v>
      </c>
      <c r="D21" s="4">
        <v>1</v>
      </c>
      <c r="E21" s="4" t="str">
        <f>VLOOKUP(D21,$D$6:$E$9,2,0)</f>
        <v>刀兵</v>
      </c>
      <c r="F21" s="18" t="s">
        <v>125</v>
      </c>
      <c r="G21" s="2" t="s">
        <v>131</v>
      </c>
      <c r="H21" s="2" t="s">
        <v>141</v>
      </c>
      <c r="I21" s="2" t="s">
        <v>133</v>
      </c>
      <c r="M21" s="2" t="s">
        <v>68</v>
      </c>
      <c r="N21" s="2" t="s">
        <v>179</v>
      </c>
      <c r="O21" s="4">
        <v>16</v>
      </c>
    </row>
    <row r="22" spans="2:33" x14ac:dyDescent="0.25">
      <c r="B22" s="4">
        <v>16</v>
      </c>
      <c r="C22" s="2" t="s">
        <v>113</v>
      </c>
      <c r="D22" s="4">
        <v>3</v>
      </c>
      <c r="E22" s="4" t="str">
        <f t="shared" ref="E22:E30" si="0">VLOOKUP(D22,$D$6:$E$9,2,0)</f>
        <v>枪兵</v>
      </c>
      <c r="F22" s="18" t="s">
        <v>124</v>
      </c>
      <c r="G22" s="2" t="s">
        <v>132</v>
      </c>
      <c r="H22" s="2" t="s">
        <v>134</v>
      </c>
      <c r="I22" s="2" t="s">
        <v>134</v>
      </c>
      <c r="M22" s="2" t="s">
        <v>66</v>
      </c>
      <c r="N22" s="2" t="s">
        <v>178</v>
      </c>
      <c r="O22" s="4">
        <v>9</v>
      </c>
    </row>
    <row r="23" spans="2:33" x14ac:dyDescent="0.25">
      <c r="B23" s="4">
        <v>17</v>
      </c>
      <c r="C23" s="2" t="s">
        <v>106</v>
      </c>
      <c r="D23" s="4">
        <v>3</v>
      </c>
      <c r="E23" s="4" t="str">
        <f t="shared" si="0"/>
        <v>枪兵</v>
      </c>
      <c r="F23" s="18" t="s">
        <v>124</v>
      </c>
      <c r="G23" s="2" t="s">
        <v>131</v>
      </c>
      <c r="H23" s="2" t="s">
        <v>135</v>
      </c>
      <c r="I23" s="2" t="s">
        <v>133</v>
      </c>
      <c r="M23" s="2" t="s">
        <v>66</v>
      </c>
      <c r="N23" s="2" t="s">
        <v>178</v>
      </c>
      <c r="O23" s="4">
        <v>10</v>
      </c>
    </row>
    <row r="24" spans="2:33" x14ac:dyDescent="0.25">
      <c r="B24" s="4">
        <v>19</v>
      </c>
      <c r="C24" s="2" t="s">
        <v>114</v>
      </c>
      <c r="D24" s="4">
        <v>3</v>
      </c>
      <c r="E24" s="4" t="str">
        <f>VLOOKUP(D24,$D$6:$E$9,2,0)</f>
        <v>枪兵</v>
      </c>
      <c r="F24" s="18" t="s">
        <v>124</v>
      </c>
      <c r="G24" s="2" t="s">
        <v>131</v>
      </c>
      <c r="H24" s="2" t="s">
        <v>137</v>
      </c>
      <c r="I24" s="2" t="s">
        <v>133</v>
      </c>
      <c r="M24" s="2" t="s">
        <v>66</v>
      </c>
      <c r="N24" s="2" t="s">
        <v>178</v>
      </c>
      <c r="O24" s="4">
        <v>12</v>
      </c>
    </row>
    <row r="25" spans="2:33" x14ac:dyDescent="0.25">
      <c r="B25" s="4">
        <v>18</v>
      </c>
      <c r="C25" s="2" t="s">
        <v>107</v>
      </c>
      <c r="D25" s="4">
        <v>4</v>
      </c>
      <c r="E25" s="4" t="str">
        <f t="shared" si="0"/>
        <v>骑兵</v>
      </c>
      <c r="F25" s="18" t="s">
        <v>126</v>
      </c>
      <c r="G25" s="2" t="s">
        <v>131</v>
      </c>
      <c r="H25" s="2" t="s">
        <v>136</v>
      </c>
      <c r="I25" s="2" t="s">
        <v>133</v>
      </c>
      <c r="J25" s="4">
        <v>28</v>
      </c>
      <c r="M25" s="2" t="s">
        <v>70</v>
      </c>
      <c r="N25" s="2" t="s">
        <v>181</v>
      </c>
      <c r="O25" s="4">
        <v>11</v>
      </c>
    </row>
    <row r="26" spans="2:33" x14ac:dyDescent="0.25">
      <c r="B26" s="4">
        <v>21</v>
      </c>
      <c r="C26" s="2" t="s">
        <v>108</v>
      </c>
      <c r="D26" s="4">
        <v>4</v>
      </c>
      <c r="E26" s="4" t="str">
        <f t="shared" si="0"/>
        <v>骑兵</v>
      </c>
      <c r="F26" s="18" t="s">
        <v>126</v>
      </c>
      <c r="G26" s="2" t="s">
        <v>131</v>
      </c>
      <c r="H26" s="2" t="s">
        <v>139</v>
      </c>
      <c r="I26" s="2" t="s">
        <v>133</v>
      </c>
      <c r="J26" s="4">
        <v>28</v>
      </c>
      <c r="M26" s="2" t="s">
        <v>70</v>
      </c>
      <c r="N26" s="2" t="s">
        <v>181</v>
      </c>
      <c r="O26" s="4">
        <v>14</v>
      </c>
    </row>
    <row r="27" spans="2:33" x14ac:dyDescent="0.25">
      <c r="B27" s="4">
        <v>22</v>
      </c>
      <c r="C27" s="2" t="s">
        <v>165</v>
      </c>
      <c r="D27" s="4">
        <v>4</v>
      </c>
      <c r="E27" s="4" t="str">
        <f t="shared" si="0"/>
        <v>骑兵</v>
      </c>
      <c r="F27" s="18" t="s">
        <v>126</v>
      </c>
      <c r="G27" s="2" t="s">
        <v>131</v>
      </c>
      <c r="H27" s="2" t="s">
        <v>140</v>
      </c>
      <c r="I27" s="2" t="s">
        <v>133</v>
      </c>
      <c r="J27" s="4">
        <v>28</v>
      </c>
      <c r="M27" s="2" t="s">
        <v>70</v>
      </c>
      <c r="N27" s="2" t="s">
        <v>181</v>
      </c>
      <c r="O27" s="4">
        <v>15</v>
      </c>
    </row>
    <row r="28" spans="2:33" x14ac:dyDescent="0.25">
      <c r="B28" s="4">
        <v>24</v>
      </c>
      <c r="C28" s="4" t="s">
        <v>110</v>
      </c>
      <c r="D28" s="4">
        <v>4</v>
      </c>
      <c r="E28" s="4" t="str">
        <f t="shared" si="0"/>
        <v>骑兵</v>
      </c>
      <c r="F28" s="18" t="s">
        <v>126</v>
      </c>
      <c r="G28" s="2" t="s">
        <v>131</v>
      </c>
      <c r="H28" s="2" t="s">
        <v>142</v>
      </c>
      <c r="I28" s="2" t="s">
        <v>133</v>
      </c>
      <c r="J28" s="4">
        <v>28</v>
      </c>
      <c r="M28" s="2" t="s">
        <v>70</v>
      </c>
      <c r="N28" s="2" t="s">
        <v>181</v>
      </c>
      <c r="O28" s="4">
        <v>17</v>
      </c>
      <c r="AC28" s="4"/>
      <c r="AG28" s="4"/>
    </row>
    <row r="29" spans="2:33" x14ac:dyDescent="0.25">
      <c r="B29" s="4">
        <v>25</v>
      </c>
      <c r="C29" s="4" t="s">
        <v>111</v>
      </c>
      <c r="D29" s="4">
        <v>2</v>
      </c>
      <c r="E29" s="4" t="str">
        <f t="shared" si="0"/>
        <v>弓兵</v>
      </c>
      <c r="F29" s="18" t="s">
        <v>128</v>
      </c>
      <c r="G29" s="2" t="s">
        <v>131</v>
      </c>
      <c r="H29" s="2" t="s">
        <v>143</v>
      </c>
      <c r="I29" s="2" t="s">
        <v>133</v>
      </c>
      <c r="M29" s="2" t="s">
        <v>69</v>
      </c>
      <c r="N29" s="2" t="s">
        <v>180</v>
      </c>
      <c r="O29" s="2" t="s">
        <v>129</v>
      </c>
      <c r="AC29" s="4"/>
      <c r="AG29" s="4"/>
    </row>
    <row r="30" spans="2:33" x14ac:dyDescent="0.25">
      <c r="B30" s="4">
        <v>26</v>
      </c>
      <c r="C30" s="2" t="s">
        <v>112</v>
      </c>
      <c r="D30" s="4">
        <v>2</v>
      </c>
      <c r="E30" s="4" t="str">
        <f t="shared" si="0"/>
        <v>弓兵</v>
      </c>
      <c r="F30" s="18" t="s">
        <v>128</v>
      </c>
      <c r="G30" s="2" t="s">
        <v>131</v>
      </c>
      <c r="H30" s="2" t="s">
        <v>131</v>
      </c>
      <c r="I30" s="2" t="s">
        <v>133</v>
      </c>
      <c r="M30" s="2" t="s">
        <v>69</v>
      </c>
      <c r="N30" s="2" t="s">
        <v>180</v>
      </c>
      <c r="O30" s="2" t="s">
        <v>130</v>
      </c>
    </row>
    <row r="39" spans="2:33" x14ac:dyDescent="0.25">
      <c r="B39" s="4"/>
      <c r="C39" s="4"/>
      <c r="D39" s="4"/>
      <c r="E39" s="4"/>
      <c r="AC39" s="4"/>
      <c r="AG39" s="4"/>
    </row>
    <row r="40" spans="2:33" ht="12.75" customHeight="1" x14ac:dyDescent="0.25">
      <c r="B40" s="4">
        <v>13</v>
      </c>
      <c r="C40" s="4" t="s">
        <v>22</v>
      </c>
      <c r="D40" s="4">
        <v>7</v>
      </c>
      <c r="E40" s="4"/>
      <c r="F40" s="18" t="s">
        <v>76</v>
      </c>
      <c r="G40" s="4">
        <v>0</v>
      </c>
      <c r="H40" s="4">
        <v>50</v>
      </c>
      <c r="I40" s="4">
        <v>30</v>
      </c>
      <c r="J40" s="4">
        <v>20</v>
      </c>
      <c r="K40" s="4"/>
      <c r="L40" s="4"/>
      <c r="M40" s="2" t="s">
        <v>67</v>
      </c>
      <c r="R40" s="4">
        <v>0</v>
      </c>
      <c r="S40" s="4">
        <v>0</v>
      </c>
      <c r="T40" s="4">
        <v>0</v>
      </c>
      <c r="U40" s="4"/>
      <c r="V40" s="4"/>
      <c r="W40" s="4">
        <v>1</v>
      </c>
      <c r="X40" s="2" t="s">
        <v>54</v>
      </c>
      <c r="Y40" s="2" t="s">
        <v>54</v>
      </c>
      <c r="Z40" s="2" t="s">
        <v>54</v>
      </c>
      <c r="AA40" s="2" t="s">
        <v>53</v>
      </c>
      <c r="AB40" s="2" t="s">
        <v>72</v>
      </c>
      <c r="AC40" s="4" t="s">
        <v>39</v>
      </c>
      <c r="AE40" s="2" t="s">
        <v>78</v>
      </c>
      <c r="AF40" s="2" t="s">
        <v>57</v>
      </c>
      <c r="AG40" s="4"/>
    </row>
    <row r="41" spans="2:33" x14ac:dyDescent="0.25">
      <c r="B41" s="4">
        <v>14</v>
      </c>
      <c r="C41" s="4" t="s">
        <v>23</v>
      </c>
      <c r="D41" s="4">
        <v>7</v>
      </c>
      <c r="E41" s="4"/>
      <c r="F41" s="18" t="s">
        <v>76</v>
      </c>
      <c r="G41" s="4">
        <v>0</v>
      </c>
      <c r="H41" s="4">
        <v>50</v>
      </c>
      <c r="I41" s="4">
        <v>30</v>
      </c>
      <c r="J41" s="4">
        <v>20</v>
      </c>
      <c r="K41" s="4"/>
      <c r="L41" s="4"/>
      <c r="M41" s="2" t="s">
        <v>67</v>
      </c>
      <c r="R41" s="4">
        <v>0</v>
      </c>
      <c r="S41" s="4">
        <v>0</v>
      </c>
      <c r="T41" s="4">
        <v>0</v>
      </c>
      <c r="U41" s="4"/>
      <c r="V41" s="4"/>
      <c r="W41" s="4">
        <v>1</v>
      </c>
      <c r="X41" s="2" t="s">
        <v>54</v>
      </c>
      <c r="Y41" s="2" t="s">
        <v>54</v>
      </c>
      <c r="Z41" s="2" t="s">
        <v>54</v>
      </c>
      <c r="AA41" s="2" t="s">
        <v>53</v>
      </c>
      <c r="AB41" s="2" t="s">
        <v>72</v>
      </c>
      <c r="AC41" s="4" t="s">
        <v>40</v>
      </c>
      <c r="AE41" s="2" t="s">
        <v>78</v>
      </c>
      <c r="AF41" s="2" t="s">
        <v>57</v>
      </c>
      <c r="AG41" s="4"/>
    </row>
    <row r="42" spans="2:33" x14ac:dyDescent="0.25">
      <c r="D42" s="4"/>
      <c r="E42" s="4"/>
      <c r="AC42" s="4"/>
      <c r="AG42" s="4"/>
    </row>
    <row r="43" spans="2:33" x14ac:dyDescent="0.25">
      <c r="D43" s="4"/>
      <c r="E43" s="4"/>
      <c r="AC43" s="4"/>
      <c r="AG43" s="4"/>
    </row>
    <row r="44" spans="2:33" x14ac:dyDescent="0.25">
      <c r="D44" s="4"/>
      <c r="E44" s="4"/>
      <c r="AC44" s="4"/>
      <c r="AG44" s="4"/>
    </row>
    <row r="45" spans="2:33" x14ac:dyDescent="0.25">
      <c r="D45" s="4"/>
      <c r="E45" s="4"/>
      <c r="AC45" s="4"/>
      <c r="AG45" s="4"/>
    </row>
    <row r="46" spans="2:33" x14ac:dyDescent="0.25">
      <c r="D46" s="4"/>
      <c r="E46" s="4"/>
      <c r="AC46" s="4"/>
      <c r="AG46" s="4"/>
    </row>
    <row r="47" spans="2:33" x14ac:dyDescent="0.25">
      <c r="D47" s="4"/>
      <c r="E47" s="4"/>
      <c r="AC47" s="4"/>
      <c r="AG47" s="4"/>
    </row>
    <row r="48" spans="2:33" x14ac:dyDescent="0.25">
      <c r="D48" s="4"/>
      <c r="E48" s="4"/>
      <c r="AC48" s="4"/>
      <c r="AG48" s="4"/>
    </row>
    <row r="49" spans="4:29" x14ac:dyDescent="0.25">
      <c r="D49" s="4"/>
      <c r="E49" s="4"/>
      <c r="AC49" s="4"/>
    </row>
    <row r="50" spans="4:29" x14ac:dyDescent="0.25">
      <c r="D50" s="4"/>
      <c r="E50" s="4"/>
      <c r="AC50" s="4"/>
    </row>
    <row r="51" spans="4:29" x14ac:dyDescent="0.25">
      <c r="D51" s="4"/>
      <c r="E51" s="4"/>
      <c r="AC51" s="4"/>
    </row>
    <row r="52" spans="4:29" x14ac:dyDescent="0.25">
      <c r="D52" s="4"/>
      <c r="E52" s="4"/>
      <c r="AC52" s="4"/>
    </row>
    <row r="53" spans="4:29" x14ac:dyDescent="0.25">
      <c r="D53" s="4"/>
      <c r="E53" s="4"/>
      <c r="AC53" s="4"/>
    </row>
    <row r="54" spans="4:29" x14ac:dyDescent="0.25">
      <c r="D54" s="4"/>
      <c r="E54" s="4"/>
      <c r="AC54" s="4"/>
    </row>
    <row r="55" spans="4:29" x14ac:dyDescent="0.25">
      <c r="D55" s="4"/>
      <c r="E55" s="4"/>
      <c r="AC55" s="4"/>
    </row>
    <row r="56" spans="4:29" x14ac:dyDescent="0.25">
      <c r="D56" s="4"/>
      <c r="E56" s="4"/>
      <c r="AC56" s="4"/>
    </row>
    <row r="57" spans="4:29" x14ac:dyDescent="0.25">
      <c r="D57" s="4"/>
      <c r="E57" s="4"/>
      <c r="AC57" s="4"/>
    </row>
    <row r="58" spans="4:29" x14ac:dyDescent="0.25">
      <c r="D58" s="4"/>
      <c r="E58" s="4"/>
      <c r="AC58" s="4"/>
    </row>
    <row r="59" spans="4:29" x14ac:dyDescent="0.25">
      <c r="D59" s="4"/>
      <c r="E59" s="4"/>
      <c r="AC59" s="4"/>
    </row>
    <row r="60" spans="4:29" x14ac:dyDescent="0.25">
      <c r="D60" s="4"/>
      <c r="E60" s="4"/>
      <c r="AC60" s="4"/>
    </row>
    <row r="61" spans="4:29" x14ac:dyDescent="0.25">
      <c r="D61" s="4"/>
      <c r="E61" s="4"/>
      <c r="AC61" s="4"/>
    </row>
    <row r="62" spans="4:29" x14ac:dyDescent="0.25">
      <c r="D62" s="4"/>
      <c r="E62" s="4"/>
      <c r="AC62" s="4"/>
    </row>
    <row r="63" spans="4:29" x14ac:dyDescent="0.25">
      <c r="D63" s="4"/>
      <c r="E63" s="4"/>
      <c r="AC63" s="4"/>
    </row>
    <row r="64" spans="4:29" x14ac:dyDescent="0.25">
      <c r="D64" s="4"/>
      <c r="E64" s="4"/>
      <c r="AC64" s="4"/>
    </row>
    <row r="65" spans="4:29" x14ac:dyDescent="0.25">
      <c r="D65" s="4"/>
      <c r="E65" s="4"/>
      <c r="AC65" s="4"/>
    </row>
    <row r="66" spans="4:29" x14ac:dyDescent="0.25">
      <c r="D66" s="4"/>
      <c r="E66" s="4"/>
      <c r="AC66" s="4"/>
    </row>
    <row r="67" spans="4:29" x14ac:dyDescent="0.25">
      <c r="D67" s="4"/>
      <c r="E67" s="4"/>
      <c r="AC67" s="4"/>
    </row>
    <row r="68" spans="4:29" x14ac:dyDescent="0.25">
      <c r="D68" s="4"/>
      <c r="E68" s="4"/>
      <c r="AC68" s="4"/>
    </row>
    <row r="69" spans="4:29" x14ac:dyDescent="0.25">
      <c r="D69" s="4"/>
      <c r="E69" s="4"/>
      <c r="AC69" s="4"/>
    </row>
    <row r="70" spans="4:29" x14ac:dyDescent="0.25">
      <c r="D70" s="4"/>
      <c r="E70" s="4"/>
      <c r="AC70" s="4"/>
    </row>
    <row r="71" spans="4:29" x14ac:dyDescent="0.2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Asus</cp:lastModifiedBy>
  <cp:lastPrinted>2019-03-03T03:49:50Z</cp:lastPrinted>
  <dcterms:created xsi:type="dcterms:W3CDTF">2006-09-16T00:00:00Z</dcterms:created>
  <dcterms:modified xsi:type="dcterms:W3CDTF">2025-11-23T04:13:32Z</dcterms:modified>
</cp:coreProperties>
</file>