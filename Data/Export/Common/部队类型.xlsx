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8F43465-96C4-40F6-A872-79BF6BFCA402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36" l="1"/>
  <c r="E16" i="36"/>
  <c r="E17" i="36"/>
  <c r="E18" i="36"/>
  <c r="E19" i="36"/>
  <c r="E20" i="36"/>
  <c r="E22" i="36"/>
  <c r="E23" i="36"/>
  <c r="E24" i="36"/>
  <c r="E25" i="36"/>
  <c r="E26" i="36"/>
  <c r="E15" i="36"/>
</calcChain>
</file>

<file path=xl/sharedStrings.xml><?xml version="1.0" encoding="utf-8"?>
<sst xmlns="http://schemas.openxmlformats.org/spreadsheetml/2006/main" count="424" uniqueCount="179">
  <si>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</si>
  <si>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</si>
  <si>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</si>
  <si>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</si>
  <si>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</si>
  <si>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</si>
  <si>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</si>
  <si>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</si>
  <si>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</si>
  <si>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</si>
  <si>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</si>
  <si>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</si>
  <si>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</si>
  <si>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</si>
  <si>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</si>
  <si>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</si>
  <si>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</si>
  <si>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</si>
  <si>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</si>
  <si>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</si>
  <si>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</si>
  <si>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</si>
  <si>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</si>
  <si>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</si>
  <si>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</si>
  <si>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</si>
  <si>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</si>
  <si>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</si>
  <si>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</si>
  <si>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</si>
  <si>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</si>
  <si>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</si>
  <si>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</si>
  <si>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</si>
  <si>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</si>
  <si>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</si>
  <si>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</si>
  <si>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</si>
  <si>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</si>
  <si>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</si>
  <si>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</si>
  <si>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</si>
  <si>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</si>
  <si>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</si>
  <si>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</si>
  <si>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</si>
  <si>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</si>
  <si>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</si>
  <si>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</si>
  <si>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</si>
  <si>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</si>
  <si>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</si>
  <si>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</si>
  <si>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</si>
  <si>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</si>
  <si>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</si>
  <si>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</si>
  <si>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</si>
  <si>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</si>
  <si>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</si>
  <si>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</si>
  <si>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</si>
  <si>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</si>
  <si>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</si>
  <si>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</si>
  <si>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</si>
  <si>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</si>
  <si>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</si>
  <si>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</si>
  <si>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</si>
  <si>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</si>
  <si>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</si>
  <si>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</si>
  <si>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</si>
  <si>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</si>
  <si>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</si>
  <si>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</si>
  <si>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</si>
  <si>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</si>
  <si>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</si>
  <si>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</si>
  <si>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</si>
  <si>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</si>
  <si>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</si>
  <si>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</si>
  <si>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</si>
  <si>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</si>
  <si>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</si>
  <si>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</si>
  <si>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</si>
  <si>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</si>
  <si>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</si>
  <si>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</si>
  <si>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</si>
  <si>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</si>
  <si>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</si>
  <si>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</si>
  <si>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</si>
  <si>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</si>
  <si>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</si>
  <si>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</si>
  <si>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</si>
  <si>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</si>
  <si>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</si>
  <si>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</si>
  <si>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</si>
  <si>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</si>
  <si>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</si>
  <si>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</si>
  <si>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</si>
  <si>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</si>
  <si>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</si>
  <si>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</si>
  <si>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</si>
  <si>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</si>
  <si>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</si>
  <si>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</si>
  <si>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</si>
  <si>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</si>
  <si>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</si>
  <si>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</si>
  <si>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</si>
  <si>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</si>
  <si>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</si>
  <si>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</si>
  <si>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</si>
  <si>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</si>
  <si>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</si>
  <si>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</si>
  <si>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</si>
  <si>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</si>
  <si>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</si>
  <si>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</si>
  <si>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</si>
  <si>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</si>
  <si>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</si>
  <si>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</si>
  <si>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</si>
  <si>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</si>
  <si>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</si>
  <si>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</si>
  <si>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</si>
  <si>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</si>
  <si>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</si>
  <si>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</si>
  <si>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</si>
  <si>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</si>
  <si>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</si>
  <si>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</si>
  <si>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</si>
  <si>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</si>
  <si>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</si>
  <si>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</si>
  <si>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</si>
  <si>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</si>
  <si>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</si>
  <si>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0</t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</si>
  <si>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</si>
  <si>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</si>
  <si>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</si>
  <si>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</si>
  <si>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</si>
  <si>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</si>
  <si>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</si>
  <si>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</si>
  <si>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</si>
  <si>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</si>
  <si>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</si>
  <si>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</si>
  <si>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</si>
  <si>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</si>
  <si>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</si>
  <si>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</si>
  <si>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1,19</t>
    <phoneticPr fontId="1" type="noConversion"/>
  </si>
  <si>
    <t>1,20</t>
    <phoneticPr fontId="1" type="noConversion"/>
  </si>
  <si>
    <t>1,21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</si>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</sst>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74"/>
  <sheetViews>
    <sheetView tabSelected="1" topLeftCell="Z1" zoomScale="93" zoomScaleNormal="93" workbookViewId="0">
      <selection activeCell="AF16" sqref="AF16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56</v>
      </c>
      <c r="I1" s="13" t="s">
        <v>152</v>
      </c>
      <c r="J1" s="13" t="s">
        <v>57</v>
      </c>
      <c r="K1" s="13" t="s">
        <v>99</v>
      </c>
      <c r="L1" s="13" t="s">
        <v>98</v>
      </c>
      <c r="M1" s="8" t="s">
        <v>79</v>
      </c>
      <c r="N1" s="8" t="s">
        <v>143</v>
      </c>
      <c r="O1" s="8" t="s">
        <v>142</v>
      </c>
      <c r="P1" s="13" t="s">
        <v>117</v>
      </c>
      <c r="Q1" s="13" t="s">
        <v>109</v>
      </c>
      <c r="R1" s="13" t="s">
        <v>108</v>
      </c>
      <c r="S1" s="13" t="s">
        <v>107</v>
      </c>
      <c r="T1" s="13" t="s">
        <v>106</v>
      </c>
      <c r="U1" s="19" t="s">
        <v>105</v>
      </c>
      <c r="V1" s="13" t="s">
        <v>111</v>
      </c>
      <c r="W1" s="8" t="s">
        <v>95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59</v>
      </c>
      <c r="I3" s="7" t="s">
        <v>93</v>
      </c>
      <c r="J3" s="7" t="s">
        <v>60</v>
      </c>
      <c r="K3" s="7" t="s">
        <v>96</v>
      </c>
      <c r="L3" s="7" t="s">
        <v>97</v>
      </c>
      <c r="M3" s="7" t="s">
        <v>91</v>
      </c>
      <c r="N3" s="7" t="s">
        <v>140</v>
      </c>
      <c r="O3" s="7" t="s">
        <v>141</v>
      </c>
      <c r="P3" s="7" t="s">
        <v>116</v>
      </c>
      <c r="Q3" s="7" t="s">
        <v>100</v>
      </c>
      <c r="R3" s="7" t="s">
        <v>101</v>
      </c>
      <c r="S3" s="7" t="s">
        <v>102</v>
      </c>
      <c r="T3" s="7" t="s">
        <v>103</v>
      </c>
      <c r="U3" s="7" t="s">
        <v>104</v>
      </c>
      <c r="V3" s="7" t="s">
        <v>112</v>
      </c>
      <c r="W3" s="7" t="s">
        <v>94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110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123</v>
      </c>
      <c r="D5" s="4">
        <v>1</v>
      </c>
      <c r="E5" s="4" t="s">
        <v>123</v>
      </c>
      <c r="F5" s="18" t="s">
        <v>80</v>
      </c>
      <c r="G5" s="4">
        <v>65</v>
      </c>
      <c r="H5" s="4">
        <v>65</v>
      </c>
      <c r="I5" s="4">
        <v>30</v>
      </c>
      <c r="J5" s="4">
        <v>16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144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113</v>
      </c>
      <c r="D6" s="4">
        <v>3</v>
      </c>
      <c r="E6" s="4" t="s">
        <v>113</v>
      </c>
      <c r="F6" s="18" t="s">
        <v>149</v>
      </c>
      <c r="G6" s="4">
        <v>95</v>
      </c>
      <c r="H6" s="4">
        <v>85</v>
      </c>
      <c r="I6" s="4">
        <v>100</v>
      </c>
      <c r="J6" s="4">
        <v>16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118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145</v>
      </c>
      <c r="AE6" s="2" t="s">
        <v>74</v>
      </c>
      <c r="AF6" s="4"/>
    </row>
    <row r="7" spans="1:33" x14ac:dyDescent="0.15">
      <c r="B7" s="4">
        <v>3</v>
      </c>
      <c r="C7" s="4" t="s">
        <v>122</v>
      </c>
      <c r="D7" s="4">
        <v>1</v>
      </c>
      <c r="E7" s="4" t="s">
        <v>122</v>
      </c>
      <c r="F7" s="18" t="s">
        <v>150</v>
      </c>
      <c r="G7" s="4">
        <v>75</v>
      </c>
      <c r="H7" s="4">
        <v>105</v>
      </c>
      <c r="I7" s="4">
        <v>100</v>
      </c>
      <c r="J7" s="4">
        <v>16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119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146</v>
      </c>
      <c r="AE7" s="2" t="s">
        <v>71</v>
      </c>
      <c r="AF7" s="4"/>
    </row>
    <row r="8" spans="1:33" x14ac:dyDescent="0.15">
      <c r="B8" s="4">
        <v>4</v>
      </c>
      <c r="C8" s="4" t="s">
        <v>114</v>
      </c>
      <c r="D8" s="4">
        <v>2</v>
      </c>
      <c r="E8" s="4" t="s">
        <v>114</v>
      </c>
      <c r="F8" s="18" t="s">
        <v>153</v>
      </c>
      <c r="G8" s="4">
        <v>85</v>
      </c>
      <c r="H8" s="4">
        <v>75</v>
      </c>
      <c r="I8" s="4">
        <v>100</v>
      </c>
      <c r="J8" s="4">
        <v>16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147</v>
      </c>
      <c r="AE8" s="2" t="s">
        <v>73</v>
      </c>
      <c r="AF8" s="4"/>
    </row>
    <row r="9" spans="1:33" x14ac:dyDescent="0.15">
      <c r="B9" s="4">
        <v>5</v>
      </c>
      <c r="C9" s="4" t="s">
        <v>115</v>
      </c>
      <c r="D9" s="4">
        <v>4</v>
      </c>
      <c r="E9" s="4" t="s">
        <v>115</v>
      </c>
      <c r="F9" s="18" t="s">
        <v>151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148</v>
      </c>
      <c r="AE9" s="2" t="s">
        <v>72</v>
      </c>
      <c r="AF9" s="4"/>
    </row>
    <row r="10" spans="1:33" ht="12.75" customHeight="1" x14ac:dyDescent="0.15">
      <c r="B10" s="4">
        <v>6</v>
      </c>
      <c r="C10" s="4" t="s">
        <v>24</v>
      </c>
      <c r="D10" s="4">
        <v>7</v>
      </c>
      <c r="E10" s="4" t="s">
        <v>24</v>
      </c>
      <c r="F10" s="18"/>
      <c r="G10" s="4">
        <v>0</v>
      </c>
      <c r="H10" s="4">
        <v>50</v>
      </c>
      <c r="I10" s="4">
        <v>0</v>
      </c>
      <c r="J10" s="4">
        <v>24</v>
      </c>
      <c r="K10" s="4">
        <v>1</v>
      </c>
      <c r="L10" s="4">
        <v>1</v>
      </c>
      <c r="M10" s="2" t="s">
        <v>81</v>
      </c>
      <c r="N10" s="2" t="s">
        <v>81</v>
      </c>
      <c r="O10" s="2" t="s">
        <v>81</v>
      </c>
      <c r="P10" s="4"/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0.5</v>
      </c>
      <c r="W10" s="2" t="s">
        <v>68</v>
      </c>
      <c r="X10" s="2" t="s">
        <v>68</v>
      </c>
      <c r="Y10" s="2" t="s">
        <v>68</v>
      </c>
      <c r="Z10" s="2" t="s">
        <v>67</v>
      </c>
      <c r="AA10" s="2" t="s">
        <v>86</v>
      </c>
      <c r="AB10" s="4" t="s">
        <v>53</v>
      </c>
      <c r="AD10" s="2" t="s">
        <v>170</v>
      </c>
      <c r="AF10" s="4"/>
    </row>
    <row r="11" spans="1:33" x14ac:dyDescent="0.15">
      <c r="B11" s="4">
        <v>7</v>
      </c>
      <c r="C11" s="4" t="s">
        <v>25</v>
      </c>
      <c r="D11" s="4">
        <v>7</v>
      </c>
      <c r="E11" s="4" t="s">
        <v>24</v>
      </c>
      <c r="F11" s="18"/>
      <c r="G11" s="4">
        <v>0</v>
      </c>
      <c r="H11" s="4">
        <v>50</v>
      </c>
      <c r="I11" s="4">
        <v>0</v>
      </c>
      <c r="J11" s="4">
        <v>32</v>
      </c>
      <c r="K11" s="4">
        <v>1</v>
      </c>
      <c r="L11" s="4">
        <v>1</v>
      </c>
      <c r="M11" s="2" t="s">
        <v>81</v>
      </c>
      <c r="N11" s="2" t="s">
        <v>81</v>
      </c>
      <c r="O11" s="2" t="s">
        <v>81</v>
      </c>
      <c r="P11" s="4"/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0.5</v>
      </c>
      <c r="W11" s="2" t="s">
        <v>68</v>
      </c>
      <c r="X11" s="2" t="s">
        <v>68</v>
      </c>
      <c r="Y11" s="2" t="s">
        <v>68</v>
      </c>
      <c r="Z11" s="2" t="s">
        <v>67</v>
      </c>
      <c r="AA11" s="2" t="s">
        <v>86</v>
      </c>
      <c r="AB11" s="4" t="s">
        <v>54</v>
      </c>
      <c r="AD11" s="2" t="s">
        <v>171</v>
      </c>
      <c r="AF11" s="4"/>
    </row>
    <row r="12" spans="1:33" x14ac:dyDescent="0.15">
      <c r="B12" s="4">
        <v>8</v>
      </c>
      <c r="C12" s="4" t="s">
        <v>21</v>
      </c>
      <c r="D12" s="4">
        <v>6</v>
      </c>
      <c r="E12" s="4" t="s">
        <v>172</v>
      </c>
      <c r="F12" s="18" t="s">
        <v>173</v>
      </c>
      <c r="G12" s="4">
        <v>70</v>
      </c>
      <c r="H12" s="4">
        <v>80</v>
      </c>
      <c r="I12" s="2" t="s">
        <v>160</v>
      </c>
      <c r="J12" s="4">
        <v>24</v>
      </c>
      <c r="K12" s="4"/>
      <c r="L12" s="4"/>
      <c r="M12" s="2" t="s">
        <v>85</v>
      </c>
      <c r="N12" s="2" t="s">
        <v>81</v>
      </c>
      <c r="O12" s="2" t="s">
        <v>81</v>
      </c>
      <c r="P12" s="4"/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1</v>
      </c>
      <c r="W12" s="2" t="s">
        <v>68</v>
      </c>
      <c r="X12" s="2" t="s">
        <v>67</v>
      </c>
      <c r="Y12" s="2" t="s">
        <v>68</v>
      </c>
      <c r="Z12" s="2" t="s">
        <v>68</v>
      </c>
      <c r="AA12" s="2" t="s">
        <v>86</v>
      </c>
      <c r="AB12" s="4" t="s">
        <v>50</v>
      </c>
      <c r="AC12" s="2" t="s">
        <v>35</v>
      </c>
      <c r="AD12" s="2" t="s">
        <v>176</v>
      </c>
      <c r="AF12" s="4"/>
    </row>
    <row r="13" spans="1:33" x14ac:dyDescent="0.15">
      <c r="B13" s="4">
        <v>9</v>
      </c>
      <c r="C13" s="4" t="s">
        <v>22</v>
      </c>
      <c r="D13" s="4">
        <v>6</v>
      </c>
      <c r="E13" s="4" t="s">
        <v>172</v>
      </c>
      <c r="F13" s="18" t="s">
        <v>174</v>
      </c>
      <c r="G13" s="4">
        <v>80</v>
      </c>
      <c r="H13" s="4">
        <v>100</v>
      </c>
      <c r="I13" s="2" t="s">
        <v>160</v>
      </c>
      <c r="J13" s="4">
        <v>26</v>
      </c>
      <c r="K13" s="4"/>
      <c r="L13" s="4"/>
      <c r="M13" s="2" t="s">
        <v>85</v>
      </c>
      <c r="N13" s="2" t="s">
        <v>81</v>
      </c>
      <c r="O13" s="2" t="s">
        <v>81</v>
      </c>
      <c r="P13" s="4"/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1</v>
      </c>
      <c r="W13" s="2" t="s">
        <v>68</v>
      </c>
      <c r="X13" s="2" t="s">
        <v>67</v>
      </c>
      <c r="Y13" s="2" t="s">
        <v>68</v>
      </c>
      <c r="Z13" s="2" t="s">
        <v>68</v>
      </c>
      <c r="AA13" s="2" t="s">
        <v>86</v>
      </c>
      <c r="AB13" s="4" t="s">
        <v>51</v>
      </c>
      <c r="AC13" s="2" t="s">
        <v>36</v>
      </c>
      <c r="AD13" s="2" t="s">
        <v>177</v>
      </c>
      <c r="AF13" s="4"/>
    </row>
    <row r="14" spans="1:33" x14ac:dyDescent="0.15">
      <c r="B14" s="4">
        <v>10</v>
      </c>
      <c r="C14" s="4" t="s">
        <v>23</v>
      </c>
      <c r="D14" s="4">
        <v>6</v>
      </c>
      <c r="E14" s="4" t="s">
        <v>172</v>
      </c>
      <c r="F14" s="18" t="s">
        <v>175</v>
      </c>
      <c r="G14" s="4">
        <v>90</v>
      </c>
      <c r="H14" s="4">
        <v>120</v>
      </c>
      <c r="I14" s="2" t="s">
        <v>160</v>
      </c>
      <c r="J14" s="4">
        <v>28</v>
      </c>
      <c r="K14" s="4"/>
      <c r="L14" s="4"/>
      <c r="M14" s="2" t="s">
        <v>85</v>
      </c>
      <c r="N14" s="2" t="s">
        <v>81</v>
      </c>
      <c r="O14" s="2" t="s">
        <v>81</v>
      </c>
      <c r="P14" s="4"/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1</v>
      </c>
      <c r="W14" s="2" t="s">
        <v>68</v>
      </c>
      <c r="X14" s="2" t="s">
        <v>67</v>
      </c>
      <c r="Y14" s="2" t="s">
        <v>68</v>
      </c>
      <c r="Z14" s="2" t="s">
        <v>68</v>
      </c>
      <c r="AA14" s="2" t="s">
        <v>86</v>
      </c>
      <c r="AB14" s="4" t="s">
        <v>52</v>
      </c>
      <c r="AC14" s="2" t="s">
        <v>37</v>
      </c>
      <c r="AD14" s="2" t="s">
        <v>178</v>
      </c>
      <c r="AF14" s="4"/>
    </row>
    <row r="15" spans="1:33" x14ac:dyDescent="0.15">
      <c r="B15" s="4">
        <v>11</v>
      </c>
      <c r="C15" s="2" t="s">
        <v>128</v>
      </c>
      <c r="D15" s="4">
        <v>1</v>
      </c>
      <c r="E15" s="4" t="str">
        <f>VLOOKUP(D15,$D$6:$E$9,2,0)</f>
        <v>刀兵</v>
      </c>
      <c r="F15" s="18" t="s">
        <v>150</v>
      </c>
      <c r="G15" s="2" t="s">
        <v>158</v>
      </c>
      <c r="H15" s="2" t="s">
        <v>160</v>
      </c>
      <c r="I15" s="2" t="s">
        <v>160</v>
      </c>
      <c r="N15" s="4">
        <v>8</v>
      </c>
      <c r="O15" s="2" t="s">
        <v>156</v>
      </c>
      <c r="R15" s="2" t="s">
        <v>81</v>
      </c>
    </row>
    <row r="16" spans="1:33" x14ac:dyDescent="0.15">
      <c r="B16" s="4">
        <v>12</v>
      </c>
      <c r="C16" s="2" t="s">
        <v>137</v>
      </c>
      <c r="D16" s="4">
        <v>3</v>
      </c>
      <c r="E16" s="4" t="str">
        <f t="shared" ref="E16:E26" si="0">VLOOKUP(D16,$D$6:$E$9,2,0)</f>
        <v>枪兵</v>
      </c>
      <c r="F16" s="18" t="s">
        <v>149</v>
      </c>
      <c r="G16" s="2" t="s">
        <v>158</v>
      </c>
      <c r="H16" s="2" t="s">
        <v>160</v>
      </c>
      <c r="I16" s="2" t="s">
        <v>160</v>
      </c>
      <c r="N16" s="4">
        <v>9</v>
      </c>
      <c r="O16" s="2" t="s">
        <v>156</v>
      </c>
    </row>
    <row r="17" spans="2:32" x14ac:dyDescent="0.15">
      <c r="B17" s="4">
        <v>13</v>
      </c>
      <c r="C17" s="2" t="s">
        <v>129</v>
      </c>
      <c r="D17" s="4">
        <v>3</v>
      </c>
      <c r="E17" s="4" t="str">
        <f t="shared" si="0"/>
        <v>枪兵</v>
      </c>
      <c r="F17" s="18" t="s">
        <v>149</v>
      </c>
      <c r="G17" s="2" t="s">
        <v>157</v>
      </c>
      <c r="H17" s="2" t="s">
        <v>161</v>
      </c>
      <c r="I17" s="2" t="s">
        <v>159</v>
      </c>
      <c r="N17" s="4">
        <v>10</v>
      </c>
      <c r="O17" s="2" t="s">
        <v>156</v>
      </c>
    </row>
    <row r="18" spans="2:32" x14ac:dyDescent="0.15">
      <c r="B18" s="4">
        <v>14</v>
      </c>
      <c r="C18" s="2" t="s">
        <v>130</v>
      </c>
      <c r="D18" s="4">
        <v>4</v>
      </c>
      <c r="E18" s="4" t="str">
        <f t="shared" si="0"/>
        <v>骑兵</v>
      </c>
      <c r="F18" s="18" t="s">
        <v>151</v>
      </c>
      <c r="G18" s="2" t="s">
        <v>157</v>
      </c>
      <c r="H18" s="2" t="s">
        <v>162</v>
      </c>
      <c r="I18" s="2" t="s">
        <v>159</v>
      </c>
      <c r="J18" s="4">
        <v>28</v>
      </c>
      <c r="N18" s="4">
        <v>11</v>
      </c>
      <c r="O18" s="2" t="s">
        <v>156</v>
      </c>
    </row>
    <row r="19" spans="2:32" x14ac:dyDescent="0.15">
      <c r="B19" s="4">
        <v>15</v>
      </c>
      <c r="C19" s="2" t="s">
        <v>138</v>
      </c>
      <c r="D19" s="4">
        <v>3</v>
      </c>
      <c r="E19" s="4" t="str">
        <f t="shared" si="0"/>
        <v>枪兵</v>
      </c>
      <c r="F19" s="18" t="s">
        <v>149</v>
      </c>
      <c r="G19" s="2" t="s">
        <v>157</v>
      </c>
      <c r="H19" s="2" t="s">
        <v>163</v>
      </c>
      <c r="I19" s="2" t="s">
        <v>159</v>
      </c>
      <c r="N19" s="4">
        <v>12</v>
      </c>
      <c r="O19" s="2" t="s">
        <v>156</v>
      </c>
    </row>
    <row r="20" spans="2:32" x14ac:dyDescent="0.15">
      <c r="B20" s="4">
        <v>16</v>
      </c>
      <c r="C20" s="2" t="s">
        <v>139</v>
      </c>
      <c r="D20" s="4">
        <v>1</v>
      </c>
      <c r="E20" s="4" t="str">
        <f t="shared" si="0"/>
        <v>刀兵</v>
      </c>
      <c r="F20" s="18" t="s">
        <v>150</v>
      </c>
      <c r="G20" s="2" t="s">
        <v>157</v>
      </c>
      <c r="H20" s="2" t="s">
        <v>164</v>
      </c>
      <c r="I20" s="2" t="s">
        <v>159</v>
      </c>
      <c r="N20" s="4">
        <v>13</v>
      </c>
      <c r="O20" s="2" t="s">
        <v>156</v>
      </c>
    </row>
    <row r="21" spans="2:32" x14ac:dyDescent="0.15">
      <c r="B21" s="4">
        <v>17</v>
      </c>
      <c r="C21" s="2" t="s">
        <v>131</v>
      </c>
      <c r="D21" s="4">
        <v>4</v>
      </c>
      <c r="E21" s="4" t="str">
        <f t="shared" si="0"/>
        <v>骑兵</v>
      </c>
      <c r="F21" s="18" t="s">
        <v>151</v>
      </c>
      <c r="G21" s="2" t="s">
        <v>157</v>
      </c>
      <c r="H21" s="2" t="s">
        <v>165</v>
      </c>
      <c r="I21" s="2" t="s">
        <v>159</v>
      </c>
      <c r="J21" s="4">
        <v>28</v>
      </c>
      <c r="N21" s="4">
        <v>14</v>
      </c>
      <c r="O21" s="2" t="s">
        <v>156</v>
      </c>
    </row>
    <row r="22" spans="2:32" ht="15" x14ac:dyDescent="0.2">
      <c r="B22" s="4">
        <v>18</v>
      </c>
      <c r="C22" s="20" t="s">
        <v>132</v>
      </c>
      <c r="D22" s="4">
        <v>4</v>
      </c>
      <c r="E22" s="4" t="str">
        <f t="shared" si="0"/>
        <v>骑兵</v>
      </c>
      <c r="F22" s="18" t="s">
        <v>151</v>
      </c>
      <c r="G22" s="2" t="s">
        <v>157</v>
      </c>
      <c r="H22" s="2" t="s">
        <v>166</v>
      </c>
      <c r="I22" s="2" t="s">
        <v>159</v>
      </c>
      <c r="J22" s="4">
        <v>28</v>
      </c>
      <c r="N22" s="4">
        <v>15</v>
      </c>
      <c r="O22" s="2" t="s">
        <v>156</v>
      </c>
    </row>
    <row r="23" spans="2:32" x14ac:dyDescent="0.15">
      <c r="B23" s="4">
        <v>19</v>
      </c>
      <c r="C23" s="2" t="s">
        <v>133</v>
      </c>
      <c r="D23" s="4">
        <v>1</v>
      </c>
      <c r="E23" s="4" t="str">
        <f t="shared" si="0"/>
        <v>刀兵</v>
      </c>
      <c r="F23" s="18" t="s">
        <v>150</v>
      </c>
      <c r="G23" s="2" t="s">
        <v>157</v>
      </c>
      <c r="H23" s="2" t="s">
        <v>167</v>
      </c>
      <c r="I23" s="2" t="s">
        <v>159</v>
      </c>
      <c r="N23" s="4">
        <v>16</v>
      </c>
      <c r="O23" s="2" t="s">
        <v>156</v>
      </c>
    </row>
    <row r="24" spans="2:32" x14ac:dyDescent="0.15">
      <c r="B24" s="4">
        <v>20</v>
      </c>
      <c r="C24" s="4" t="s">
        <v>134</v>
      </c>
      <c r="D24" s="4">
        <v>4</v>
      </c>
      <c r="E24" s="4" t="str">
        <f t="shared" si="0"/>
        <v>骑兵</v>
      </c>
      <c r="F24" s="18" t="s">
        <v>151</v>
      </c>
      <c r="G24" s="2" t="s">
        <v>157</v>
      </c>
      <c r="H24" s="2" t="s">
        <v>168</v>
      </c>
      <c r="I24" s="2" t="s">
        <v>159</v>
      </c>
      <c r="J24" s="4">
        <v>28</v>
      </c>
      <c r="N24" s="4">
        <v>17</v>
      </c>
      <c r="O24" s="2" t="s">
        <v>156</v>
      </c>
      <c r="AB24" s="4"/>
      <c r="AF24" s="4"/>
    </row>
    <row r="25" spans="2:32" x14ac:dyDescent="0.15">
      <c r="B25" s="4">
        <v>21</v>
      </c>
      <c r="C25" s="4" t="s">
        <v>135</v>
      </c>
      <c r="D25" s="4">
        <v>2</v>
      </c>
      <c r="E25" s="4" t="str">
        <f t="shared" si="0"/>
        <v>弓兵</v>
      </c>
      <c r="F25" s="18" t="s">
        <v>153</v>
      </c>
      <c r="G25" s="2" t="s">
        <v>157</v>
      </c>
      <c r="H25" s="2" t="s">
        <v>169</v>
      </c>
      <c r="I25" s="2" t="s">
        <v>159</v>
      </c>
      <c r="N25" s="2" t="s">
        <v>154</v>
      </c>
      <c r="O25" s="2" t="s">
        <v>156</v>
      </c>
      <c r="AB25" s="4"/>
      <c r="AF25" s="4"/>
    </row>
    <row r="26" spans="2:32" x14ac:dyDescent="0.15">
      <c r="B26" s="4">
        <v>22</v>
      </c>
      <c r="C26" s="2" t="s">
        <v>136</v>
      </c>
      <c r="D26" s="4">
        <v>2</v>
      </c>
      <c r="E26" s="4" t="str">
        <f t="shared" si="0"/>
        <v>弓兵</v>
      </c>
      <c r="F26" s="18" t="s">
        <v>153</v>
      </c>
      <c r="G26" s="2" t="s">
        <v>157</v>
      </c>
      <c r="H26" s="2" t="s">
        <v>157</v>
      </c>
      <c r="I26" s="2" t="s">
        <v>159</v>
      </c>
      <c r="N26" s="2" t="s">
        <v>155</v>
      </c>
      <c r="O26" s="2" t="s">
        <v>156</v>
      </c>
    </row>
    <row r="35" spans="2:32" x14ac:dyDescent="0.15">
      <c r="B35" s="4"/>
      <c r="C35" s="4"/>
      <c r="D35" s="4"/>
      <c r="E35" s="4"/>
      <c r="AB35" s="4"/>
      <c r="AF35" s="4"/>
    </row>
    <row r="36" spans="2:32" ht="12.75" customHeight="1" x14ac:dyDescent="0.15">
      <c r="B36" s="4">
        <v>13</v>
      </c>
      <c r="C36" s="4" t="s">
        <v>24</v>
      </c>
      <c r="D36" s="4">
        <v>7</v>
      </c>
      <c r="E36" s="4"/>
      <c r="F36" s="18" t="s">
        <v>90</v>
      </c>
      <c r="G36" s="4">
        <v>0</v>
      </c>
      <c r="H36" s="4">
        <v>50</v>
      </c>
      <c r="I36" s="4">
        <v>30</v>
      </c>
      <c r="J36" s="4">
        <v>20</v>
      </c>
      <c r="K36" s="4"/>
      <c r="L36" s="4"/>
      <c r="M36" s="2" t="s">
        <v>81</v>
      </c>
      <c r="P36" s="4"/>
      <c r="Q36" s="4">
        <v>0</v>
      </c>
      <c r="R36" s="4">
        <v>0</v>
      </c>
      <c r="S36" s="4">
        <v>0</v>
      </c>
      <c r="T36" s="4"/>
      <c r="U36" s="4"/>
      <c r="V36" s="4">
        <v>1</v>
      </c>
      <c r="W36" s="2" t="s">
        <v>68</v>
      </c>
      <c r="X36" s="2" t="s">
        <v>68</v>
      </c>
      <c r="Y36" s="2" t="s">
        <v>68</v>
      </c>
      <c r="Z36" s="2" t="s">
        <v>67</v>
      </c>
      <c r="AA36" s="2" t="s">
        <v>86</v>
      </c>
      <c r="AB36" s="4" t="s">
        <v>53</v>
      </c>
      <c r="AD36" s="2" t="s">
        <v>92</v>
      </c>
      <c r="AE36" s="2" t="s">
        <v>71</v>
      </c>
      <c r="AF36" s="4"/>
    </row>
    <row r="37" spans="2:32" x14ac:dyDescent="0.15">
      <c r="B37" s="4">
        <v>14</v>
      </c>
      <c r="C37" s="4" t="s">
        <v>25</v>
      </c>
      <c r="D37" s="4">
        <v>7</v>
      </c>
      <c r="E37" s="4"/>
      <c r="F37" s="18" t="s">
        <v>90</v>
      </c>
      <c r="G37" s="4">
        <v>0</v>
      </c>
      <c r="H37" s="4">
        <v>50</v>
      </c>
      <c r="I37" s="4">
        <v>30</v>
      </c>
      <c r="J37" s="4">
        <v>20</v>
      </c>
      <c r="K37" s="4"/>
      <c r="L37" s="4"/>
      <c r="M37" s="2" t="s">
        <v>81</v>
      </c>
      <c r="P37" s="4"/>
      <c r="Q37" s="4">
        <v>0</v>
      </c>
      <c r="R37" s="4">
        <v>0</v>
      </c>
      <c r="S37" s="4">
        <v>0</v>
      </c>
      <c r="T37" s="4"/>
      <c r="U37" s="4"/>
      <c r="V37" s="4">
        <v>1</v>
      </c>
      <c r="W37" s="2" t="s">
        <v>68</v>
      </c>
      <c r="X37" s="2" t="s">
        <v>68</v>
      </c>
      <c r="Y37" s="2" t="s">
        <v>68</v>
      </c>
      <c r="Z37" s="2" t="s">
        <v>67</v>
      </c>
      <c r="AA37" s="2" t="s">
        <v>86</v>
      </c>
      <c r="AB37" s="4" t="s">
        <v>54</v>
      </c>
      <c r="AD37" s="2" t="s">
        <v>92</v>
      </c>
      <c r="AE37" s="2" t="s">
        <v>71</v>
      </c>
      <c r="AF37" s="4"/>
    </row>
    <row r="38" spans="2:32" x14ac:dyDescent="0.15">
      <c r="B38" s="4">
        <v>6</v>
      </c>
      <c r="C38" s="4" t="s">
        <v>17</v>
      </c>
      <c r="D38" s="4">
        <v>5</v>
      </c>
      <c r="E38" s="4"/>
      <c r="F38" s="18" t="s">
        <v>80</v>
      </c>
      <c r="G38" s="4">
        <v>70</v>
      </c>
      <c r="H38" s="4">
        <v>90</v>
      </c>
      <c r="I38" s="4">
        <v>30</v>
      </c>
      <c r="J38" s="4">
        <v>16</v>
      </c>
      <c r="K38" s="4"/>
      <c r="L38" s="4"/>
      <c r="M38" s="2" t="s">
        <v>85</v>
      </c>
      <c r="P38" s="4" t="s">
        <v>124</v>
      </c>
      <c r="Q38" s="4">
        <v>2000</v>
      </c>
      <c r="R38" s="4">
        <v>2000</v>
      </c>
      <c r="S38" s="4">
        <v>2000</v>
      </c>
      <c r="T38" s="4"/>
      <c r="U38" s="4"/>
      <c r="V38" s="4">
        <v>1</v>
      </c>
      <c r="W38" s="2" t="s">
        <v>68</v>
      </c>
      <c r="X38" s="2" t="s">
        <v>67</v>
      </c>
      <c r="Y38" s="2" t="s">
        <v>68</v>
      </c>
      <c r="Z38" s="2" t="s">
        <v>67</v>
      </c>
      <c r="AA38" s="2" t="s">
        <v>86</v>
      </c>
      <c r="AB38" s="4" t="s">
        <v>46</v>
      </c>
      <c r="AC38" s="2" t="s">
        <v>31</v>
      </c>
      <c r="AD38" s="2" t="s">
        <v>92</v>
      </c>
      <c r="AE38" s="2" t="s">
        <v>72</v>
      </c>
      <c r="AF38" s="4"/>
    </row>
    <row r="39" spans="2:32" x14ac:dyDescent="0.15">
      <c r="B39" s="4">
        <v>7</v>
      </c>
      <c r="C39" s="4" t="s">
        <v>18</v>
      </c>
      <c r="D39" s="4">
        <v>5</v>
      </c>
      <c r="E39" s="4"/>
      <c r="F39" s="18" t="s">
        <v>90</v>
      </c>
      <c r="G39" s="4">
        <v>80</v>
      </c>
      <c r="H39" s="4">
        <v>80</v>
      </c>
      <c r="I39" s="4">
        <v>30</v>
      </c>
      <c r="J39" s="4">
        <v>16</v>
      </c>
      <c r="K39" s="4"/>
      <c r="L39" s="4"/>
      <c r="M39" s="2" t="s">
        <v>85</v>
      </c>
      <c r="P39" s="4" t="s">
        <v>125</v>
      </c>
      <c r="Q39" s="4">
        <v>2400</v>
      </c>
      <c r="R39" s="4">
        <v>2400</v>
      </c>
      <c r="S39" s="4">
        <v>2400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67</v>
      </c>
      <c r="AA39" s="2" t="s">
        <v>86</v>
      </c>
      <c r="AB39" s="4" t="s">
        <v>47</v>
      </c>
      <c r="AC39" s="2" t="s">
        <v>32</v>
      </c>
      <c r="AD39" s="2" t="s">
        <v>92</v>
      </c>
      <c r="AE39" s="2" t="s">
        <v>72</v>
      </c>
      <c r="AF39" s="4"/>
    </row>
    <row r="40" spans="2:32" ht="14.25" customHeight="1" x14ac:dyDescent="0.15">
      <c r="B40" s="4">
        <v>8</v>
      </c>
      <c r="C40" s="4" t="s">
        <v>19</v>
      </c>
      <c r="D40" s="4">
        <v>5</v>
      </c>
      <c r="E40" s="4"/>
      <c r="F40" s="18" t="s">
        <v>90</v>
      </c>
      <c r="G40" s="4">
        <v>100</v>
      </c>
      <c r="H40" s="4">
        <v>80</v>
      </c>
      <c r="I40" s="4">
        <v>30</v>
      </c>
      <c r="J40" s="4">
        <v>16</v>
      </c>
      <c r="K40" s="4"/>
      <c r="L40" s="4"/>
      <c r="M40" s="2" t="s">
        <v>85</v>
      </c>
      <c r="P40" s="4" t="s">
        <v>126</v>
      </c>
      <c r="Q40" s="4">
        <v>2500</v>
      </c>
      <c r="R40" s="4">
        <v>2500</v>
      </c>
      <c r="S40" s="4">
        <v>2500</v>
      </c>
      <c r="T40" s="4"/>
      <c r="U40" s="4"/>
      <c r="V40" s="4">
        <v>1</v>
      </c>
      <c r="W40" s="2" t="s">
        <v>67</v>
      </c>
      <c r="X40" s="2" t="s">
        <v>67</v>
      </c>
      <c r="Y40" s="2" t="s">
        <v>68</v>
      </c>
      <c r="Z40" s="2" t="s">
        <v>67</v>
      </c>
      <c r="AA40" s="2" t="s">
        <v>86</v>
      </c>
      <c r="AB40" s="4" t="s">
        <v>48</v>
      </c>
      <c r="AC40" s="2" t="s">
        <v>33</v>
      </c>
      <c r="AD40" s="2" t="s">
        <v>92</v>
      </c>
      <c r="AE40" s="2" t="s">
        <v>72</v>
      </c>
      <c r="AF40" s="4"/>
    </row>
    <row r="41" spans="2:32" x14ac:dyDescent="0.15">
      <c r="B41" s="4">
        <v>9</v>
      </c>
      <c r="C41" s="4" t="s">
        <v>20</v>
      </c>
      <c r="D41" s="4">
        <v>5</v>
      </c>
      <c r="E41" s="4"/>
      <c r="F41" s="18" t="s">
        <v>90</v>
      </c>
      <c r="G41" s="4">
        <v>90</v>
      </c>
      <c r="H41" s="4">
        <v>90</v>
      </c>
      <c r="I41" s="4">
        <v>30</v>
      </c>
      <c r="J41" s="4">
        <v>16</v>
      </c>
      <c r="K41" s="4"/>
      <c r="L41" s="4"/>
      <c r="M41" s="2" t="s">
        <v>85</v>
      </c>
      <c r="P41" s="4" t="s">
        <v>127</v>
      </c>
      <c r="Q41" s="4">
        <v>2400</v>
      </c>
      <c r="R41" s="4">
        <v>2400</v>
      </c>
      <c r="S41" s="4">
        <v>2400</v>
      </c>
      <c r="T41" s="4"/>
      <c r="U41" s="4"/>
      <c r="V41" s="4">
        <v>1</v>
      </c>
      <c r="W41" s="2" t="s">
        <v>68</v>
      </c>
      <c r="X41" s="2" t="s">
        <v>67</v>
      </c>
      <c r="Y41" s="2" t="s">
        <v>68</v>
      </c>
      <c r="Z41" s="2" t="s">
        <v>67</v>
      </c>
      <c r="AA41" s="2" t="s">
        <v>86</v>
      </c>
      <c r="AB41" s="4" t="s">
        <v>49</v>
      </c>
      <c r="AC41" s="2" t="s">
        <v>34</v>
      </c>
      <c r="AD41" s="2" t="s">
        <v>92</v>
      </c>
      <c r="AE41" s="2" t="s">
        <v>71</v>
      </c>
      <c r="AF41" s="4"/>
    </row>
    <row r="42" spans="2:32" x14ac:dyDescent="0.15">
      <c r="B42" s="4">
        <v>10</v>
      </c>
      <c r="C42" s="4" t="s">
        <v>21</v>
      </c>
      <c r="D42" s="4">
        <v>6</v>
      </c>
      <c r="E42" s="4"/>
      <c r="F42" s="18" t="s">
        <v>90</v>
      </c>
      <c r="G42" s="4">
        <v>70</v>
      </c>
      <c r="H42" s="4">
        <v>80</v>
      </c>
      <c r="I42" s="4">
        <v>30</v>
      </c>
      <c r="J42" s="4">
        <v>24</v>
      </c>
      <c r="K42" s="4"/>
      <c r="L42" s="4"/>
      <c r="M42" s="2" t="s">
        <v>84</v>
      </c>
      <c r="P42" s="4"/>
      <c r="Q42" s="4">
        <v>0</v>
      </c>
      <c r="R42" s="4">
        <v>0</v>
      </c>
      <c r="S42" s="4">
        <v>0</v>
      </c>
      <c r="T42" s="4"/>
      <c r="U42" s="4"/>
      <c r="V42" s="4">
        <v>1</v>
      </c>
      <c r="W42" s="2" t="s">
        <v>67</v>
      </c>
      <c r="X42" s="2" t="s">
        <v>67</v>
      </c>
      <c r="Y42" s="2" t="s">
        <v>68</v>
      </c>
      <c r="Z42" s="2" t="s">
        <v>68</v>
      </c>
      <c r="AA42" s="2" t="s">
        <v>86</v>
      </c>
      <c r="AB42" s="4" t="s">
        <v>50</v>
      </c>
      <c r="AC42" s="2" t="s">
        <v>35</v>
      </c>
      <c r="AD42" s="2" t="s">
        <v>92</v>
      </c>
      <c r="AE42" s="2" t="s">
        <v>71</v>
      </c>
      <c r="AF42" s="4"/>
    </row>
    <row r="43" spans="2:32" x14ac:dyDescent="0.15">
      <c r="B43" s="4">
        <v>11</v>
      </c>
      <c r="C43" s="4" t="s">
        <v>22</v>
      </c>
      <c r="D43" s="4">
        <v>6</v>
      </c>
      <c r="E43" s="4"/>
      <c r="F43" s="18" t="s">
        <v>90</v>
      </c>
      <c r="G43" s="4">
        <v>80</v>
      </c>
      <c r="H43" s="4">
        <v>100</v>
      </c>
      <c r="I43" s="4">
        <v>30</v>
      </c>
      <c r="J43" s="4">
        <v>26</v>
      </c>
      <c r="K43" s="4"/>
      <c r="L43" s="4"/>
      <c r="M43" s="2" t="s">
        <v>84</v>
      </c>
      <c r="P43" s="4"/>
      <c r="Q43" s="4">
        <v>2000</v>
      </c>
      <c r="R43" s="4">
        <v>2000</v>
      </c>
      <c r="S43" s="4">
        <v>2000</v>
      </c>
      <c r="T43" s="4"/>
      <c r="U43" s="4"/>
      <c r="V43" s="4">
        <v>1</v>
      </c>
      <c r="W43" s="2" t="s">
        <v>67</v>
      </c>
      <c r="X43" s="2" t="s">
        <v>67</v>
      </c>
      <c r="Y43" s="2" t="s">
        <v>68</v>
      </c>
      <c r="Z43" s="2" t="s">
        <v>68</v>
      </c>
      <c r="AA43" s="2" t="s">
        <v>86</v>
      </c>
      <c r="AB43" s="4" t="s">
        <v>51</v>
      </c>
      <c r="AC43" s="2" t="s">
        <v>36</v>
      </c>
      <c r="AD43" s="2" t="s">
        <v>92</v>
      </c>
      <c r="AE43" s="2" t="s">
        <v>71</v>
      </c>
      <c r="AF43" s="4"/>
    </row>
    <row r="44" spans="2:32" x14ac:dyDescent="0.15">
      <c r="B44" s="4">
        <v>12</v>
      </c>
      <c r="C44" s="4" t="s">
        <v>23</v>
      </c>
      <c r="D44" s="4">
        <v>6</v>
      </c>
      <c r="E44" s="4"/>
      <c r="F44" s="18" t="s">
        <v>90</v>
      </c>
      <c r="G44" s="4">
        <v>90</v>
      </c>
      <c r="H44" s="4">
        <v>120</v>
      </c>
      <c r="I44" s="4">
        <v>30</v>
      </c>
      <c r="J44" s="4">
        <v>28</v>
      </c>
      <c r="K44" s="4"/>
      <c r="L44" s="4"/>
      <c r="M44" s="2" t="s">
        <v>84</v>
      </c>
      <c r="P44" s="4"/>
      <c r="Q44" s="4">
        <v>2500</v>
      </c>
      <c r="R44" s="4">
        <v>2500</v>
      </c>
      <c r="S44" s="4">
        <v>2500</v>
      </c>
      <c r="T44" s="4"/>
      <c r="U44" s="4"/>
      <c r="V44" s="4">
        <v>1</v>
      </c>
      <c r="W44" s="2" t="s">
        <v>67</v>
      </c>
      <c r="X44" s="2" t="s">
        <v>67</v>
      </c>
      <c r="Y44" s="2" t="s">
        <v>68</v>
      </c>
      <c r="Z44" s="2" t="s">
        <v>68</v>
      </c>
      <c r="AA44" s="2" t="s">
        <v>86</v>
      </c>
      <c r="AB44" s="4" t="s">
        <v>52</v>
      </c>
      <c r="AC44" s="2" t="s">
        <v>37</v>
      </c>
      <c r="AD44" s="2" t="s">
        <v>92</v>
      </c>
      <c r="AE44" s="2" t="s">
        <v>71</v>
      </c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  <c r="AF47" s="4"/>
    </row>
    <row r="48" spans="2:32" x14ac:dyDescent="0.15">
      <c r="D48" s="4"/>
      <c r="E48" s="4"/>
      <c r="AB48" s="4"/>
      <c r="AF48" s="4"/>
    </row>
    <row r="49" spans="4:32" x14ac:dyDescent="0.15">
      <c r="D49" s="4"/>
      <c r="E49" s="4"/>
      <c r="AB49" s="4"/>
      <c r="AF49" s="4"/>
    </row>
    <row r="50" spans="4:32" x14ac:dyDescent="0.15">
      <c r="D50" s="4"/>
      <c r="E50" s="4"/>
      <c r="AB50" s="4"/>
      <c r="AF50" s="4"/>
    </row>
    <row r="51" spans="4:32" x14ac:dyDescent="0.15">
      <c r="D51" s="4"/>
      <c r="E51" s="4"/>
      <c r="AB51" s="4"/>
      <c r="AF51" s="4"/>
    </row>
    <row r="52" spans="4:32" x14ac:dyDescent="0.15">
      <c r="D52" s="4"/>
      <c r="E52" s="4"/>
      <c r="AB52" s="4"/>
    </row>
    <row r="53" spans="4:32" x14ac:dyDescent="0.15">
      <c r="D53" s="4"/>
      <c r="E53" s="4"/>
      <c r="AB53" s="4"/>
    </row>
    <row r="54" spans="4:32" x14ac:dyDescent="0.15">
      <c r="D54" s="4"/>
      <c r="E54" s="4"/>
      <c r="AB54" s="4"/>
    </row>
    <row r="55" spans="4:32" x14ac:dyDescent="0.15">
      <c r="D55" s="4"/>
      <c r="E55" s="4"/>
      <c r="AB55" s="4"/>
    </row>
    <row r="56" spans="4:32" x14ac:dyDescent="0.15">
      <c r="D56" s="4"/>
      <c r="E56" s="4"/>
      <c r="AB56" s="4"/>
    </row>
    <row r="57" spans="4:32" x14ac:dyDescent="0.15">
      <c r="D57" s="4"/>
      <c r="E57" s="4"/>
      <c r="AB57" s="4"/>
    </row>
    <row r="58" spans="4:32" x14ac:dyDescent="0.15">
      <c r="D58" s="4"/>
      <c r="E58" s="4"/>
      <c r="AB58" s="4"/>
    </row>
    <row r="59" spans="4:32" x14ac:dyDescent="0.15">
      <c r="D59" s="4"/>
      <c r="E59" s="4"/>
      <c r="AB59" s="4"/>
    </row>
    <row r="60" spans="4:32" x14ac:dyDescent="0.15">
      <c r="D60" s="4"/>
      <c r="E60" s="4"/>
      <c r="AB60" s="4"/>
    </row>
    <row r="61" spans="4:32" x14ac:dyDescent="0.15">
      <c r="D61" s="4"/>
      <c r="E61" s="4"/>
      <c r="AB61" s="4"/>
    </row>
    <row r="62" spans="4:32" x14ac:dyDescent="0.15">
      <c r="D62" s="4"/>
      <c r="E62" s="4"/>
      <c r="AB62" s="4"/>
    </row>
    <row r="63" spans="4:32" x14ac:dyDescent="0.15">
      <c r="D63" s="4"/>
      <c r="E63" s="4"/>
      <c r="AB63" s="4"/>
    </row>
    <row r="64" spans="4:32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  <c r="AB69" s="4"/>
    </row>
    <row r="70" spans="4:28" x14ac:dyDescent="0.15">
      <c r="D70" s="4"/>
      <c r="E70" s="4"/>
      <c r="AB70" s="4"/>
    </row>
    <row r="71" spans="4:28" x14ac:dyDescent="0.15">
      <c r="D71" s="4"/>
      <c r="E71" s="4"/>
      <c r="AB71" s="4"/>
    </row>
    <row r="72" spans="4:28" x14ac:dyDescent="0.15">
      <c r="D72" s="4"/>
      <c r="E72" s="4"/>
      <c r="AB72" s="4"/>
    </row>
    <row r="73" spans="4:28" x14ac:dyDescent="0.15">
      <c r="D73" s="4"/>
      <c r="E73" s="4"/>
      <c r="AB73" s="4"/>
    </row>
    <row r="74" spans="4:28" x14ac:dyDescent="0.15">
      <c r="D74" s="4"/>
      <c r="E74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2025-10-24T01:58:11Z</dcterms:modified>
</cp:coreProperties>
</file>