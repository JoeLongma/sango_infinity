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C0B8B968-F344-476F-8B1B-CBB864F8F897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Troop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36" l="1"/>
  <c r="E20" i="36"/>
  <c r="E21" i="36"/>
  <c r="E22" i="36"/>
  <c r="E23" i="36"/>
  <c r="E24" i="36"/>
  <c r="E26" i="36"/>
  <c r="E27" i="36"/>
  <c r="E28" i="36"/>
  <c r="E29" i="36"/>
  <c r="E30" i="36"/>
  <c r="E19" i="36"/>
</calcChain>
</file>

<file path=xl/sharedStrings.xml><?xml version="1.0" encoding="utf-8"?>
<sst xmlns="http://schemas.openxmlformats.org/spreadsheetml/2006/main" count="403" uniqueCount="185">
  <si>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</si>
  <si>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</si>
  <si>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</si>
  <si>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</si>
  <si>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u16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</si>
  <si>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</si>
  <si>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</si>
  <si>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</si>
  <si>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</si>
  <si>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模型</t>
  </si>
  <si>
    <t>图标</t>
  </si>
  <si>
    <t>说明</t>
  </si>
  <si>
    <t>desc</t>
    <phoneticPr fontId="1" type="noConversion"/>
  </si>
  <si>
    <t>icon</t>
  </si>
  <si>
    <t>u8</t>
    <phoneticPr fontId="1" type="noConversion"/>
  </si>
  <si>
    <t>kind</t>
    <phoneticPr fontId="1" type="noConversion"/>
  </si>
  <si>
    <t>种类</t>
    <phoneticPr fontId="1" type="noConversion"/>
  </si>
  <si>
    <t>井阑</t>
  </si>
  <si>
    <t>投石</t>
  </si>
  <si>
    <t>木兽</t>
  </si>
  <si>
    <t>走舸</t>
  </si>
  <si>
    <t>楼船</t>
  </si>
  <si>
    <t>斗舰</t>
    <phoneticPr fontId="1" type="noConversion"/>
  </si>
  <si>
    <t>运输</t>
    <phoneticPr fontId="1" type="noConversion"/>
  </si>
  <si>
    <t>木牛</t>
    <phoneticPr fontId="1" type="noConversion"/>
  </si>
  <si>
    <t>ui://game/4845_7_0</t>
    <phoneticPr fontId="1" type="noConversion"/>
  </si>
  <si>
    <t>ui://game/4845_7_1</t>
    <phoneticPr fontId="1" type="noConversion"/>
  </si>
  <si>
    <t>ui://game/4845_7_2</t>
    <phoneticPr fontId="1" type="noConversion"/>
  </si>
  <si>
    <t>ui://game/4845_7_3</t>
    <phoneticPr fontId="1" type="noConversion"/>
  </si>
  <si>
    <t>ui://game/4845_7_4</t>
    <phoneticPr fontId="1" type="noConversion"/>
  </si>
  <si>
    <t>ui://game/4845_7_5</t>
    <phoneticPr fontId="1" type="noConversion"/>
  </si>
  <si>
    <t>ui://game/4845_7_6</t>
    <phoneticPr fontId="1" type="noConversion"/>
  </si>
  <si>
    <t>ui://game/4845_7_7</t>
    <phoneticPr fontId="1" type="noConversion"/>
  </si>
  <si>
    <t>ui://game/4845_7_8</t>
    <phoneticPr fontId="1" type="noConversion"/>
  </si>
  <si>
    <t>ui://game/4845_7_9</t>
    <phoneticPr fontId="1" type="noConversion"/>
  </si>
  <si>
    <t>ui://game/4845_7_10</t>
    <phoneticPr fontId="1" type="noConversion"/>
  </si>
  <si>
    <t>ui://game/4845_7_11</t>
    <phoneticPr fontId="1" type="noConversion"/>
  </si>
  <si>
    <t>动画配置</t>
    <phoneticPr fontId="1" type="noConversion"/>
  </si>
  <si>
    <t>aniIds</t>
    <phoneticPr fontId="1" type="noConversion"/>
  </si>
  <si>
    <t>ai32</t>
    <phoneticPr fontId="1" type="noConversion"/>
  </si>
  <si>
    <t>标准装备的兵装，威力是最弱的</t>
    <phoneticPr fontId="1" type="noConversion"/>
  </si>
  <si>
    <t>有利于对付骑兵，但不利于戟兵</t>
    <phoneticPr fontId="1" type="noConversion"/>
  </si>
  <si>
    <t>有利于对付枪兵，但不利于骑兵</t>
    <phoneticPr fontId="1" type="noConversion"/>
  </si>
  <si>
    <t>可对２区格之外的敌人执行弓箭攻击</t>
  </si>
  <si>
    <t>有利于对付戟兵，但不利于枪兵</t>
    <phoneticPr fontId="1" type="noConversion"/>
  </si>
  <si>
    <t>直接攻击建筑物的兵器，可大大削弱建筑物的耐久</t>
    <phoneticPr fontId="1" type="noConversion"/>
  </si>
  <si>
    <t>以弓箭攻击建筑物的兵器，可大大削减士兵数</t>
    <phoneticPr fontId="1" type="noConversion"/>
  </si>
  <si>
    <t>强化井阑后的兵器，以投石攻击３区格外之敌方耐久与士兵</t>
    <phoneticPr fontId="1" type="noConversion"/>
  </si>
  <si>
    <t>将冲车强化后的兵器，可削减建筑物的耐久，并放火</t>
    <phoneticPr fontId="1" type="noConversion"/>
  </si>
  <si>
    <t>标准装备的舰船。</t>
    <phoneticPr fontId="1" type="noConversion"/>
  </si>
  <si>
    <t>大型船，移动力、装甲都比走舸强化许多</t>
  </si>
  <si>
    <t>将楼船强化后的舰船，可执行投石攻击</t>
    <phoneticPr fontId="1" type="noConversion"/>
  </si>
  <si>
    <t>普通运输队</t>
    <phoneticPr fontId="1" type="noConversion"/>
  </si>
  <si>
    <t>木牛流马运输</t>
    <phoneticPr fontId="1" type="noConversion"/>
  </si>
  <si>
    <t>攻击力</t>
  </si>
  <si>
    <t>防御力</t>
  </si>
  <si>
    <t>移动力</t>
  </si>
  <si>
    <t>atk</t>
    <phoneticPr fontId="1" type="noConversion"/>
  </si>
  <si>
    <t>def</t>
    <phoneticPr fontId="1" type="noConversion"/>
  </si>
  <si>
    <t>move</t>
    <phoneticPr fontId="1" type="noConversion"/>
  </si>
  <si>
    <t>是否为战斗部队</t>
    <phoneticPr fontId="1" type="noConversion"/>
  </si>
  <si>
    <t>是否单兵装备</t>
    <phoneticPr fontId="1" type="noConversion"/>
  </si>
  <si>
    <t>是否陆地装备</t>
    <phoneticPr fontId="1" type="noConversion"/>
  </si>
  <si>
    <t>isFight</t>
    <phoneticPr fontId="1" type="noConversion"/>
  </si>
  <si>
    <t>isSingle</t>
    <phoneticPr fontId="1" type="noConversion"/>
  </si>
  <si>
    <t>isLand</t>
    <phoneticPr fontId="1" type="noConversion"/>
  </si>
  <si>
    <t>true</t>
    <phoneticPr fontId="1" type="noConversion"/>
  </si>
  <si>
    <t>false</t>
    <phoneticPr fontId="1" type="noConversion"/>
  </si>
  <si>
    <t>b</t>
    <phoneticPr fontId="1" type="noConversion"/>
  </si>
  <si>
    <t>model</t>
    <phoneticPr fontId="1" type="noConversion"/>
  </si>
  <si>
    <t>1,2,3</t>
    <phoneticPr fontId="1" type="noConversion"/>
  </si>
  <si>
    <t>4,5,6</t>
    <phoneticPr fontId="1" type="noConversion"/>
  </si>
  <si>
    <t>7,8,9</t>
    <phoneticPr fontId="1" type="noConversion"/>
  </si>
  <si>
    <t>10,11,12</t>
    <phoneticPr fontId="1" type="noConversion"/>
  </si>
  <si>
    <t>13,14,15</t>
    <phoneticPr fontId="1" type="noConversion"/>
  </si>
  <si>
    <t>terrainCost</t>
  </si>
  <si>
    <t>地形移动花费</t>
    <phoneticPr fontId="1" type="noConversion"/>
  </si>
  <si>
    <t>au8</t>
    <phoneticPr fontId="1" type="noConversion"/>
  </si>
  <si>
    <t>关联适应能力</t>
    <phoneticPr fontId="1" type="noConversion"/>
  </si>
  <si>
    <t>1</t>
    <phoneticPr fontId="1" type="noConversion"/>
  </si>
  <si>
    <t>0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</si>
  <si>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</si>
  <si>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</si>
  <si>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</si>
  <si>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</si>
  <si>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99,4,4,5,5,4,6,4,4,4,4,3,6,4,4,4,4,1,1,4,4</t>
  </si>
  <si>
    <t>99,4,4,5,5,4,6,4,4,4,4,3,6,4,4,4,4,1,1,4,4</t>
    <phoneticPr fontId="1" type="noConversion"/>
  </si>
  <si>
    <t>技能</t>
    <phoneticPr fontId="1" type="noConversion"/>
  </si>
  <si>
    <t>skills</t>
    <phoneticPr fontId="1" type="noConversion"/>
  </si>
  <si>
    <t>1</t>
  </si>
  <si>
    <t>influenceAbility</t>
    <phoneticPr fontId="1" type="noConversion"/>
  </si>
  <si>
    <t>32</t>
  </si>
  <si>
    <t>durabilityDmg</t>
    <phoneticPr fontId="1" type="noConversion"/>
  </si>
  <si>
    <t>isRange</t>
    <phoneticPr fontId="1" type="noConversion"/>
  </si>
  <si>
    <t>是否为远程部队</t>
    <phoneticPr fontId="1" type="noConversion"/>
  </si>
  <si>
    <t>defType</t>
  </si>
  <si>
    <t>atkType</t>
  </si>
  <si>
    <t>伤害类型</t>
    <phoneticPr fontId="1" type="noConversion"/>
  </si>
  <si>
    <t>护甲类型</t>
    <phoneticPr fontId="1" type="noConversion"/>
  </si>
  <si>
    <t>costFood</t>
    <phoneticPr fontId="1" type="noConversion"/>
  </si>
  <si>
    <t>costGold</t>
    <phoneticPr fontId="1" type="noConversion"/>
  </si>
  <si>
    <t>costPopulation</t>
    <phoneticPr fontId="1" type="noConversion"/>
  </si>
  <si>
    <t>costTechPoint</t>
  </si>
  <si>
    <t>costExpPoint</t>
  </si>
  <si>
    <t>额外经验消耗</t>
    <phoneticPr fontId="1" type="noConversion"/>
  </si>
  <si>
    <t>额外技巧消耗</t>
    <phoneticPr fontId="1" type="noConversion"/>
  </si>
  <si>
    <t>额外人口消耗</t>
    <phoneticPr fontId="1" type="noConversion"/>
  </si>
  <si>
    <t>额外金钱消耗</t>
    <phoneticPr fontId="1" type="noConversion"/>
  </si>
  <si>
    <t>额外粮食消耗</t>
    <phoneticPr fontId="1" type="noConversion"/>
  </si>
  <si>
    <t>f</t>
    <phoneticPr fontId="1" type="noConversion"/>
  </si>
  <si>
    <t>粮食消耗倍率</t>
  </si>
  <si>
    <t>foodCostFactor</t>
    <phoneticPr fontId="1" type="noConversion"/>
  </si>
  <si>
    <t>枪兵</t>
    <phoneticPr fontId="1" type="noConversion"/>
  </si>
  <si>
    <t>弓兵</t>
    <phoneticPr fontId="1" type="noConversion"/>
  </si>
  <si>
    <t>骑兵</t>
    <phoneticPr fontId="1" type="noConversion"/>
  </si>
  <si>
    <t>costItems</t>
  </si>
  <si>
    <t>刀兵</t>
    <phoneticPr fontId="1" type="noConversion"/>
  </si>
  <si>
    <t>杂兵</t>
    <phoneticPr fontId="1" type="noConversion"/>
  </si>
  <si>
    <t>陷阵营</t>
    <phoneticPr fontId="1" type="noConversion"/>
  </si>
  <si>
    <t>白毦兵</t>
    <phoneticPr fontId="1" type="noConversion"/>
  </si>
  <si>
    <t>虎豹骑</t>
    <phoneticPr fontId="1" type="noConversion"/>
  </si>
  <si>
    <t>白马义从</t>
    <phoneticPr fontId="1" type="noConversion"/>
  </si>
  <si>
    <t>藤甲兵</t>
    <phoneticPr fontId="1" type="noConversion"/>
  </si>
  <si>
    <t>象兵</t>
    <phoneticPr fontId="1" type="noConversion"/>
  </si>
  <si>
    <t>无当飞军</t>
    <phoneticPr fontId="1" type="noConversion"/>
  </si>
  <si>
    <t>锦帆军</t>
    <phoneticPr fontId="1" type="noConversion"/>
  </si>
  <si>
    <t>青州兵</t>
    <phoneticPr fontId="1" type="noConversion"/>
  </si>
  <si>
    <t>大戟士</t>
    <phoneticPr fontId="1" type="noConversion"/>
  </si>
  <si>
    <t>虎卫军</t>
    <phoneticPr fontId="1" type="noConversion"/>
  </si>
  <si>
    <t>validItemId</t>
  </si>
  <si>
    <t>validTechId</t>
  </si>
  <si>
    <t>必须科技Id</t>
    <phoneticPr fontId="1" type="noConversion"/>
  </si>
  <si>
    <t>必须兵符道具Id</t>
    <phoneticPr fontId="1" type="noConversion"/>
  </si>
  <si>
    <t>Assets/Model/Prefab/Troops1.prefab</t>
    <phoneticPr fontId="1" type="noConversion"/>
  </si>
  <si>
    <t>Assets/Model/Prefab/Troops2.prefab</t>
    <phoneticPr fontId="1" type="noConversion"/>
  </si>
  <si>
    <t>Assets/Model/Prefab/Troops3.prefab</t>
    <phoneticPr fontId="1" type="noConversion"/>
  </si>
  <si>
    <t>Assets/Model/Prefab/Troops4.prefab</t>
    <phoneticPr fontId="1" type="noConversion"/>
  </si>
  <si>
    <t>Assets/Model/Prefab/Troops5.prefab</t>
    <phoneticPr fontId="1" type="noConversion"/>
  </si>
  <si>
    <t>1,3,4,5</t>
    <phoneticPr fontId="1" type="noConversion"/>
  </si>
  <si>
    <t>1,6,7,8</t>
    <phoneticPr fontId="1" type="noConversion"/>
  </si>
  <si>
    <t>1,12,13,14</t>
    <phoneticPr fontId="1" type="noConversion"/>
  </si>
  <si>
    <t>耐久伤害倍率</t>
    <phoneticPr fontId="1" type="noConversion"/>
  </si>
  <si>
    <t>1,2,9,10,11</t>
    <phoneticPr fontId="1" type="noConversion"/>
  </si>
  <si>
    <t>18</t>
    <phoneticPr fontId="1" type="noConversion"/>
  </si>
  <si>
    <t>19</t>
    <phoneticPr fontId="1" type="noConversion"/>
  </si>
  <si>
    <t>0</t>
  </si>
  <si>
    <t>110</t>
  </si>
  <si>
    <t>110</t>
    <phoneticPr fontId="1" type="noConversion"/>
  </si>
  <si>
    <t>100</t>
  </si>
  <si>
    <t>100</t>
    <phoneticPr fontId="1" type="noConversion"/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</si>
  <si>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</si>
  <si>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</si>
  <si>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</si>
  <si>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</si>
  <si>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</si>
  <si>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</si>
  <si>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</si>
  <si>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</si>
  <si>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</si>
  <si>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Assets/Model/Prefab/Troops6.prefab</t>
    <phoneticPr fontId="1" type="noConversion"/>
  </si>
  <si>
    <t>Assets/Model/Prefab/Troops7.prefab</t>
    <phoneticPr fontId="1" type="noConversion"/>
  </si>
  <si>
    <t>水军</t>
    <phoneticPr fontId="1" type="noConversion"/>
  </si>
  <si>
    <t>1,20</t>
    <phoneticPr fontId="1" type="noConversion"/>
  </si>
  <si>
    <t>Assets/Model/Prefab/2221.prefab</t>
    <phoneticPr fontId="1" type="noConversion"/>
  </si>
  <si>
    <t>Assets/Model/Prefab/2223.prefab</t>
    <phoneticPr fontId="1" type="noConversion"/>
  </si>
  <si>
    <t>Assets/Model/Prefab/2225.prefab</t>
    <phoneticPr fontId="1" type="noConversion"/>
  </si>
  <si>
    <t>1,2,19</t>
    <phoneticPr fontId="1" type="noConversion"/>
  </si>
  <si>
    <t>1,2,21</t>
    <phoneticPr fontId="1" type="noConversion"/>
  </si>
  <si>
    <t>消耗道具(1000人份)</t>
    <phoneticPr fontId="1" type="noConversion"/>
  </si>
  <si>
    <t>2,1000</t>
    <phoneticPr fontId="1" type="noConversion"/>
  </si>
  <si>
    <t>5,1000</t>
    <phoneticPr fontId="1" type="noConversion"/>
  </si>
  <si>
    <t>4,1000</t>
    <phoneticPr fontId="1" type="noConversion"/>
  </si>
  <si>
    <t>3,1000</t>
    <phoneticPr fontId="1" type="noConversion"/>
  </si>
  <si>
    <t>10,50</t>
    <phoneticPr fontId="1" type="noConversion"/>
  </si>
  <si>
    <t>11,10</t>
    <phoneticPr fontId="1" type="noConversion"/>
  </si>
  <si>
    <t>12,8</t>
    <phoneticPr fontId="1" type="noConversion"/>
  </si>
  <si>
    <t>冲车</t>
    <phoneticPr fontId="1" type="noConversion"/>
  </si>
  <si>
    <t>井阑</t>
    <phoneticPr fontId="1" type="noConversion"/>
  </si>
  <si>
    <t>Assets/Model/Prefab/2227.prefab</t>
    <phoneticPr fontId="1" type="noConversion"/>
  </si>
  <si>
    <t>Assets/Model/Prefab/p_jinlan.prefab</t>
    <phoneticPr fontId="1" type="noConversion"/>
  </si>
  <si>
    <t>西凉铁骑‌</t>
    <phoneticPr fontId="1" type="noConversion"/>
  </si>
  <si>
    <t>7,10</t>
    <phoneticPr fontId="1" type="noConversion"/>
  </si>
  <si>
    <t>9,10</t>
    <phoneticPr fontId="1" type="noConversion"/>
  </si>
  <si>
    <t>-1</t>
    <phoneticPr fontId="1" type="noConversion"/>
  </si>
  <si>
    <t>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</si>
</sst>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G71"/>
  <sheetViews>
    <sheetView tabSelected="1" zoomScale="93" zoomScaleNormal="93" workbookViewId="0">
      <selection activeCell="P21" sqref="P21"/>
    </sheetView>
  </sheetViews>
  <sheetFormatPr defaultColWidth="9" defaultRowHeight="13.5" x14ac:dyDescent="0.15"/>
  <cols>
    <col min="1" max="1" width="6.75" style="2" bestFit="1" customWidth="1"/>
    <col min="2" max="2" width="5.75" style="2" bestFit="1" customWidth="1"/>
    <col min="3" max="3" width="8.875" style="2" customWidth="1"/>
    <col min="4" max="4" width="6.25" style="2" bestFit="1" customWidth="1"/>
    <col min="5" max="5" width="5.5" style="2" bestFit="1" customWidth="1"/>
    <col min="6" max="6" width="11.625" style="2" bestFit="1" customWidth="1"/>
    <col min="7" max="8" width="7.75" style="2" bestFit="1" customWidth="1"/>
    <col min="9" max="9" width="17" style="2" customWidth="1"/>
    <col min="10" max="10" width="7.75" style="2" bestFit="1" customWidth="1"/>
    <col min="11" max="12" width="9.75" style="2" bestFit="1" customWidth="1"/>
    <col min="13" max="13" width="20.75" style="2" bestFit="1" customWidth="1"/>
    <col min="14" max="15" width="20.75" style="2" customWidth="1"/>
    <col min="16" max="16" width="18.25" style="2" customWidth="1"/>
    <col min="17" max="18" width="14.25" style="2" bestFit="1" customWidth="1"/>
    <col min="19" max="19" width="19.75" style="2" bestFit="1" customWidth="1"/>
    <col min="20" max="21" width="19.75" style="2" customWidth="1"/>
    <col min="22" max="22" width="18.25" style="2" bestFit="1" customWidth="1"/>
    <col min="23" max="24" width="16.625" style="2" bestFit="1" customWidth="1"/>
    <col min="25" max="26" width="14.25" style="2" bestFit="1" customWidth="1"/>
    <col min="27" max="27" width="76.5" style="2" bestFit="1" customWidth="1"/>
    <col min="28" max="28" width="55.125" style="2" bestFit="1" customWidth="1"/>
    <col min="29" max="29" width="23.5" style="2" bestFit="1" customWidth="1"/>
    <col min="30" max="30" width="41.875" style="2" customWidth="1"/>
    <col min="31" max="31" width="9.75" style="2" bestFit="1" customWidth="1"/>
    <col min="32" max="16384" width="9" style="2"/>
  </cols>
  <sheetData>
    <row r="1" spans="1:33" s="9" customFormat="1" ht="59.25" customHeight="1" x14ac:dyDescent="0.15">
      <c r="A1" s="11"/>
      <c r="B1" s="8" t="s">
        <v>0</v>
      </c>
      <c r="C1" s="8" t="s">
        <v>1</v>
      </c>
      <c r="D1" s="13" t="s">
        <v>16</v>
      </c>
      <c r="E1" s="13"/>
      <c r="F1" s="13" t="s">
        <v>87</v>
      </c>
      <c r="G1" s="13" t="s">
        <v>54</v>
      </c>
      <c r="H1" s="13" t="s">
        <v>55</v>
      </c>
      <c r="I1" s="13" t="s">
        <v>141</v>
      </c>
      <c r="J1" s="13" t="s">
        <v>56</v>
      </c>
      <c r="K1" s="13" t="s">
        <v>98</v>
      </c>
      <c r="L1" s="13" t="s">
        <v>97</v>
      </c>
      <c r="M1" s="8" t="s">
        <v>78</v>
      </c>
      <c r="N1" s="8" t="s">
        <v>132</v>
      </c>
      <c r="O1" s="8" t="s">
        <v>131</v>
      </c>
      <c r="P1" s="20" t="s">
        <v>168</v>
      </c>
      <c r="Q1" s="13" t="s">
        <v>108</v>
      </c>
      <c r="R1" s="13" t="s">
        <v>107</v>
      </c>
      <c r="S1" s="13" t="s">
        <v>106</v>
      </c>
      <c r="T1" s="13" t="s">
        <v>105</v>
      </c>
      <c r="U1" s="19" t="s">
        <v>104</v>
      </c>
      <c r="V1" s="13" t="s">
        <v>110</v>
      </c>
      <c r="W1" s="8" t="s">
        <v>94</v>
      </c>
      <c r="X1" s="8" t="s">
        <v>60</v>
      </c>
      <c r="Y1" s="8" t="s">
        <v>61</v>
      </c>
      <c r="Z1" s="8" t="s">
        <v>62</v>
      </c>
      <c r="AA1" s="6" t="s">
        <v>76</v>
      </c>
      <c r="AB1" s="13" t="s">
        <v>11</v>
      </c>
      <c r="AC1" s="8" t="s">
        <v>10</v>
      </c>
      <c r="AD1" s="8" t="s">
        <v>9</v>
      </c>
      <c r="AE1" s="8" t="s">
        <v>37</v>
      </c>
      <c r="AF1" s="8"/>
      <c r="AG1" s="6"/>
    </row>
    <row r="2" spans="1:33" s="1" customFormat="1" ht="25.5" customHeight="1" x14ac:dyDescent="0.15">
      <c r="A2" s="1" t="s">
        <v>2</v>
      </c>
      <c r="B2" s="2"/>
      <c r="C2" s="2"/>
      <c r="D2"/>
      <c r="E2"/>
      <c r="F2" s="16"/>
      <c r="G2" s="16"/>
      <c r="H2" s="16"/>
      <c r="I2" s="16"/>
      <c r="J2" s="16"/>
      <c r="K2" s="16"/>
      <c r="L2" s="16"/>
      <c r="M2" s="2"/>
      <c r="N2" s="2"/>
      <c r="O2" s="2"/>
      <c r="P2" s="3"/>
      <c r="Q2" s="16"/>
      <c r="R2" s="16"/>
      <c r="S2" s="16"/>
      <c r="T2" s="16"/>
      <c r="U2" s="16"/>
      <c r="V2" s="16"/>
      <c r="W2" s="2"/>
      <c r="X2" s="2"/>
      <c r="Y2" s="2"/>
      <c r="Z2" s="2"/>
      <c r="AA2" s="2"/>
      <c r="AB2"/>
      <c r="AC2" s="2"/>
      <c r="AD2" s="2"/>
      <c r="AE2" s="2"/>
      <c r="AF2" s="2"/>
      <c r="AG2" s="2"/>
    </row>
    <row r="3" spans="1:33" s="5" customFormat="1" ht="33" customHeight="1" x14ac:dyDescent="0.15">
      <c r="A3" s="5" t="s">
        <v>5</v>
      </c>
      <c r="B3" s="7" t="s">
        <v>7</v>
      </c>
      <c r="C3" s="7" t="s">
        <v>8</v>
      </c>
      <c r="D3" s="7" t="s">
        <v>15</v>
      </c>
      <c r="E3" s="7"/>
      <c r="F3" s="7" t="s">
        <v>88</v>
      </c>
      <c r="G3" s="7" t="s">
        <v>57</v>
      </c>
      <c r="H3" s="7" t="s">
        <v>58</v>
      </c>
      <c r="I3" s="7" t="s">
        <v>92</v>
      </c>
      <c r="J3" s="7" t="s">
        <v>59</v>
      </c>
      <c r="K3" s="7" t="s">
        <v>95</v>
      </c>
      <c r="L3" s="7" t="s">
        <v>96</v>
      </c>
      <c r="M3" s="7" t="s">
        <v>90</v>
      </c>
      <c r="N3" s="7" t="s">
        <v>129</v>
      </c>
      <c r="O3" s="7" t="s">
        <v>130</v>
      </c>
      <c r="P3" s="7" t="s">
        <v>115</v>
      </c>
      <c r="Q3" s="7" t="s">
        <v>99</v>
      </c>
      <c r="R3" s="7" t="s">
        <v>100</v>
      </c>
      <c r="S3" s="7" t="s">
        <v>101</v>
      </c>
      <c r="T3" s="7" t="s">
        <v>102</v>
      </c>
      <c r="U3" s="7" t="s">
        <v>103</v>
      </c>
      <c r="V3" s="7" t="s">
        <v>111</v>
      </c>
      <c r="W3" s="7" t="s">
        <v>93</v>
      </c>
      <c r="X3" s="7" t="s">
        <v>63</v>
      </c>
      <c r="Y3" s="7" t="s">
        <v>64</v>
      </c>
      <c r="Z3" s="7" t="s">
        <v>65</v>
      </c>
      <c r="AA3" s="7" t="s">
        <v>75</v>
      </c>
      <c r="AB3" s="7" t="s">
        <v>12</v>
      </c>
      <c r="AC3" s="12" t="s">
        <v>13</v>
      </c>
      <c r="AD3" s="12" t="s">
        <v>69</v>
      </c>
      <c r="AE3" s="7" t="s">
        <v>38</v>
      </c>
      <c r="AF3" s="7"/>
      <c r="AG3" s="7"/>
    </row>
    <row r="4" spans="1:33" s="10" customFormat="1" ht="15.75" customHeight="1" x14ac:dyDescent="0.15">
      <c r="A4" s="5" t="s">
        <v>5</v>
      </c>
      <c r="B4" s="10" t="s">
        <v>6</v>
      </c>
      <c r="C4" s="10" t="s">
        <v>3</v>
      </c>
      <c r="D4" s="14" t="s">
        <v>14</v>
      </c>
      <c r="E4" s="14" t="s">
        <v>5</v>
      </c>
      <c r="F4" s="17" t="s">
        <v>39</v>
      </c>
      <c r="G4" s="17" t="s">
        <v>4</v>
      </c>
      <c r="H4" s="17" t="s">
        <v>4</v>
      </c>
      <c r="I4" s="17" t="s">
        <v>4</v>
      </c>
      <c r="J4" s="17" t="s">
        <v>4</v>
      </c>
      <c r="K4" s="17" t="s">
        <v>4</v>
      </c>
      <c r="L4" s="17" t="s">
        <v>4</v>
      </c>
      <c r="M4" s="17" t="s">
        <v>4</v>
      </c>
      <c r="N4" s="15" t="s">
        <v>6</v>
      </c>
      <c r="O4" s="15" t="s">
        <v>6</v>
      </c>
      <c r="P4" s="17" t="s">
        <v>39</v>
      </c>
      <c r="Q4" s="17" t="s">
        <v>4</v>
      </c>
      <c r="R4" s="17" t="s">
        <v>4</v>
      </c>
      <c r="S4" s="17" t="s">
        <v>4</v>
      </c>
      <c r="T4" s="17" t="s">
        <v>4</v>
      </c>
      <c r="U4" s="17" t="s">
        <v>4</v>
      </c>
      <c r="V4" s="17" t="s">
        <v>109</v>
      </c>
      <c r="W4" s="15" t="s">
        <v>68</v>
      </c>
      <c r="X4" s="15" t="s">
        <v>68</v>
      </c>
      <c r="Y4" s="15" t="s">
        <v>68</v>
      </c>
      <c r="Z4" s="15" t="s">
        <v>68</v>
      </c>
      <c r="AA4" s="10" t="s">
        <v>77</v>
      </c>
      <c r="AB4" s="14" t="s">
        <v>3</v>
      </c>
      <c r="AC4" s="10" t="s">
        <v>3</v>
      </c>
      <c r="AD4" s="10" t="s">
        <v>3</v>
      </c>
      <c r="AE4" s="15" t="s">
        <v>39</v>
      </c>
    </row>
    <row r="5" spans="1:33" x14ac:dyDescent="0.15">
      <c r="B5" s="4">
        <v>1</v>
      </c>
      <c r="C5" s="4" t="s">
        <v>117</v>
      </c>
      <c r="D5" s="4">
        <v>1</v>
      </c>
      <c r="E5" s="4" t="s">
        <v>117</v>
      </c>
      <c r="F5" s="18" t="s">
        <v>79</v>
      </c>
      <c r="G5" s="4">
        <v>65</v>
      </c>
      <c r="H5" s="4">
        <v>65</v>
      </c>
      <c r="I5" s="4">
        <v>30</v>
      </c>
      <c r="J5" s="4">
        <v>16</v>
      </c>
      <c r="K5" s="4">
        <v>1</v>
      </c>
      <c r="L5" s="4">
        <v>1</v>
      </c>
      <c r="M5" s="2" t="s">
        <v>80</v>
      </c>
      <c r="N5" s="2" t="s">
        <v>80</v>
      </c>
      <c r="O5" s="2" t="s">
        <v>80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</v>
      </c>
      <c r="W5" s="2" t="s">
        <v>67</v>
      </c>
      <c r="X5" s="2" t="s">
        <v>66</v>
      </c>
      <c r="Y5" s="2" t="s">
        <v>66</v>
      </c>
      <c r="Z5" s="2" t="s">
        <v>66</v>
      </c>
      <c r="AA5" s="2" t="s">
        <v>86</v>
      </c>
      <c r="AB5" s="4" t="s">
        <v>40</v>
      </c>
      <c r="AC5" s="2" t="s">
        <v>25</v>
      </c>
      <c r="AD5" s="2" t="s">
        <v>133</v>
      </c>
      <c r="AE5" s="2" t="s">
        <v>74</v>
      </c>
      <c r="AF5" s="4"/>
    </row>
    <row r="6" spans="1:33" x14ac:dyDescent="0.15">
      <c r="A6" s="3"/>
      <c r="B6" s="4">
        <v>2</v>
      </c>
      <c r="C6" s="4" t="s">
        <v>112</v>
      </c>
      <c r="D6" s="4">
        <v>3</v>
      </c>
      <c r="E6" s="4" t="s">
        <v>112</v>
      </c>
      <c r="F6" s="18" t="s">
        <v>138</v>
      </c>
      <c r="G6" s="4">
        <v>95</v>
      </c>
      <c r="H6" s="4">
        <v>85</v>
      </c>
      <c r="I6" s="4">
        <v>100</v>
      </c>
      <c r="J6" s="4">
        <v>16</v>
      </c>
      <c r="K6" s="4">
        <v>2</v>
      </c>
      <c r="L6" s="4">
        <v>2</v>
      </c>
      <c r="M6" s="2" t="s">
        <v>79</v>
      </c>
      <c r="N6" s="2" t="s">
        <v>80</v>
      </c>
      <c r="O6" s="2" t="s">
        <v>80</v>
      </c>
      <c r="P6" s="2" t="s">
        <v>169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1</v>
      </c>
      <c r="W6" s="2" t="s">
        <v>67</v>
      </c>
      <c r="X6" s="2" t="s">
        <v>66</v>
      </c>
      <c r="Y6" s="2" t="s">
        <v>66</v>
      </c>
      <c r="Z6" s="2" t="s">
        <v>66</v>
      </c>
      <c r="AA6" s="2" t="s">
        <v>86</v>
      </c>
      <c r="AB6" s="4" t="s">
        <v>41</v>
      </c>
      <c r="AC6" s="2" t="s">
        <v>26</v>
      </c>
      <c r="AD6" s="2" t="s">
        <v>134</v>
      </c>
      <c r="AE6" s="2" t="s">
        <v>73</v>
      </c>
      <c r="AF6" s="4"/>
    </row>
    <row r="7" spans="1:33" x14ac:dyDescent="0.15">
      <c r="B7" s="4">
        <v>3</v>
      </c>
      <c r="C7" s="4" t="s">
        <v>116</v>
      </c>
      <c r="D7" s="4">
        <v>1</v>
      </c>
      <c r="E7" s="4" t="s">
        <v>116</v>
      </c>
      <c r="F7" s="18" t="s">
        <v>139</v>
      </c>
      <c r="G7" s="4">
        <v>75</v>
      </c>
      <c r="H7" s="4">
        <v>105</v>
      </c>
      <c r="I7" s="4">
        <v>100</v>
      </c>
      <c r="J7" s="4">
        <v>16</v>
      </c>
      <c r="K7" s="4">
        <v>2</v>
      </c>
      <c r="L7" s="4">
        <v>1</v>
      </c>
      <c r="M7" s="2" t="s">
        <v>81</v>
      </c>
      <c r="N7" s="2" t="s">
        <v>80</v>
      </c>
      <c r="O7" s="2" t="s">
        <v>80</v>
      </c>
      <c r="P7" s="2" t="s">
        <v>172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1</v>
      </c>
      <c r="W7" s="2" t="s">
        <v>67</v>
      </c>
      <c r="X7" s="2" t="s">
        <v>66</v>
      </c>
      <c r="Y7" s="2" t="s">
        <v>66</v>
      </c>
      <c r="Z7" s="2" t="s">
        <v>66</v>
      </c>
      <c r="AA7" s="2" t="s">
        <v>85</v>
      </c>
      <c r="AB7" s="4" t="s">
        <v>42</v>
      </c>
      <c r="AC7" s="2" t="s">
        <v>27</v>
      </c>
      <c r="AD7" s="2" t="s">
        <v>135</v>
      </c>
      <c r="AE7" s="2" t="s">
        <v>70</v>
      </c>
      <c r="AF7" s="4"/>
    </row>
    <row r="8" spans="1:33" x14ac:dyDescent="0.15">
      <c r="B8" s="4">
        <v>4</v>
      </c>
      <c r="C8" s="4" t="s">
        <v>113</v>
      </c>
      <c r="D8" s="4">
        <v>2</v>
      </c>
      <c r="E8" s="4" t="s">
        <v>113</v>
      </c>
      <c r="F8" s="18" t="s">
        <v>142</v>
      </c>
      <c r="G8" s="4">
        <v>85</v>
      </c>
      <c r="H8" s="4">
        <v>75</v>
      </c>
      <c r="I8" s="4">
        <v>100</v>
      </c>
      <c r="J8" s="4">
        <v>16</v>
      </c>
      <c r="K8" s="4">
        <v>3</v>
      </c>
      <c r="L8" s="4">
        <v>2</v>
      </c>
      <c r="M8" s="2" t="s">
        <v>82</v>
      </c>
      <c r="N8" s="2" t="s">
        <v>80</v>
      </c>
      <c r="O8" s="2" t="s">
        <v>80</v>
      </c>
      <c r="P8" s="2" t="s">
        <v>171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2" t="s">
        <v>66</v>
      </c>
      <c r="X8" s="2" t="s">
        <v>66</v>
      </c>
      <c r="Y8" s="2" t="s">
        <v>66</v>
      </c>
      <c r="Z8" s="2" t="s">
        <v>66</v>
      </c>
      <c r="AA8" s="2" t="s">
        <v>85</v>
      </c>
      <c r="AB8" s="4" t="s">
        <v>43</v>
      </c>
      <c r="AC8" s="2" t="s">
        <v>28</v>
      </c>
      <c r="AD8" s="2" t="s">
        <v>136</v>
      </c>
      <c r="AE8" s="2" t="s">
        <v>72</v>
      </c>
      <c r="AF8" s="4"/>
    </row>
    <row r="9" spans="1:33" x14ac:dyDescent="0.15">
      <c r="B9" s="4">
        <v>5</v>
      </c>
      <c r="C9" s="4" t="s">
        <v>114</v>
      </c>
      <c r="D9" s="4">
        <v>4</v>
      </c>
      <c r="E9" s="4" t="s">
        <v>114</v>
      </c>
      <c r="F9" s="18" t="s">
        <v>140</v>
      </c>
      <c r="G9" s="4">
        <v>105</v>
      </c>
      <c r="H9" s="4">
        <v>95</v>
      </c>
      <c r="I9" s="4">
        <v>100</v>
      </c>
      <c r="J9" s="4">
        <v>28</v>
      </c>
      <c r="K9" s="4">
        <v>3</v>
      </c>
      <c r="L9" s="4">
        <v>1</v>
      </c>
      <c r="M9" s="2" t="s">
        <v>83</v>
      </c>
      <c r="N9" s="2" t="s">
        <v>80</v>
      </c>
      <c r="O9" s="2" t="s">
        <v>80</v>
      </c>
      <c r="P9" s="2" t="s">
        <v>170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2</v>
      </c>
      <c r="W9" s="2" t="s">
        <v>67</v>
      </c>
      <c r="X9" s="2" t="s">
        <v>66</v>
      </c>
      <c r="Y9" s="2" t="s">
        <v>66</v>
      </c>
      <c r="Z9" s="2" t="s">
        <v>66</v>
      </c>
      <c r="AA9" s="2" t="s">
        <v>85</v>
      </c>
      <c r="AB9" s="4" t="s">
        <v>44</v>
      </c>
      <c r="AC9" s="2" t="s">
        <v>29</v>
      </c>
      <c r="AD9" s="2" t="s">
        <v>137</v>
      </c>
      <c r="AE9" s="2" t="s">
        <v>71</v>
      </c>
      <c r="AF9" s="4"/>
    </row>
    <row r="10" spans="1:33" ht="12.75" customHeight="1" x14ac:dyDescent="0.15">
      <c r="B10" s="4">
        <v>6</v>
      </c>
      <c r="C10" s="4" t="s">
        <v>23</v>
      </c>
      <c r="D10" s="4">
        <v>7</v>
      </c>
      <c r="E10" s="4" t="s">
        <v>23</v>
      </c>
      <c r="F10" s="18"/>
      <c r="G10" s="4">
        <v>0</v>
      </c>
      <c r="H10" s="4">
        <v>50</v>
      </c>
      <c r="I10" s="4">
        <v>0</v>
      </c>
      <c r="J10" s="4">
        <v>24</v>
      </c>
      <c r="K10" s="4">
        <v>1</v>
      </c>
      <c r="L10" s="4">
        <v>1</v>
      </c>
      <c r="M10" s="2" t="s">
        <v>80</v>
      </c>
      <c r="N10" s="2" t="s">
        <v>80</v>
      </c>
      <c r="O10" s="2" t="s">
        <v>80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0.5</v>
      </c>
      <c r="W10" s="2" t="s">
        <v>67</v>
      </c>
      <c r="X10" s="2" t="s">
        <v>67</v>
      </c>
      <c r="Y10" s="2" t="s">
        <v>67</v>
      </c>
      <c r="Z10" s="2" t="s">
        <v>66</v>
      </c>
      <c r="AA10" s="2" t="s">
        <v>85</v>
      </c>
      <c r="AB10" s="4" t="s">
        <v>52</v>
      </c>
      <c r="AD10" s="2" t="s">
        <v>159</v>
      </c>
      <c r="AF10" s="4"/>
    </row>
    <row r="11" spans="1:33" x14ac:dyDescent="0.15">
      <c r="B11" s="4">
        <v>7</v>
      </c>
      <c r="C11" s="4" t="s">
        <v>24</v>
      </c>
      <c r="D11" s="4">
        <v>7</v>
      </c>
      <c r="E11" s="4" t="s">
        <v>23</v>
      </c>
      <c r="F11" s="18"/>
      <c r="G11" s="4">
        <v>0</v>
      </c>
      <c r="H11" s="4">
        <v>50</v>
      </c>
      <c r="I11" s="4">
        <v>0</v>
      </c>
      <c r="J11" s="4">
        <v>32</v>
      </c>
      <c r="K11" s="4">
        <v>1</v>
      </c>
      <c r="L11" s="4">
        <v>1</v>
      </c>
      <c r="M11" s="2" t="s">
        <v>80</v>
      </c>
      <c r="N11" s="2" t="s">
        <v>80</v>
      </c>
      <c r="O11" s="2" t="s">
        <v>80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0.5</v>
      </c>
      <c r="W11" s="2" t="s">
        <v>67</v>
      </c>
      <c r="X11" s="2" t="s">
        <v>67</v>
      </c>
      <c r="Y11" s="2" t="s">
        <v>67</v>
      </c>
      <c r="Z11" s="2" t="s">
        <v>66</v>
      </c>
      <c r="AA11" s="2" t="s">
        <v>85</v>
      </c>
      <c r="AB11" s="4" t="s">
        <v>53</v>
      </c>
      <c r="AD11" s="2" t="s">
        <v>160</v>
      </c>
      <c r="AF11" s="4"/>
    </row>
    <row r="12" spans="1:33" x14ac:dyDescent="0.15">
      <c r="B12" s="4">
        <v>8</v>
      </c>
      <c r="C12" s="4" t="s">
        <v>20</v>
      </c>
      <c r="D12" s="4">
        <v>6</v>
      </c>
      <c r="E12" s="4" t="s">
        <v>161</v>
      </c>
      <c r="F12" s="18" t="s">
        <v>166</v>
      </c>
      <c r="G12" s="4">
        <v>70</v>
      </c>
      <c r="H12" s="4">
        <v>80</v>
      </c>
      <c r="I12" s="2" t="s">
        <v>149</v>
      </c>
      <c r="J12" s="4">
        <v>24</v>
      </c>
      <c r="K12" s="4"/>
      <c r="L12" s="4"/>
      <c r="M12" s="2" t="s">
        <v>84</v>
      </c>
      <c r="N12" s="2" t="s">
        <v>80</v>
      </c>
      <c r="O12" s="2" t="s">
        <v>80</v>
      </c>
      <c r="P12" s="2" t="s">
        <v>173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1</v>
      </c>
      <c r="W12" s="2" t="s">
        <v>67</v>
      </c>
      <c r="X12" s="2" t="s">
        <v>66</v>
      </c>
      <c r="Y12" s="2" t="s">
        <v>67</v>
      </c>
      <c r="Z12" s="2" t="s">
        <v>67</v>
      </c>
      <c r="AA12" s="2" t="s">
        <v>85</v>
      </c>
      <c r="AB12" s="4" t="s">
        <v>49</v>
      </c>
      <c r="AC12" s="2" t="s">
        <v>34</v>
      </c>
      <c r="AD12" s="2" t="s">
        <v>163</v>
      </c>
      <c r="AF12" s="4"/>
    </row>
    <row r="13" spans="1:33" x14ac:dyDescent="0.15">
      <c r="B13" s="4">
        <v>9</v>
      </c>
      <c r="C13" s="4" t="s">
        <v>21</v>
      </c>
      <c r="D13" s="4">
        <v>6</v>
      </c>
      <c r="E13" s="4" t="s">
        <v>161</v>
      </c>
      <c r="F13" s="18" t="s">
        <v>162</v>
      </c>
      <c r="G13" s="4">
        <v>80</v>
      </c>
      <c r="H13" s="4">
        <v>100</v>
      </c>
      <c r="I13" s="2" t="s">
        <v>149</v>
      </c>
      <c r="J13" s="4">
        <v>26</v>
      </c>
      <c r="K13" s="4"/>
      <c r="L13" s="4"/>
      <c r="M13" s="2" t="s">
        <v>84</v>
      </c>
      <c r="N13" s="2" t="s">
        <v>80</v>
      </c>
      <c r="O13" s="2" t="s">
        <v>80</v>
      </c>
      <c r="P13" s="2" t="s">
        <v>174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1</v>
      </c>
      <c r="W13" s="2" t="s">
        <v>67</v>
      </c>
      <c r="X13" s="2" t="s">
        <v>66</v>
      </c>
      <c r="Y13" s="2" t="s">
        <v>67</v>
      </c>
      <c r="Z13" s="2" t="s">
        <v>67</v>
      </c>
      <c r="AA13" s="2" t="s">
        <v>85</v>
      </c>
      <c r="AB13" s="4" t="s">
        <v>50</v>
      </c>
      <c r="AC13" s="2" t="s">
        <v>35</v>
      </c>
      <c r="AD13" s="2" t="s">
        <v>164</v>
      </c>
      <c r="AF13" s="4"/>
    </row>
    <row r="14" spans="1:33" x14ac:dyDescent="0.15">
      <c r="B14" s="4">
        <v>10</v>
      </c>
      <c r="C14" s="4" t="s">
        <v>22</v>
      </c>
      <c r="D14" s="4">
        <v>6</v>
      </c>
      <c r="E14" s="4" t="s">
        <v>161</v>
      </c>
      <c r="F14" s="18" t="s">
        <v>167</v>
      </c>
      <c r="G14" s="4">
        <v>90</v>
      </c>
      <c r="H14" s="4">
        <v>120</v>
      </c>
      <c r="I14" s="2" t="s">
        <v>149</v>
      </c>
      <c r="J14" s="4">
        <v>28</v>
      </c>
      <c r="K14" s="4"/>
      <c r="L14" s="4"/>
      <c r="M14" s="2" t="s">
        <v>84</v>
      </c>
      <c r="N14" s="2" t="s">
        <v>80</v>
      </c>
      <c r="O14" s="2" t="s">
        <v>80</v>
      </c>
      <c r="P14" s="2" t="s">
        <v>175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1</v>
      </c>
      <c r="W14" s="2" t="s">
        <v>67</v>
      </c>
      <c r="X14" s="2" t="s">
        <v>66</v>
      </c>
      <c r="Y14" s="2" t="s">
        <v>67</v>
      </c>
      <c r="Z14" s="2" t="s">
        <v>67</v>
      </c>
      <c r="AA14" s="2" t="s">
        <v>85</v>
      </c>
      <c r="AB14" s="4" t="s">
        <v>51</v>
      </c>
      <c r="AC14" s="2" t="s">
        <v>36</v>
      </c>
      <c r="AD14" s="2" t="s">
        <v>165</v>
      </c>
      <c r="AF14" s="4"/>
    </row>
    <row r="15" spans="1:33" x14ac:dyDescent="0.15">
      <c r="B15" s="4">
        <v>11</v>
      </c>
      <c r="C15" s="4" t="s">
        <v>176</v>
      </c>
      <c r="D15" s="4">
        <v>8</v>
      </c>
      <c r="E15" s="4" t="s">
        <v>176</v>
      </c>
      <c r="F15" s="18" t="s">
        <v>79</v>
      </c>
      <c r="G15" s="4">
        <v>70</v>
      </c>
      <c r="H15" s="4">
        <v>90</v>
      </c>
      <c r="I15" s="2" t="s">
        <v>149</v>
      </c>
      <c r="J15" s="4">
        <v>16</v>
      </c>
      <c r="K15" s="4"/>
      <c r="L15" s="4"/>
      <c r="M15" s="2" t="s">
        <v>84</v>
      </c>
      <c r="O15" s="2" t="s">
        <v>183</v>
      </c>
      <c r="P15" s="2" t="s">
        <v>181</v>
      </c>
      <c r="Q15" s="4">
        <v>2000</v>
      </c>
      <c r="R15" s="4">
        <v>2000</v>
      </c>
      <c r="S15" s="4">
        <v>2000</v>
      </c>
      <c r="T15" s="4"/>
      <c r="U15" s="4"/>
      <c r="V15" s="4">
        <v>1</v>
      </c>
      <c r="W15" s="2" t="s">
        <v>67</v>
      </c>
      <c r="X15" s="2" t="s">
        <v>66</v>
      </c>
      <c r="Y15" s="2" t="s">
        <v>67</v>
      </c>
      <c r="Z15" s="2" t="s">
        <v>66</v>
      </c>
      <c r="AA15" s="2" t="s">
        <v>85</v>
      </c>
      <c r="AB15" s="4" t="s">
        <v>45</v>
      </c>
      <c r="AC15" s="2" t="s">
        <v>30</v>
      </c>
      <c r="AD15" s="2" t="s">
        <v>178</v>
      </c>
      <c r="AE15" s="2" t="s">
        <v>71</v>
      </c>
      <c r="AF15" s="4"/>
    </row>
    <row r="16" spans="1:33" x14ac:dyDescent="0.15">
      <c r="B16" s="4">
        <v>12</v>
      </c>
      <c r="C16" s="4" t="s">
        <v>19</v>
      </c>
      <c r="D16" s="4">
        <v>8</v>
      </c>
      <c r="E16" s="4" t="s">
        <v>176</v>
      </c>
      <c r="F16" s="18" t="s">
        <v>89</v>
      </c>
      <c r="G16" s="4">
        <v>90</v>
      </c>
      <c r="H16" s="4">
        <v>90</v>
      </c>
      <c r="I16" s="2" t="s">
        <v>149</v>
      </c>
      <c r="J16" s="4">
        <v>16</v>
      </c>
      <c r="K16" s="4"/>
      <c r="L16" s="4"/>
      <c r="M16" s="2" t="s">
        <v>84</v>
      </c>
      <c r="O16" s="2" t="s">
        <v>79</v>
      </c>
      <c r="P16" s="2" t="s">
        <v>181</v>
      </c>
      <c r="Q16" s="4">
        <v>2400</v>
      </c>
      <c r="R16" s="4">
        <v>2400</v>
      </c>
      <c r="S16" s="4">
        <v>2400</v>
      </c>
      <c r="T16" s="4"/>
      <c r="U16" s="4"/>
      <c r="V16" s="4">
        <v>1</v>
      </c>
      <c r="W16" s="2" t="s">
        <v>67</v>
      </c>
      <c r="X16" s="2" t="s">
        <v>66</v>
      </c>
      <c r="Y16" s="2" t="s">
        <v>67</v>
      </c>
      <c r="Z16" s="2" t="s">
        <v>66</v>
      </c>
      <c r="AA16" s="2" t="s">
        <v>85</v>
      </c>
      <c r="AB16" s="4" t="s">
        <v>48</v>
      </c>
      <c r="AC16" s="2" t="s">
        <v>33</v>
      </c>
      <c r="AD16" s="2" t="s">
        <v>178</v>
      </c>
      <c r="AE16" s="2" t="s">
        <v>70</v>
      </c>
      <c r="AF16" s="4"/>
    </row>
    <row r="17" spans="2:32" x14ac:dyDescent="0.15">
      <c r="B17" s="4">
        <v>13</v>
      </c>
      <c r="C17" s="4" t="s">
        <v>17</v>
      </c>
      <c r="D17" s="4">
        <v>9</v>
      </c>
      <c r="E17" s="4" t="s">
        <v>177</v>
      </c>
      <c r="F17" s="18" t="s">
        <v>89</v>
      </c>
      <c r="G17" s="4">
        <v>80</v>
      </c>
      <c r="H17" s="4">
        <v>80</v>
      </c>
      <c r="I17" s="2" t="s">
        <v>149</v>
      </c>
      <c r="J17" s="4">
        <v>16</v>
      </c>
      <c r="K17" s="4"/>
      <c r="L17" s="4"/>
      <c r="M17" s="2" t="s">
        <v>84</v>
      </c>
      <c r="O17" s="2" t="s">
        <v>184</v>
      </c>
      <c r="P17" s="2" t="s">
        <v>182</v>
      </c>
      <c r="Q17" s="4">
        <v>2400</v>
      </c>
      <c r="R17" s="4">
        <v>2400</v>
      </c>
      <c r="S17" s="4">
        <v>2400</v>
      </c>
      <c r="T17" s="4"/>
      <c r="U17" s="4"/>
      <c r="V17" s="4">
        <v>1</v>
      </c>
      <c r="W17" s="2" t="s">
        <v>66</v>
      </c>
      <c r="X17" s="2" t="s">
        <v>66</v>
      </c>
      <c r="Y17" s="2" t="s">
        <v>67</v>
      </c>
      <c r="Z17" s="2" t="s">
        <v>66</v>
      </c>
      <c r="AA17" s="2" t="s">
        <v>85</v>
      </c>
      <c r="AB17" s="4" t="s">
        <v>46</v>
      </c>
      <c r="AC17" s="2" t="s">
        <v>31</v>
      </c>
      <c r="AD17" s="2" t="s">
        <v>179</v>
      </c>
      <c r="AE17" s="2" t="s">
        <v>71</v>
      </c>
      <c r="AF17" s="4"/>
    </row>
    <row r="18" spans="2:32" ht="14.25" customHeight="1" x14ac:dyDescent="0.15">
      <c r="B18" s="4">
        <v>14</v>
      </c>
      <c r="C18" s="4" t="s">
        <v>18</v>
      </c>
      <c r="D18" s="4">
        <v>9</v>
      </c>
      <c r="E18" s="4" t="s">
        <v>177</v>
      </c>
      <c r="F18" s="18" t="s">
        <v>89</v>
      </c>
      <c r="G18" s="4">
        <v>100</v>
      </c>
      <c r="H18" s="4">
        <v>80</v>
      </c>
      <c r="I18" s="2" t="s">
        <v>149</v>
      </c>
      <c r="J18" s="4">
        <v>16</v>
      </c>
      <c r="K18" s="4"/>
      <c r="L18" s="4"/>
      <c r="M18" s="2" t="s">
        <v>84</v>
      </c>
      <c r="O18" s="2" t="s">
        <v>81</v>
      </c>
      <c r="P18" s="2" t="s">
        <v>182</v>
      </c>
      <c r="Q18" s="4">
        <v>2500</v>
      </c>
      <c r="R18" s="4">
        <v>2500</v>
      </c>
      <c r="S18" s="4">
        <v>2500</v>
      </c>
      <c r="T18" s="4"/>
      <c r="U18" s="4"/>
      <c r="V18" s="4">
        <v>1</v>
      </c>
      <c r="W18" s="2" t="s">
        <v>66</v>
      </c>
      <c r="X18" s="2" t="s">
        <v>66</v>
      </c>
      <c r="Y18" s="2" t="s">
        <v>67</v>
      </c>
      <c r="Z18" s="2" t="s">
        <v>66</v>
      </c>
      <c r="AA18" s="2" t="s">
        <v>85</v>
      </c>
      <c r="AB18" s="4" t="s">
        <v>47</v>
      </c>
      <c r="AC18" s="2" t="s">
        <v>32</v>
      </c>
      <c r="AD18" s="2" t="s">
        <v>179</v>
      </c>
      <c r="AE18" s="2" t="s">
        <v>71</v>
      </c>
      <c r="AF18" s="4"/>
    </row>
    <row r="19" spans="2:32" x14ac:dyDescent="0.15">
      <c r="B19" s="4">
        <v>15</v>
      </c>
      <c r="C19" s="2" t="s">
        <v>118</v>
      </c>
      <c r="D19" s="4">
        <v>1</v>
      </c>
      <c r="E19" s="4" t="str">
        <f>VLOOKUP(D19,$D$6:$E$9,2,0)</f>
        <v>刀兵</v>
      </c>
      <c r="F19" s="18" t="s">
        <v>139</v>
      </c>
      <c r="G19" s="2" t="s">
        <v>147</v>
      </c>
      <c r="H19" s="2" t="s">
        <v>149</v>
      </c>
      <c r="I19" s="2" t="s">
        <v>149</v>
      </c>
      <c r="N19" s="4">
        <v>8</v>
      </c>
      <c r="O19" s="2" t="s">
        <v>145</v>
      </c>
      <c r="R19" s="2" t="s">
        <v>80</v>
      </c>
    </row>
    <row r="20" spans="2:32" x14ac:dyDescent="0.15">
      <c r="B20" s="4">
        <v>16</v>
      </c>
      <c r="C20" s="2" t="s">
        <v>126</v>
      </c>
      <c r="D20" s="4">
        <v>3</v>
      </c>
      <c r="E20" s="4" t="str">
        <f t="shared" ref="E20:E30" si="0">VLOOKUP(D20,$D$6:$E$9,2,0)</f>
        <v>枪兵</v>
      </c>
      <c r="F20" s="18" t="s">
        <v>138</v>
      </c>
      <c r="G20" s="2" t="s">
        <v>147</v>
      </c>
      <c r="H20" s="2" t="s">
        <v>149</v>
      </c>
      <c r="I20" s="2" t="s">
        <v>149</v>
      </c>
      <c r="N20" s="4">
        <v>9</v>
      </c>
      <c r="O20" s="2" t="s">
        <v>145</v>
      </c>
    </row>
    <row r="21" spans="2:32" x14ac:dyDescent="0.15">
      <c r="B21" s="4">
        <v>17</v>
      </c>
      <c r="C21" s="2" t="s">
        <v>119</v>
      </c>
      <c r="D21" s="4">
        <v>3</v>
      </c>
      <c r="E21" s="4" t="str">
        <f t="shared" si="0"/>
        <v>枪兵</v>
      </c>
      <c r="F21" s="18" t="s">
        <v>138</v>
      </c>
      <c r="G21" s="2" t="s">
        <v>146</v>
      </c>
      <c r="H21" s="2" t="s">
        <v>150</v>
      </c>
      <c r="I21" s="2" t="s">
        <v>148</v>
      </c>
      <c r="N21" s="4">
        <v>10</v>
      </c>
      <c r="O21" s="2" t="s">
        <v>145</v>
      </c>
    </row>
    <row r="22" spans="2:32" x14ac:dyDescent="0.15">
      <c r="B22" s="4">
        <v>18</v>
      </c>
      <c r="C22" s="2" t="s">
        <v>120</v>
      </c>
      <c r="D22" s="4">
        <v>4</v>
      </c>
      <c r="E22" s="4" t="str">
        <f t="shared" si="0"/>
        <v>骑兵</v>
      </c>
      <c r="F22" s="18" t="s">
        <v>140</v>
      </c>
      <c r="G22" s="2" t="s">
        <v>146</v>
      </c>
      <c r="H22" s="2" t="s">
        <v>151</v>
      </c>
      <c r="I22" s="2" t="s">
        <v>148</v>
      </c>
      <c r="J22" s="4">
        <v>28</v>
      </c>
      <c r="N22" s="4">
        <v>11</v>
      </c>
      <c r="O22" s="2" t="s">
        <v>145</v>
      </c>
    </row>
    <row r="23" spans="2:32" x14ac:dyDescent="0.15">
      <c r="B23" s="4">
        <v>19</v>
      </c>
      <c r="C23" s="2" t="s">
        <v>127</v>
      </c>
      <c r="D23" s="4">
        <v>3</v>
      </c>
      <c r="E23" s="4" t="str">
        <f t="shared" si="0"/>
        <v>枪兵</v>
      </c>
      <c r="F23" s="18" t="s">
        <v>138</v>
      </c>
      <c r="G23" s="2" t="s">
        <v>146</v>
      </c>
      <c r="H23" s="2" t="s">
        <v>152</v>
      </c>
      <c r="I23" s="2" t="s">
        <v>148</v>
      </c>
      <c r="N23" s="4">
        <v>12</v>
      </c>
      <c r="O23" s="2" t="s">
        <v>145</v>
      </c>
    </row>
    <row r="24" spans="2:32" x14ac:dyDescent="0.15">
      <c r="B24" s="4">
        <v>20</v>
      </c>
      <c r="C24" s="2" t="s">
        <v>128</v>
      </c>
      <c r="D24" s="4">
        <v>1</v>
      </c>
      <c r="E24" s="4" t="str">
        <f t="shared" si="0"/>
        <v>刀兵</v>
      </c>
      <c r="F24" s="18" t="s">
        <v>139</v>
      </c>
      <c r="G24" s="2" t="s">
        <v>146</v>
      </c>
      <c r="H24" s="2" t="s">
        <v>153</v>
      </c>
      <c r="I24" s="2" t="s">
        <v>148</v>
      </c>
      <c r="N24" s="4">
        <v>13</v>
      </c>
      <c r="O24" s="2" t="s">
        <v>145</v>
      </c>
    </row>
    <row r="25" spans="2:32" x14ac:dyDescent="0.15">
      <c r="B25" s="4">
        <v>21</v>
      </c>
      <c r="C25" s="2" t="s">
        <v>121</v>
      </c>
      <c r="D25" s="4">
        <v>4</v>
      </c>
      <c r="E25" s="4" t="str">
        <f t="shared" si="0"/>
        <v>骑兵</v>
      </c>
      <c r="F25" s="18" t="s">
        <v>140</v>
      </c>
      <c r="G25" s="2" t="s">
        <v>146</v>
      </c>
      <c r="H25" s="2" t="s">
        <v>154</v>
      </c>
      <c r="I25" s="2" t="s">
        <v>148</v>
      </c>
      <c r="J25" s="4">
        <v>28</v>
      </c>
      <c r="N25" s="4">
        <v>14</v>
      </c>
      <c r="O25" s="2" t="s">
        <v>145</v>
      </c>
    </row>
    <row r="26" spans="2:32" x14ac:dyDescent="0.15">
      <c r="B26" s="4">
        <v>22</v>
      </c>
      <c r="C26" s="2" t="s">
        <v>180</v>
      </c>
      <c r="D26" s="4">
        <v>4</v>
      </c>
      <c r="E26" s="4" t="str">
        <f t="shared" si="0"/>
        <v>骑兵</v>
      </c>
      <c r="F26" s="18" t="s">
        <v>140</v>
      </c>
      <c r="G26" s="2" t="s">
        <v>146</v>
      </c>
      <c r="H26" s="2" t="s">
        <v>155</v>
      </c>
      <c r="I26" s="2" t="s">
        <v>148</v>
      </c>
      <c r="J26" s="4">
        <v>28</v>
      </c>
      <c r="N26" s="4">
        <v>15</v>
      </c>
      <c r="O26" s="2" t="s">
        <v>145</v>
      </c>
    </row>
    <row r="27" spans="2:32" x14ac:dyDescent="0.15">
      <c r="B27" s="4">
        <v>23</v>
      </c>
      <c r="C27" s="2" t="s">
        <v>122</v>
      </c>
      <c r="D27" s="4">
        <v>1</v>
      </c>
      <c r="E27" s="4" t="str">
        <f t="shared" si="0"/>
        <v>刀兵</v>
      </c>
      <c r="F27" s="18" t="s">
        <v>139</v>
      </c>
      <c r="G27" s="2" t="s">
        <v>146</v>
      </c>
      <c r="H27" s="2" t="s">
        <v>156</v>
      </c>
      <c r="I27" s="2" t="s">
        <v>148</v>
      </c>
      <c r="N27" s="4">
        <v>16</v>
      </c>
      <c r="O27" s="2" t="s">
        <v>145</v>
      </c>
    </row>
    <row r="28" spans="2:32" x14ac:dyDescent="0.15">
      <c r="B28" s="4">
        <v>24</v>
      </c>
      <c r="C28" s="4" t="s">
        <v>123</v>
      </c>
      <c r="D28" s="4">
        <v>4</v>
      </c>
      <c r="E28" s="4" t="str">
        <f t="shared" si="0"/>
        <v>骑兵</v>
      </c>
      <c r="F28" s="18" t="s">
        <v>140</v>
      </c>
      <c r="G28" s="2" t="s">
        <v>146</v>
      </c>
      <c r="H28" s="2" t="s">
        <v>157</v>
      </c>
      <c r="I28" s="2" t="s">
        <v>148</v>
      </c>
      <c r="J28" s="4">
        <v>28</v>
      </c>
      <c r="N28" s="4">
        <v>17</v>
      </c>
      <c r="O28" s="2" t="s">
        <v>145</v>
      </c>
      <c r="AB28" s="4"/>
      <c r="AF28" s="4"/>
    </row>
    <row r="29" spans="2:32" x14ac:dyDescent="0.15">
      <c r="B29" s="4">
        <v>25</v>
      </c>
      <c r="C29" s="4" t="s">
        <v>124</v>
      </c>
      <c r="D29" s="4">
        <v>2</v>
      </c>
      <c r="E29" s="4" t="str">
        <f t="shared" si="0"/>
        <v>弓兵</v>
      </c>
      <c r="F29" s="18" t="s">
        <v>142</v>
      </c>
      <c r="G29" s="2" t="s">
        <v>146</v>
      </c>
      <c r="H29" s="2" t="s">
        <v>158</v>
      </c>
      <c r="I29" s="2" t="s">
        <v>148</v>
      </c>
      <c r="N29" s="2" t="s">
        <v>143</v>
      </c>
      <c r="O29" s="2" t="s">
        <v>145</v>
      </c>
      <c r="AB29" s="4"/>
      <c r="AF29" s="4"/>
    </row>
    <row r="30" spans="2:32" x14ac:dyDescent="0.15">
      <c r="B30" s="4">
        <v>26</v>
      </c>
      <c r="C30" s="2" t="s">
        <v>125</v>
      </c>
      <c r="D30" s="4">
        <v>2</v>
      </c>
      <c r="E30" s="4" t="str">
        <f t="shared" si="0"/>
        <v>弓兵</v>
      </c>
      <c r="F30" s="18" t="s">
        <v>142</v>
      </c>
      <c r="G30" s="2" t="s">
        <v>146</v>
      </c>
      <c r="H30" s="2" t="s">
        <v>146</v>
      </c>
      <c r="I30" s="2" t="s">
        <v>148</v>
      </c>
      <c r="N30" s="2" t="s">
        <v>144</v>
      </c>
      <c r="O30" s="2" t="s">
        <v>145</v>
      </c>
    </row>
    <row r="39" spans="2:32" x14ac:dyDescent="0.15">
      <c r="B39" s="4"/>
      <c r="C39" s="4"/>
      <c r="D39" s="4"/>
      <c r="E39" s="4"/>
      <c r="AB39" s="4"/>
      <c r="AF39" s="4"/>
    </row>
    <row r="40" spans="2:32" ht="12.75" customHeight="1" x14ac:dyDescent="0.15">
      <c r="B40" s="4">
        <v>13</v>
      </c>
      <c r="C40" s="4" t="s">
        <v>23</v>
      </c>
      <c r="D40" s="4">
        <v>7</v>
      </c>
      <c r="E40" s="4"/>
      <c r="F40" s="18" t="s">
        <v>89</v>
      </c>
      <c r="G40" s="4">
        <v>0</v>
      </c>
      <c r="H40" s="4">
        <v>50</v>
      </c>
      <c r="I40" s="4">
        <v>30</v>
      </c>
      <c r="J40" s="4">
        <v>20</v>
      </c>
      <c r="K40" s="4"/>
      <c r="L40" s="4"/>
      <c r="M40" s="2" t="s">
        <v>80</v>
      </c>
      <c r="Q40" s="4">
        <v>0</v>
      </c>
      <c r="R40" s="4">
        <v>0</v>
      </c>
      <c r="S40" s="4">
        <v>0</v>
      </c>
      <c r="T40" s="4"/>
      <c r="U40" s="4"/>
      <c r="V40" s="4">
        <v>1</v>
      </c>
      <c r="W40" s="2" t="s">
        <v>67</v>
      </c>
      <c r="X40" s="2" t="s">
        <v>67</v>
      </c>
      <c r="Y40" s="2" t="s">
        <v>67</v>
      </c>
      <c r="Z40" s="2" t="s">
        <v>66</v>
      </c>
      <c r="AA40" s="2" t="s">
        <v>85</v>
      </c>
      <c r="AB40" s="4" t="s">
        <v>52</v>
      </c>
      <c r="AD40" s="2" t="s">
        <v>91</v>
      </c>
      <c r="AE40" s="2" t="s">
        <v>70</v>
      </c>
      <c r="AF40" s="4"/>
    </row>
    <row r="41" spans="2:32" x14ac:dyDescent="0.15">
      <c r="B41" s="4">
        <v>14</v>
      </c>
      <c r="C41" s="4" t="s">
        <v>24</v>
      </c>
      <c r="D41" s="4">
        <v>7</v>
      </c>
      <c r="E41" s="4"/>
      <c r="F41" s="18" t="s">
        <v>89</v>
      </c>
      <c r="G41" s="4">
        <v>0</v>
      </c>
      <c r="H41" s="4">
        <v>50</v>
      </c>
      <c r="I41" s="4">
        <v>30</v>
      </c>
      <c r="J41" s="4">
        <v>20</v>
      </c>
      <c r="K41" s="4"/>
      <c r="L41" s="4"/>
      <c r="M41" s="2" t="s">
        <v>80</v>
      </c>
      <c r="Q41" s="4">
        <v>0</v>
      </c>
      <c r="R41" s="4">
        <v>0</v>
      </c>
      <c r="S41" s="4">
        <v>0</v>
      </c>
      <c r="T41" s="4"/>
      <c r="U41" s="4"/>
      <c r="V41" s="4">
        <v>1</v>
      </c>
      <c r="W41" s="2" t="s">
        <v>67</v>
      </c>
      <c r="X41" s="2" t="s">
        <v>67</v>
      </c>
      <c r="Y41" s="2" t="s">
        <v>67</v>
      </c>
      <c r="Z41" s="2" t="s">
        <v>66</v>
      </c>
      <c r="AA41" s="2" t="s">
        <v>85</v>
      </c>
      <c r="AB41" s="4" t="s">
        <v>53</v>
      </c>
      <c r="AD41" s="2" t="s">
        <v>91</v>
      </c>
      <c r="AE41" s="2" t="s">
        <v>70</v>
      </c>
      <c r="AF41" s="4"/>
    </row>
    <row r="42" spans="2:32" x14ac:dyDescent="0.15">
      <c r="D42" s="4"/>
      <c r="E42" s="4"/>
      <c r="AB42" s="4"/>
      <c r="AF42" s="4"/>
    </row>
    <row r="43" spans="2:32" x14ac:dyDescent="0.15">
      <c r="D43" s="4"/>
      <c r="E43" s="4"/>
      <c r="AB43" s="4"/>
      <c r="AF43" s="4"/>
    </row>
    <row r="44" spans="2:32" x14ac:dyDescent="0.15">
      <c r="D44" s="4"/>
      <c r="E44" s="4"/>
      <c r="AB44" s="4"/>
      <c r="AF44" s="4"/>
    </row>
    <row r="45" spans="2:32" x14ac:dyDescent="0.15">
      <c r="D45" s="4"/>
      <c r="E45" s="4"/>
      <c r="AB45" s="4"/>
      <c r="AF45" s="4"/>
    </row>
    <row r="46" spans="2:32" x14ac:dyDescent="0.15">
      <c r="D46" s="4"/>
      <c r="E46" s="4"/>
      <c r="AB46" s="4"/>
      <c r="AF46" s="4"/>
    </row>
    <row r="47" spans="2:32" x14ac:dyDescent="0.15">
      <c r="D47" s="4"/>
      <c r="E47" s="4"/>
      <c r="AB47" s="4"/>
      <c r="AF47" s="4"/>
    </row>
    <row r="48" spans="2:32" x14ac:dyDescent="0.15">
      <c r="D48" s="4"/>
      <c r="E48" s="4"/>
      <c r="AB48" s="4"/>
      <c r="AF48" s="4"/>
    </row>
    <row r="49" spans="4:28" x14ac:dyDescent="0.15">
      <c r="D49" s="4"/>
      <c r="E49" s="4"/>
      <c r="AB49" s="4"/>
    </row>
    <row r="50" spans="4:28" x14ac:dyDescent="0.15">
      <c r="D50" s="4"/>
      <c r="E50" s="4"/>
      <c r="AB50" s="4"/>
    </row>
    <row r="51" spans="4:28" x14ac:dyDescent="0.15">
      <c r="D51" s="4"/>
      <c r="E51" s="4"/>
      <c r="AB51" s="4"/>
    </row>
    <row r="52" spans="4:28" x14ac:dyDescent="0.15">
      <c r="D52" s="4"/>
      <c r="E52" s="4"/>
      <c r="AB52" s="4"/>
    </row>
    <row r="53" spans="4:28" x14ac:dyDescent="0.15">
      <c r="D53" s="4"/>
      <c r="E53" s="4"/>
      <c r="AB53" s="4"/>
    </row>
    <row r="54" spans="4:28" x14ac:dyDescent="0.15">
      <c r="D54" s="4"/>
      <c r="E54" s="4"/>
      <c r="AB54" s="4"/>
    </row>
    <row r="55" spans="4:28" x14ac:dyDescent="0.15">
      <c r="D55" s="4"/>
      <c r="E55" s="4"/>
      <c r="AB55" s="4"/>
    </row>
    <row r="56" spans="4:28" x14ac:dyDescent="0.15">
      <c r="D56" s="4"/>
      <c r="E56" s="4"/>
      <c r="AB56" s="4"/>
    </row>
    <row r="57" spans="4:28" x14ac:dyDescent="0.15">
      <c r="D57" s="4"/>
      <c r="E57" s="4"/>
      <c r="AB57" s="4"/>
    </row>
    <row r="58" spans="4:28" x14ac:dyDescent="0.15">
      <c r="D58" s="4"/>
      <c r="E58" s="4"/>
      <c r="AB58" s="4"/>
    </row>
    <row r="59" spans="4:28" x14ac:dyDescent="0.15">
      <c r="D59" s="4"/>
      <c r="E59" s="4"/>
      <c r="AB59" s="4"/>
    </row>
    <row r="60" spans="4:28" x14ac:dyDescent="0.15">
      <c r="D60" s="4"/>
      <c r="E60" s="4"/>
      <c r="AB60" s="4"/>
    </row>
    <row r="61" spans="4:28" x14ac:dyDescent="0.15">
      <c r="D61" s="4"/>
      <c r="E61" s="4"/>
      <c r="AB61" s="4"/>
    </row>
    <row r="62" spans="4:28" x14ac:dyDescent="0.15">
      <c r="D62" s="4"/>
      <c r="E62" s="4"/>
      <c r="AB62" s="4"/>
    </row>
    <row r="63" spans="4:28" x14ac:dyDescent="0.15">
      <c r="D63" s="4"/>
      <c r="E63" s="4"/>
      <c r="AB63" s="4"/>
    </row>
    <row r="64" spans="4:28" x14ac:dyDescent="0.15">
      <c r="D64" s="4"/>
      <c r="E64" s="4"/>
      <c r="AB64" s="4"/>
    </row>
    <row r="65" spans="4:28" x14ac:dyDescent="0.15">
      <c r="D65" s="4"/>
      <c r="E65" s="4"/>
      <c r="AB65" s="4"/>
    </row>
    <row r="66" spans="4:28" x14ac:dyDescent="0.15">
      <c r="D66" s="4"/>
      <c r="E66" s="4"/>
      <c r="AB66" s="4"/>
    </row>
    <row r="67" spans="4:28" x14ac:dyDescent="0.15">
      <c r="D67" s="4"/>
      <c r="E67" s="4"/>
      <c r="AB67" s="4"/>
    </row>
    <row r="68" spans="4:28" x14ac:dyDescent="0.15">
      <c r="D68" s="4"/>
      <c r="E68" s="4"/>
      <c r="AB68" s="4"/>
    </row>
    <row r="69" spans="4:28" x14ac:dyDescent="0.15">
      <c r="D69" s="4"/>
      <c r="E69" s="4"/>
      <c r="AB69" s="4"/>
    </row>
    <row r="70" spans="4:28" x14ac:dyDescent="0.15">
      <c r="D70" s="4"/>
      <c r="E70" s="4"/>
      <c r="AB70" s="4"/>
    </row>
    <row r="71" spans="4:28" x14ac:dyDescent="0.15">
      <c r="D71" s="4"/>
      <c r="E71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TroopTypes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2025-11-04T09:38:41Z</dcterms:modified>
</cp:coreProperties>
</file>