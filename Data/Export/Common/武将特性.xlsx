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FE16AB7E-8771-4E84-85B8-48EE48816F4E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Featur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4" i="36" l="1"/>
  <c r="AK103" i="36"/>
  <c r="AK102" i="36"/>
  <c r="AK101" i="36"/>
  <c r="AK100" i="36"/>
  <c r="AK99" i="36"/>
  <c r="AK98" i="36"/>
  <c r="AK97" i="36"/>
  <c r="AK96" i="36"/>
  <c r="AK95" i="36"/>
  <c r="AK94" i="36"/>
  <c r="AK93" i="36"/>
  <c r="AK92" i="36"/>
  <c r="AK91" i="36"/>
  <c r="AK90" i="36"/>
  <c r="AK89" i="36"/>
  <c r="AK88" i="36"/>
  <c r="AK87" i="36"/>
  <c r="AK86" i="36"/>
  <c r="AK85" i="36"/>
  <c r="AK84" i="36"/>
  <c r="AK83" i="36"/>
  <c r="AK82" i="36"/>
  <c r="AK81" i="36"/>
  <c r="AK80" i="36"/>
  <c r="AK79" i="36"/>
  <c r="AK78" i="36"/>
  <c r="AK77" i="36"/>
  <c r="AK76" i="36"/>
  <c r="AK75" i="36"/>
  <c r="AK74" i="36"/>
  <c r="AK73" i="36"/>
  <c r="AK72" i="36"/>
  <c r="AK71" i="36"/>
  <c r="AK70" i="36"/>
  <c r="AK69" i="36"/>
  <c r="AK68" i="36"/>
  <c r="AK67" i="36"/>
  <c r="AK66" i="36"/>
  <c r="AK65" i="36"/>
  <c r="AK64" i="36"/>
  <c r="AK63" i="36"/>
  <c r="AK62" i="36"/>
  <c r="AK61" i="36"/>
  <c r="AK60" i="36"/>
  <c r="AK59" i="36"/>
  <c r="AK58" i="36"/>
  <c r="AK57" i="36"/>
  <c r="AK56" i="36"/>
  <c r="AK55" i="36"/>
  <c r="AK54" i="36"/>
  <c r="AK53" i="36"/>
  <c r="AK52" i="36"/>
  <c r="AK51" i="36"/>
  <c r="AK50" i="36"/>
  <c r="AK49" i="36"/>
  <c r="AK48" i="36"/>
  <c r="AK47" i="36"/>
  <c r="AK46" i="36"/>
  <c r="AK45" i="36"/>
  <c r="AK44" i="36"/>
  <c r="AK43" i="36"/>
  <c r="AK42" i="36"/>
  <c r="AK41" i="36"/>
  <c r="AK40" i="36"/>
  <c r="AK39" i="36"/>
  <c r="AK38" i="36"/>
  <c r="AK37" i="36"/>
  <c r="AK36" i="36"/>
  <c r="AK35" i="36"/>
  <c r="AK34" i="36"/>
  <c r="AK33" i="36"/>
  <c r="AK32" i="36"/>
  <c r="AK31" i="36"/>
  <c r="AK30" i="36"/>
  <c r="AK29" i="36"/>
  <c r="AK28" i="36"/>
  <c r="AK27" i="36"/>
  <c r="AK26" i="36"/>
  <c r="AK25" i="36"/>
  <c r="AK24" i="36"/>
  <c r="AK23" i="36"/>
  <c r="AK22" i="36"/>
  <c r="AK21" i="36"/>
  <c r="AK20" i="36"/>
  <c r="AK19" i="36"/>
  <c r="AK18" i="36"/>
  <c r="AK17" i="36"/>
  <c r="AK16" i="36"/>
  <c r="AK15" i="36"/>
  <c r="AK14" i="36"/>
  <c r="AK13" i="36"/>
  <c r="AK12" i="36"/>
  <c r="AK11" i="36"/>
  <c r="AK10" i="36"/>
  <c r="AK9" i="36"/>
  <c r="AK8" i="36"/>
  <c r="AK7" i="36"/>
  <c r="AK6" i="36"/>
  <c r="AK5" i="36"/>
  <c r="AD104" i="36"/>
  <c r="AD103" i="36"/>
  <c r="AD102" i="36"/>
  <c r="AD101" i="36"/>
  <c r="AD100" i="36"/>
  <c r="AD99" i="36"/>
  <c r="AD98" i="36"/>
  <c r="AD97" i="36"/>
  <c r="AD96" i="36"/>
  <c r="AD95" i="36"/>
  <c r="AD94" i="36"/>
  <c r="AD93" i="36"/>
  <c r="AD92" i="36"/>
  <c r="AD91" i="36"/>
  <c r="AD90" i="36"/>
  <c r="AD89" i="36"/>
  <c r="AD88" i="36"/>
  <c r="AD87" i="36"/>
  <c r="AD86" i="36"/>
  <c r="AD85" i="36"/>
  <c r="AD84" i="36"/>
  <c r="AD83" i="36"/>
  <c r="AD82" i="36"/>
  <c r="AD81" i="36"/>
  <c r="AD80" i="36"/>
  <c r="AD79" i="36"/>
  <c r="AD78" i="36"/>
  <c r="AD77" i="36"/>
  <c r="AD76" i="36"/>
  <c r="AD75" i="36"/>
  <c r="AD74" i="36"/>
  <c r="AD73" i="36"/>
  <c r="AD72" i="36"/>
  <c r="AD71" i="36"/>
  <c r="AD70" i="36"/>
  <c r="AD69" i="36"/>
  <c r="AD68" i="36"/>
  <c r="AD67" i="36"/>
  <c r="AD66" i="36"/>
  <c r="AD65" i="36"/>
  <c r="AD64" i="36"/>
  <c r="AD63" i="36"/>
  <c r="AD62" i="36"/>
  <c r="AD61" i="36"/>
  <c r="AD60" i="36"/>
  <c r="AD59" i="36"/>
  <c r="AD58" i="36"/>
  <c r="AD57" i="36"/>
  <c r="AD56" i="36"/>
  <c r="AD55" i="36"/>
  <c r="AD54" i="36"/>
  <c r="AD53" i="36"/>
  <c r="AD52" i="36"/>
  <c r="AD51" i="36"/>
  <c r="AD50" i="36"/>
  <c r="AD49" i="36"/>
  <c r="AD48" i="36"/>
  <c r="AD47" i="36"/>
  <c r="AD46" i="36"/>
  <c r="AD45" i="36"/>
  <c r="AD44" i="36"/>
  <c r="AD43" i="36"/>
  <c r="AD42" i="36"/>
  <c r="AD41" i="36"/>
  <c r="AD40" i="36"/>
  <c r="AD39" i="36"/>
  <c r="AD38" i="36"/>
  <c r="AD37" i="36"/>
  <c r="AD36" i="36"/>
  <c r="AD35" i="36"/>
  <c r="AD34" i="36"/>
  <c r="AD33" i="36"/>
  <c r="AD32" i="36"/>
  <c r="AD31" i="36"/>
  <c r="AD30" i="36"/>
  <c r="AD29" i="36"/>
  <c r="AD28" i="36"/>
  <c r="AD27" i="36"/>
  <c r="AD26" i="36"/>
  <c r="AD25" i="36"/>
  <c r="AD24" i="36"/>
  <c r="AD23" i="36"/>
  <c r="AD22" i="36"/>
  <c r="AD21" i="36"/>
  <c r="AD20" i="36"/>
  <c r="AD19" i="36"/>
  <c r="AD18" i="36"/>
  <c r="AD17" i="36"/>
  <c r="AD16" i="36"/>
  <c r="AD15" i="36"/>
  <c r="AD14" i="36"/>
  <c r="AD13" i="36"/>
  <c r="AD12" i="36"/>
  <c r="AD11" i="36"/>
  <c r="AD10" i="36"/>
  <c r="AD9" i="36"/>
  <c r="AD8" i="36"/>
  <c r="AD7" i="36"/>
  <c r="AD6" i="36"/>
  <c r="AD5" i="36"/>
  <c r="W44" i="36"/>
  <c r="W45" i="36"/>
  <c r="W46" i="36"/>
  <c r="W47" i="36"/>
  <c r="W48" i="36"/>
  <c r="W49" i="36"/>
  <c r="W50" i="36"/>
  <c r="W51" i="36"/>
  <c r="W52" i="36"/>
  <c r="W53" i="36"/>
  <c r="W54" i="36"/>
  <c r="W55" i="36"/>
  <c r="W56" i="36"/>
  <c r="W57" i="36"/>
  <c r="W58" i="36"/>
  <c r="W59" i="36"/>
  <c r="W60" i="36"/>
  <c r="W61" i="36"/>
  <c r="W62" i="36"/>
  <c r="W63" i="36"/>
  <c r="W64" i="36"/>
  <c r="W65" i="36"/>
  <c r="W66" i="36"/>
  <c r="W67" i="36"/>
  <c r="W68" i="36"/>
  <c r="W69" i="36"/>
  <c r="W70" i="36"/>
  <c r="W71" i="36"/>
  <c r="W72" i="36"/>
  <c r="W73" i="36"/>
  <c r="W74" i="36"/>
  <c r="W75" i="36"/>
  <c r="W76" i="36"/>
  <c r="W77" i="36"/>
  <c r="W78" i="36"/>
  <c r="W79" i="36"/>
  <c r="W80" i="36"/>
  <c r="W81" i="36"/>
  <c r="W82" i="36"/>
  <c r="W83" i="36"/>
  <c r="W84" i="36"/>
  <c r="W85" i="36"/>
  <c r="W86" i="36"/>
  <c r="W87" i="36"/>
  <c r="W88" i="36"/>
  <c r="W89" i="36"/>
  <c r="W90" i="36"/>
  <c r="W91" i="36"/>
  <c r="W92" i="36"/>
  <c r="W93" i="36"/>
  <c r="W94" i="36"/>
  <c r="W95" i="36"/>
  <c r="W96" i="36"/>
  <c r="W97" i="36"/>
  <c r="W98" i="36"/>
  <c r="W99" i="36"/>
  <c r="W100" i="36"/>
  <c r="W101" i="36"/>
  <c r="W102" i="36"/>
  <c r="W10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W6" i="36"/>
  <c r="W7" i="36"/>
  <c r="W8" i="36"/>
  <c r="W9" i="36"/>
  <c r="W10" i="36"/>
  <c r="W11" i="36"/>
  <c r="W12" i="36"/>
  <c r="W13" i="36"/>
  <c r="W14" i="36"/>
  <c r="W15" i="36"/>
  <c r="W16" i="36"/>
  <c r="W17" i="36"/>
  <c r="W18" i="36"/>
  <c r="W19" i="36"/>
  <c r="W20" i="36"/>
  <c r="W21" i="36"/>
  <c r="W22" i="36"/>
  <c r="W23" i="36"/>
  <c r="W24" i="36"/>
  <c r="W25" i="36"/>
  <c r="W26" i="36"/>
  <c r="W27" i="36"/>
  <c r="W28" i="36"/>
  <c r="W29" i="36"/>
  <c r="W30" i="36"/>
  <c r="W31" i="36"/>
  <c r="W32" i="36"/>
  <c r="W33" i="36"/>
  <c r="W34" i="36"/>
  <c r="W35" i="36"/>
  <c r="W36" i="36"/>
  <c r="W37" i="36"/>
  <c r="W38" i="36"/>
  <c r="W39" i="36"/>
  <c r="W40" i="36"/>
  <c r="W41" i="36"/>
  <c r="W42" i="36"/>
  <c r="W43" i="36"/>
  <c r="W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H29" i="36" s="1"/>
  <c r="I30" i="36"/>
  <c r="H30" i="36" s="1"/>
  <c r="I31" i="36"/>
  <c r="H31" i="36" s="1"/>
  <c r="I32" i="36"/>
  <c r="H32" i="36" s="1"/>
  <c r="I33" i="36"/>
  <c r="H33" i="36" s="1"/>
  <c r="I34" i="36"/>
  <c r="H34" i="36" s="1"/>
  <c r="I35" i="36"/>
  <c r="H35" i="36" s="1"/>
  <c r="I36" i="36"/>
  <c r="H36" i="36" s="1"/>
  <c r="I37" i="36"/>
  <c r="H37" i="36" s="1"/>
  <c r="I38" i="36"/>
  <c r="H38" i="36" s="1"/>
  <c r="I39" i="36"/>
  <c r="H39" i="36" s="1"/>
  <c r="I40" i="36"/>
  <c r="H40" i="36" s="1"/>
  <c r="I41" i="36"/>
  <c r="H41" i="36" s="1"/>
  <c r="I42" i="36"/>
  <c r="H42" i="36" s="1"/>
  <c r="I43" i="36"/>
  <c r="H43" i="36" s="1"/>
  <c r="I44" i="36"/>
  <c r="H44" i="36" s="1"/>
  <c r="I45" i="36"/>
  <c r="H45" i="36" s="1"/>
  <c r="I46" i="36"/>
  <c r="H46" i="36" s="1"/>
  <c r="I47" i="36"/>
  <c r="H47" i="36" s="1"/>
  <c r="I48" i="36"/>
  <c r="H48" i="36" s="1"/>
  <c r="I49" i="36"/>
  <c r="H49" i="36" s="1"/>
  <c r="I50" i="36"/>
  <c r="H50" i="36" s="1"/>
  <c r="I51" i="36"/>
  <c r="H51" i="36" s="1"/>
  <c r="I52" i="36"/>
  <c r="H52" i="36" s="1"/>
  <c r="I53" i="36"/>
  <c r="H53" i="36" s="1"/>
  <c r="I54" i="36"/>
  <c r="H54" i="36" s="1"/>
  <c r="I55" i="36"/>
  <c r="H55" i="36" s="1"/>
  <c r="I56" i="36"/>
  <c r="H56" i="36" s="1"/>
  <c r="I57" i="36"/>
  <c r="H57" i="36" s="1"/>
  <c r="I58" i="36"/>
  <c r="H58" i="36" s="1"/>
  <c r="I59" i="36"/>
  <c r="H59" i="36" s="1"/>
  <c r="I60" i="36"/>
  <c r="H60" i="36" s="1"/>
  <c r="I61" i="36"/>
  <c r="H61" i="36" s="1"/>
  <c r="I62" i="36"/>
  <c r="H62" i="36" s="1"/>
  <c r="I63" i="36"/>
  <c r="H63" i="36" s="1"/>
  <c r="I64" i="36"/>
  <c r="H64" i="36" s="1"/>
  <c r="I65" i="36"/>
  <c r="H65" i="36" s="1"/>
  <c r="I66" i="36"/>
  <c r="H66" i="36" s="1"/>
  <c r="I67" i="36"/>
  <c r="H67" i="36" s="1"/>
  <c r="I68" i="36"/>
  <c r="H68" i="36" s="1"/>
  <c r="I69" i="36"/>
  <c r="H69" i="36" s="1"/>
  <c r="I70" i="36"/>
  <c r="H70" i="36" s="1"/>
  <c r="I71" i="36"/>
  <c r="H71" i="36" s="1"/>
  <c r="I72" i="36"/>
  <c r="H72" i="36" s="1"/>
  <c r="I73" i="36"/>
  <c r="H73" i="36" s="1"/>
  <c r="I74" i="36"/>
  <c r="H74" i="36" s="1"/>
  <c r="I75" i="36"/>
  <c r="H75" i="36" s="1"/>
  <c r="I76" i="36"/>
  <c r="H76" i="36" s="1"/>
  <c r="I77" i="36"/>
  <c r="H77" i="36" s="1"/>
  <c r="I78" i="36"/>
  <c r="H78" i="36" s="1"/>
  <c r="I79" i="36"/>
  <c r="H79" i="36" s="1"/>
  <c r="I80" i="36"/>
  <c r="H80" i="36" s="1"/>
  <c r="I81" i="36"/>
  <c r="H81" i="36" s="1"/>
  <c r="I82" i="36"/>
  <c r="H82" i="36" s="1"/>
  <c r="I83" i="36"/>
  <c r="H83" i="36" s="1"/>
  <c r="I84" i="36"/>
  <c r="H84" i="36" s="1"/>
  <c r="I85" i="36"/>
  <c r="H85" i="36" s="1"/>
  <c r="I86" i="36"/>
  <c r="H86" i="36" s="1"/>
  <c r="I87" i="36"/>
  <c r="H87" i="36" s="1"/>
  <c r="I88" i="36"/>
  <c r="H88" i="36" s="1"/>
  <c r="I89" i="36"/>
  <c r="H89" i="36" s="1"/>
  <c r="I90" i="36"/>
  <c r="H90" i="36" s="1"/>
  <c r="I91" i="36"/>
  <c r="H91" i="36" s="1"/>
  <c r="I92" i="36"/>
  <c r="H92" i="36" s="1"/>
  <c r="I93" i="36"/>
  <c r="H93" i="36" s="1"/>
  <c r="I94" i="36"/>
  <c r="H94" i="36" s="1"/>
  <c r="I95" i="36"/>
  <c r="H95" i="36" s="1"/>
  <c r="I96" i="36"/>
  <c r="H96" i="36" s="1"/>
  <c r="I97" i="36"/>
  <c r="H97" i="36" s="1"/>
  <c r="I98" i="36"/>
  <c r="H98" i="36" s="1"/>
  <c r="I99" i="36"/>
  <c r="H99" i="36" s="1"/>
  <c r="I100" i="36"/>
  <c r="H100" i="36" s="1"/>
  <c r="I101" i="36"/>
  <c r="H101" i="36" s="1"/>
  <c r="I102" i="36"/>
  <c r="H102" i="36" s="1"/>
  <c r="I103" i="36"/>
  <c r="H103" i="36" s="1"/>
  <c r="I104" i="36"/>
  <c r="H104" i="36" s="1"/>
  <c r="I5" i="36"/>
  <c r="W104" i="36"/>
</calcChain>
</file>

<file path=xl/sharedStrings.xml><?xml version="1.0" encoding="utf-8"?>
<sst xmlns="http://schemas.openxmlformats.org/spreadsheetml/2006/main" count="417" uniqueCount="249">
  <si>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</si>
  <si>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</si>
  <si>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</si>
  <si>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</si>
  <si>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</si>
  <si>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</si>
  <si>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</si>
  <si>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</si>
  <si>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发明</t>
  </si>
  <si>
    <t>火攻</t>
  </si>
  <si>
    <t>内政</t>
  </si>
  <si>
    <t>desc</t>
    <phoneticPr fontId="1" type="noConversion"/>
  </si>
  <si>
    <t>kind</t>
    <phoneticPr fontId="1" type="noConversion"/>
  </si>
  <si>
    <t>level</t>
    <phoneticPr fontId="1" type="noConversion"/>
  </si>
  <si>
    <t>飞将</t>
  </si>
  <si>
    <t>于陆上时不考虑ＺＯＣ、对武力低的敌部队施展战法成功时会心一击</t>
    <phoneticPr fontId="1" type="noConversion"/>
  </si>
  <si>
    <t>行军</t>
  </si>
  <si>
    <t>遁走</t>
  </si>
  <si>
    <t>于陆上时不考虑ＺＯＣ</t>
    <phoneticPr fontId="1" type="noConversion"/>
  </si>
  <si>
    <t>强行</t>
  </si>
  <si>
    <t>增加兵器、输送部队以外的陆上部队之移动力</t>
  </si>
  <si>
    <t>长驱</t>
  </si>
  <si>
    <t>增加骑兵部队的移动力</t>
  </si>
  <si>
    <t>推进</t>
  </si>
  <si>
    <t>于水上时不考虑ＺＯＣ</t>
    <phoneticPr fontId="1" type="noConversion"/>
  </si>
  <si>
    <t>操舵</t>
  </si>
  <si>
    <t>增加水上的移动力</t>
  </si>
  <si>
    <t>踏破</t>
  </si>
  <si>
    <t>无栈道通行的损害；减轻所有陷阱的损伤。</t>
  </si>
  <si>
    <t>搬运</t>
  </si>
  <si>
    <t>增加输送部队的移动力</t>
  </si>
  <si>
    <t>解毒</t>
  </si>
  <si>
    <t>预防毒泉的伤害</t>
  </si>
  <si>
    <t>扫荡</t>
  </si>
  <si>
    <t>被攻击的敌方部队气力减少（小）</t>
  </si>
  <si>
    <t>攻击</t>
  </si>
  <si>
    <t>威风</t>
  </si>
  <si>
    <t>被攻击的敌方部队气力减少（大）</t>
  </si>
  <si>
    <t>昂扬</t>
  </si>
  <si>
    <t>打倒敌方部队就可回复气力</t>
    <phoneticPr fontId="1" type="noConversion"/>
  </si>
  <si>
    <t>连击</t>
  </si>
  <si>
    <t>施展一般攻击时，可连续攻击２次</t>
  </si>
  <si>
    <t>突袭</t>
  </si>
  <si>
    <t>于陆上攻击时，不会受到损伤</t>
    <phoneticPr fontId="1" type="noConversion"/>
  </si>
  <si>
    <t>强袭</t>
  </si>
  <si>
    <t>于水上攻击时，不会受到损伤</t>
    <phoneticPr fontId="1" type="noConversion"/>
  </si>
  <si>
    <t>乱战</t>
  </si>
  <si>
    <t>于森林中攻击时施展会心一击</t>
    <phoneticPr fontId="1" type="noConversion"/>
  </si>
  <si>
    <t>待伏</t>
  </si>
  <si>
    <t>伏兵成功时施展会心一击</t>
  </si>
  <si>
    <t>计略</t>
  </si>
  <si>
    <t>攻城</t>
  </si>
  <si>
    <t>攻击据点、设施、建筑物时施展会心一击</t>
    <phoneticPr fontId="1" type="noConversion"/>
  </si>
  <si>
    <t>掎角</t>
  </si>
  <si>
    <t>施展齐攻时，让对方陷入混乱</t>
  </si>
  <si>
    <t>捕缚</t>
  </si>
  <si>
    <t>击破敌方部队时，必定可捕捉无特技「强运」或名马的敌将</t>
  </si>
  <si>
    <t>精妙</t>
  </si>
  <si>
    <t>击破敌方部队时所获得的技巧点数增为２倍</t>
  </si>
  <si>
    <t>掠夺</t>
  </si>
  <si>
    <t>击破敌方部队时，有机会夺取敌将的道具</t>
    <phoneticPr fontId="1" type="noConversion"/>
  </si>
  <si>
    <t>攻心</t>
  </si>
  <si>
    <t>攻击时可将敌方部队的一部分士兵吸收到自军部队中</t>
  </si>
  <si>
    <t>驱逐</t>
  </si>
  <si>
    <t>施展一般攻击时会心一击</t>
  </si>
  <si>
    <t>射程</t>
  </si>
  <si>
    <t>使井阑、投石的射程增加１区格</t>
  </si>
  <si>
    <t>白马</t>
  </si>
  <si>
    <t>未研究技巧「骑射」时也可施展骑射；骑射可施展会心一击</t>
  </si>
  <si>
    <t>辅佐</t>
  </si>
  <si>
    <t>即使没建立人际关系（厌恶除外）也可获得支援攻击</t>
    <phoneticPr fontId="1" type="noConversion"/>
  </si>
  <si>
    <t>不屈</t>
  </si>
  <si>
    <t>若在部队的士兵不多时被攻击，不会受到损伤</t>
  </si>
  <si>
    <t>防御</t>
  </si>
  <si>
    <t>金刚</t>
  </si>
  <si>
    <t>在敌方攻击力微弱时被攻击的话，不会受到损伤</t>
  </si>
  <si>
    <t>铁壁</t>
  </si>
  <si>
    <t>就算被一齐攻击，也会视之为一般攻击</t>
  </si>
  <si>
    <t>怒发</t>
  </si>
  <si>
    <t>遭受敌方部队的战法攻击时，气力就会回复</t>
    <phoneticPr fontId="1" type="noConversion"/>
  </si>
  <si>
    <t>藤甲</t>
  </si>
  <si>
    <t>火以外的攻击损伤减半，但火攻的损伤将增为２倍</t>
  </si>
  <si>
    <t>强运</t>
  </si>
  <si>
    <t>不会战死、被俘、负伤</t>
  </si>
  <si>
    <t>血路</t>
  </si>
  <si>
    <t>就算部队溃灭，同部队的武将也不会被俘虏</t>
  </si>
  <si>
    <t>枪将</t>
  </si>
  <si>
    <t>对武力比自己低的敌方部队施展枪兵战法成功时会心一击</t>
  </si>
  <si>
    <t>戟将</t>
  </si>
  <si>
    <t>对武力比自己低的敌方部队施展戟兵战法成功时会心一击</t>
  </si>
  <si>
    <t>弓将</t>
  </si>
  <si>
    <t>对武力比自己低的敌方部队施展弩兵战法成功时会心一击</t>
  </si>
  <si>
    <t>骑将</t>
  </si>
  <si>
    <t>对武力比自己低的敌方部队施展骑兵战法成功时会心一击</t>
  </si>
  <si>
    <t>水将</t>
  </si>
  <si>
    <t>对武力比自己低的敌方部队施展水军战法成功时会心一击</t>
  </si>
  <si>
    <t>勇将</t>
  </si>
  <si>
    <t>对武力比自己低的敌方部队施展全战法成功时会心一击</t>
  </si>
  <si>
    <t>神将</t>
  </si>
  <si>
    <t>对武力比自己低的敌方部队施展一般攻击及战法成功时会心一击</t>
  </si>
  <si>
    <t>斗神</t>
    <phoneticPr fontId="1" type="noConversion"/>
  </si>
  <si>
    <t>枪兵战法与戟兵战法施展成功时会心一击</t>
  </si>
  <si>
    <t>枪神</t>
  </si>
  <si>
    <t>枪兵战法成功时施展会心一击</t>
  </si>
  <si>
    <t>戟神</t>
  </si>
  <si>
    <t>戟兵战法成功时施展会心一击</t>
  </si>
  <si>
    <t>弓神</t>
  </si>
  <si>
    <t>弩兵战法成功时施展会心一击</t>
  </si>
  <si>
    <t>骑神</t>
  </si>
  <si>
    <t>骑兵战法成功时施展会心一击</t>
  </si>
  <si>
    <t>工神</t>
  </si>
  <si>
    <t>兵器战法成功时施展会心一击</t>
  </si>
  <si>
    <t>水神</t>
  </si>
  <si>
    <t>水军战法成功时施展会心一击</t>
  </si>
  <si>
    <t>霸王</t>
  </si>
  <si>
    <t>全战法成功时施展会心一击</t>
  </si>
  <si>
    <t>疾驰</t>
  </si>
  <si>
    <t>对攻击力比自部队低的敌方部队施展骑兵战法成功时，必使其陷入混乱</t>
  </si>
  <si>
    <t>射手</t>
  </si>
  <si>
    <t>可于森林使用弩兵战法</t>
    <phoneticPr fontId="1" type="noConversion"/>
  </si>
  <si>
    <t>猛者</t>
  </si>
  <si>
    <t>以战法让敌方部队移动区格时，可让敌将负伤</t>
  </si>
  <si>
    <t>护卫</t>
  </si>
  <si>
    <t>同部队的武将不会战死、负伤</t>
  </si>
  <si>
    <t>对智力比自己低的敌方部队施展部队计略「火计」时必定会成功</t>
  </si>
  <si>
    <t>言毒</t>
  </si>
  <si>
    <t>对智力比自己低的敌方部队施展部队计略「伪报」时，必定会成功</t>
  </si>
  <si>
    <t>机智</t>
    <phoneticPr fontId="1" type="noConversion"/>
  </si>
  <si>
    <t>对智力比自己低的敌方部队施展部队计略「扰乱」时，必定会成功</t>
    <phoneticPr fontId="1" type="noConversion"/>
  </si>
  <si>
    <t>诡计</t>
  </si>
  <si>
    <t>对智力比自己低的敌方部队施展部队计略「内讧」时，必定会成功</t>
  </si>
  <si>
    <t>虚实</t>
  </si>
  <si>
    <t>对智力比自己低的敌方部队施展全部队计略时，必定会成功</t>
  </si>
  <si>
    <t>妙计</t>
  </si>
  <si>
    <t>对智力比自己低的敌方部队施展部队计略成功时会心一击</t>
  </si>
  <si>
    <t>秘计</t>
  </si>
  <si>
    <t>对智力比自己高的敌方部队施展部队计略成功时会心一击</t>
  </si>
  <si>
    <t>看破</t>
  </si>
  <si>
    <t>必定可识破智力比自己低的敌方部队所施展部队计略</t>
  </si>
  <si>
    <t>洞察</t>
  </si>
  <si>
    <t>必定可识破敌方部队所施展的部队计略</t>
  </si>
  <si>
    <t>火神</t>
  </si>
  <si>
    <t>对智力比自己低的敌方部队施展火计时必会成功；于全火攻有所优势</t>
    <phoneticPr fontId="1" type="noConversion"/>
  </si>
  <si>
    <t>神算</t>
  </si>
  <si>
    <t>对智力比自己低的敌方部队施展计略必会成功；于全计略有所优势</t>
    <phoneticPr fontId="1" type="noConversion"/>
  </si>
  <si>
    <t>百出</t>
  </si>
  <si>
    <t>部队计略的消费气力减少</t>
  </si>
  <si>
    <t>鬼谋</t>
  </si>
  <si>
    <t>增广２区格可施展部队计略的范围</t>
    <phoneticPr fontId="1" type="noConversion"/>
  </si>
  <si>
    <t>连环</t>
  </si>
  <si>
    <t>部队计略成功时，与对象部队邻接的部队也会遭受计略波及</t>
  </si>
  <si>
    <t>深谋</t>
  </si>
  <si>
    <t>部队计略成功时施展会心一击</t>
  </si>
  <si>
    <t>反计</t>
  </si>
  <si>
    <t>若识破部队计略，就可对其施展同样的计略</t>
  </si>
  <si>
    <t>奇谋</t>
  </si>
  <si>
    <t>对部队施展部队计略成功率增为２倍</t>
  </si>
  <si>
    <t>妖术</t>
  </si>
  <si>
    <t>可施展部队计略的「妖术」</t>
  </si>
  <si>
    <t>鬼门</t>
  </si>
  <si>
    <t>可施展部队计略的「妖术、落雷」</t>
  </si>
  <si>
    <t>规律</t>
  </si>
  <si>
    <t>可防止遭受部队计略「伪报」</t>
  </si>
  <si>
    <t>补助</t>
  </si>
  <si>
    <t>沉着</t>
    <phoneticPr fontId="1" type="noConversion"/>
  </si>
  <si>
    <t>可防止遭受部队计略「扰乱」</t>
    <phoneticPr fontId="1" type="noConversion"/>
  </si>
  <si>
    <t>明镜</t>
  </si>
  <si>
    <t>可防止遭受部队计略的「伪报、扰乱」</t>
    <phoneticPr fontId="1" type="noConversion"/>
  </si>
  <si>
    <t>奏乐</t>
  </si>
  <si>
    <t>每回合回复自军部队的气力</t>
    <phoneticPr fontId="1" type="noConversion"/>
  </si>
  <si>
    <t>诗想</t>
  </si>
  <si>
    <t>军乐台的回复气力效果增为２倍</t>
    <phoneticPr fontId="1" type="noConversion"/>
  </si>
  <si>
    <t>筑城</t>
    <phoneticPr fontId="1" type="noConversion"/>
  </si>
  <si>
    <t>军事设施建设的耐久上升量增为２倍</t>
    <phoneticPr fontId="1" type="noConversion"/>
  </si>
  <si>
    <t>屯田</t>
  </si>
  <si>
    <t>所属于关所、港口时，士兵不会消费兵粮</t>
    <phoneticPr fontId="1" type="noConversion"/>
  </si>
  <si>
    <t>名声</t>
  </si>
  <si>
    <t>增加征兵时的士兵数</t>
    <phoneticPr fontId="1" type="noConversion"/>
  </si>
  <si>
    <t>能吏</t>
  </si>
  <si>
    <t>增加生产枪、戟、弩之兵装时的产量</t>
  </si>
  <si>
    <t>繁殖</t>
  </si>
  <si>
    <t>增加生产军马之兵装时的产量</t>
  </si>
  <si>
    <t>生产兵器之兵装时所需的生产期间减半</t>
  </si>
  <si>
    <t>造船</t>
  </si>
  <si>
    <t>生产舰船之兵装时所需的生产期间减半</t>
  </si>
  <si>
    <t>指导</t>
  </si>
  <si>
    <t>研究技巧时的费用减半</t>
  </si>
  <si>
    <t>眼力</t>
  </si>
  <si>
    <t>若有未发现的在野人士时执行人材探索的话，必定会发现</t>
  </si>
  <si>
    <t>论客</t>
  </si>
  <si>
    <t>于同盟、停战协定、交换俘虏时容易进入舌战</t>
    <phoneticPr fontId="1" type="noConversion"/>
  </si>
  <si>
    <t>富豪</t>
  </si>
  <si>
    <t>每个月的所属都市的资金收入增为1.5倍</t>
  </si>
  <si>
    <t>收入</t>
  </si>
  <si>
    <t>米道</t>
  </si>
  <si>
    <t>每季的所属都市的兵粮收入增加为1.5倍</t>
  </si>
  <si>
    <t>征税</t>
    <phoneticPr fontId="1" type="noConversion"/>
  </si>
  <si>
    <t>每回合所属都市都会有资金收入（一次收入将减半）</t>
  </si>
  <si>
    <t>征收</t>
    <phoneticPr fontId="1" type="noConversion"/>
  </si>
  <si>
    <t>每个月所属都市都会有兵粮的收入（一次的收入将减半）</t>
  </si>
  <si>
    <t>亲乌</t>
  </si>
  <si>
    <t>所属都市的领内不会出现异族「乌丸」的根据地</t>
    <phoneticPr fontId="1" type="noConversion"/>
  </si>
  <si>
    <t>灾害</t>
  </si>
  <si>
    <t>亲羌</t>
  </si>
  <si>
    <t>所属都市的领内不会出现异族「羌族」的根据地</t>
    <phoneticPr fontId="1" type="noConversion"/>
  </si>
  <si>
    <t>亲越</t>
  </si>
  <si>
    <t>所属都市的领内不会出现异族「山越」的根据地</t>
    <phoneticPr fontId="1" type="noConversion"/>
  </si>
  <si>
    <t>亲蛮</t>
  </si>
  <si>
    <t>所属都市的领内不会出现异族「南蛮」的根据地</t>
    <phoneticPr fontId="1" type="noConversion"/>
  </si>
  <si>
    <t>威压</t>
  </si>
  <si>
    <t>所属都市的领内不容易出现盗贼或异族的根据地</t>
    <phoneticPr fontId="1" type="noConversion"/>
  </si>
  <si>
    <t>仁政</t>
  </si>
  <si>
    <t>所属相同的武将之每个月的忠诚不会下降</t>
  </si>
  <si>
    <t>风水</t>
  </si>
  <si>
    <t>所属都市不容易出现蝗灾、瘟疫</t>
  </si>
  <si>
    <t>祈愿</t>
    <phoneticPr fontId="1" type="noConversion"/>
  </si>
  <si>
    <t>所属都市容易出现丰收</t>
    <phoneticPr fontId="1" type="noConversion"/>
  </si>
  <si>
    <t>内助</t>
  </si>
  <si>
    <t>若结婚，双方的能力全部＋２</t>
  </si>
  <si>
    <t>关系</t>
  </si>
  <si>
    <t>u8</t>
    <phoneticPr fontId="1" type="noConversion"/>
  </si>
  <si>
    <t>actionType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</si>
  <si>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</si>
  <si>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</si>
  <si>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</si>
  <si>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</si>
  <si>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100</t>
    <phoneticPr fontId="1" type="noConversion"/>
  </si>
  <si>
    <t>action1</t>
    <phoneticPr fontId="1" type="noConversion"/>
  </si>
  <si>
    <t>action2</t>
    <phoneticPr fontId="1" type="noConversion"/>
  </si>
  <si>
    <t>action3</t>
    <phoneticPr fontId="1" type="noConversion"/>
  </si>
  <si>
    <t>0</t>
    <phoneticPr fontId="1" type="noConversion"/>
  </si>
  <si>
    <t>action4</t>
    <phoneticPr fontId="1" type="noConversion"/>
  </si>
  <si>
    <t>actionList</t>
    <phoneticPr fontId="1" type="noConversion"/>
  </si>
  <si>
    <t>aai32</t>
    <phoneticPr fontId="1" type="noConversion"/>
  </si>
  <si>
    <t>19,3,100,0,1</t>
  </si>
  <si>
    <t>19,1,100,0,1</t>
  </si>
  <si>
    <t>19,2,100,0,1</t>
  </si>
  <si>
    <t>19,4,100,0,1</t>
  </si>
  <si>
    <t>19,8,100,0,1</t>
  </si>
  <si>
    <t>19,6,100,0,1</t>
  </si>
  <si>
    <t>19,0,100,-1,1</t>
  </si>
  <si>
    <t>19,1,100,0,0;19,3,100,0,0</t>
  </si>
  <si>
    <t>19,3,100,0,0</t>
  </si>
  <si>
    <t>19,1,100,0,0</t>
  </si>
  <si>
    <t>19,2,100,0,0</t>
  </si>
  <si>
    <t>19,4,100,0,0</t>
  </si>
  <si>
    <t>19,8,100,0,0;19,9,100,0,0</t>
  </si>
  <si>
    <t>19,6,100,0,0</t>
  </si>
  <si>
    <t>19,0,100,0,0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</si>
</sst>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92D050"/>
      <name val="宋体"/>
      <family val="2"/>
      <scheme val="minor"/>
    </font>
    <font>
      <sz val="11"/>
      <color rgb="FF92D05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P104"/>
  <sheetViews>
    <sheetView tabSelected="1" zoomScale="82" zoomScaleNormal="82" workbookViewId="0">
      <pane xSplit="3" ySplit="4" topLeftCell="D32" activePane="bottomRight" state="frozen"/>
      <selection pane="topRight" activeCell="D1" sqref="D1"/>
      <selection pane="bottomLeft" activeCell="A5" sqref="A5"/>
      <selection pane="bottomRight" activeCell="H62" sqref="H62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6.75" style="2" bestFit="1" customWidth="1"/>
    <col min="4" max="4" width="70.5" style="2" bestFit="1" customWidth="1"/>
    <col min="5" max="5" width="8" style="2" bestFit="1" customWidth="1"/>
    <col min="6" max="6" width="6.75" style="2" bestFit="1" customWidth="1"/>
    <col min="7" max="7" width="24.5" style="2" customWidth="1"/>
    <col min="8" max="8" width="28.25" style="2" bestFit="1" customWidth="1"/>
    <col min="9" max="9" width="18.75" style="2" customWidth="1"/>
    <col min="10" max="10" width="13.25" style="2" bestFit="1" customWidth="1"/>
    <col min="11" max="15" width="9" style="2"/>
    <col min="16" max="16" width="14" style="2" customWidth="1"/>
    <col min="17" max="17" width="13.25" style="2" bestFit="1" customWidth="1"/>
    <col min="18" max="22" width="9" style="2"/>
    <col min="23" max="23" width="14" style="2" customWidth="1"/>
    <col min="24" max="24" width="13.25" style="2" bestFit="1" customWidth="1"/>
    <col min="25" max="29" width="9" style="2"/>
    <col min="30" max="30" width="14" style="2" customWidth="1"/>
    <col min="31" max="31" width="13.25" style="2" bestFit="1" customWidth="1"/>
    <col min="32" max="36" width="9" style="2"/>
    <col min="37" max="37" width="14" style="2" customWidth="1"/>
    <col min="38" max="38" width="13.25" style="2" bestFit="1" customWidth="1"/>
    <col min="39" max="16384" width="9" style="2"/>
  </cols>
  <sheetData>
    <row r="1" spans="1:42" s="7" customFormat="1" ht="59.25" customHeight="1" x14ac:dyDescent="0.15">
      <c r="A1" s="9"/>
      <c r="B1" s="6" t="s">
        <v>0</v>
      </c>
      <c r="C1" s="6" t="s">
        <v>1</v>
      </c>
      <c r="D1" s="6"/>
      <c r="E1" s="6"/>
      <c r="F1" s="5"/>
      <c r="G1" s="5"/>
      <c r="H1" s="5"/>
      <c r="I1" s="6"/>
      <c r="J1" s="10"/>
      <c r="K1" s="6"/>
      <c r="L1" s="4"/>
      <c r="M1" s="6"/>
      <c r="N1" s="4"/>
      <c r="O1" s="6"/>
      <c r="P1" s="6"/>
      <c r="Q1" s="10"/>
      <c r="R1" s="6"/>
      <c r="S1" s="4"/>
      <c r="T1" s="6"/>
      <c r="U1" s="4"/>
      <c r="W1" s="6"/>
      <c r="X1" s="10"/>
      <c r="Y1" s="6"/>
      <c r="Z1" s="4"/>
      <c r="AA1" s="6"/>
      <c r="AB1" s="4"/>
      <c r="AD1" s="6"/>
      <c r="AE1" s="10"/>
      <c r="AF1" s="6"/>
      <c r="AG1" s="4"/>
      <c r="AH1" s="6"/>
      <c r="AI1" s="4"/>
      <c r="AK1" s="6"/>
      <c r="AL1" s="10"/>
      <c r="AM1" s="6"/>
      <c r="AN1" s="4"/>
      <c r="AO1" s="6"/>
      <c r="AP1" s="4"/>
    </row>
    <row r="2" spans="1:42" s="1" customFormat="1" ht="25.5" customHeight="1" x14ac:dyDescent="0.15">
      <c r="A2" s="1" t="s">
        <v>2</v>
      </c>
      <c r="B2" s="2"/>
      <c r="C2" s="2"/>
      <c r="D2" s="2"/>
      <c r="E2" s="2"/>
      <c r="F2" s="2"/>
      <c r="G2" s="2"/>
      <c r="H2" s="2"/>
      <c r="I2" s="2"/>
      <c r="J2"/>
      <c r="K2" s="2"/>
      <c r="L2" s="2"/>
      <c r="M2" s="2"/>
      <c r="N2" s="2"/>
      <c r="O2" s="2"/>
      <c r="P2" s="2"/>
      <c r="Q2"/>
      <c r="R2" s="2"/>
      <c r="S2" s="2"/>
      <c r="T2" s="2"/>
      <c r="U2" s="2"/>
      <c r="W2" s="2"/>
      <c r="X2"/>
      <c r="Y2" s="2"/>
      <c r="Z2" s="2"/>
      <c r="AA2" s="2"/>
      <c r="AB2" s="2"/>
      <c r="AD2" s="2"/>
      <c r="AE2"/>
      <c r="AF2" s="2"/>
      <c r="AG2" s="2"/>
      <c r="AH2" s="2"/>
      <c r="AI2" s="2"/>
      <c r="AK2" s="2"/>
      <c r="AL2"/>
      <c r="AM2" s="2"/>
      <c r="AN2" s="2"/>
      <c r="AO2" s="2"/>
      <c r="AP2" s="2"/>
    </row>
    <row r="3" spans="1:42" s="3" customFormat="1" ht="33" customHeight="1" x14ac:dyDescent="0.15">
      <c r="A3" s="3" t="s">
        <v>4</v>
      </c>
      <c r="B3" s="5" t="s">
        <v>6</v>
      </c>
      <c r="C3" s="5" t="s">
        <v>7</v>
      </c>
      <c r="D3" s="5" t="s">
        <v>11</v>
      </c>
      <c r="E3" s="5" t="s">
        <v>13</v>
      </c>
      <c r="F3" s="5" t="s">
        <v>12</v>
      </c>
      <c r="G3" s="5" t="s">
        <v>232</v>
      </c>
      <c r="H3" s="5" t="s">
        <v>232</v>
      </c>
      <c r="I3" s="5" t="s">
        <v>227</v>
      </c>
      <c r="J3" s="5" t="s">
        <v>221</v>
      </c>
      <c r="K3" s="5" t="s">
        <v>222</v>
      </c>
      <c r="L3" s="5" t="s">
        <v>223</v>
      </c>
      <c r="M3" s="5" t="s">
        <v>224</v>
      </c>
      <c r="N3" s="5" t="s">
        <v>225</v>
      </c>
      <c r="O3" s="5"/>
      <c r="P3" s="5" t="s">
        <v>228</v>
      </c>
      <c r="Q3" s="5" t="s">
        <v>221</v>
      </c>
      <c r="R3" s="5" t="s">
        <v>222</v>
      </c>
      <c r="S3" s="5" t="s">
        <v>223</v>
      </c>
      <c r="T3" s="5" t="s">
        <v>224</v>
      </c>
      <c r="U3" s="5" t="s">
        <v>225</v>
      </c>
      <c r="W3" s="5" t="s">
        <v>229</v>
      </c>
      <c r="X3" s="5" t="s">
        <v>221</v>
      </c>
      <c r="Y3" s="5" t="s">
        <v>222</v>
      </c>
      <c r="Z3" s="5" t="s">
        <v>223</v>
      </c>
      <c r="AA3" s="5" t="s">
        <v>224</v>
      </c>
      <c r="AB3" s="5" t="s">
        <v>225</v>
      </c>
      <c r="AD3" s="5" t="s">
        <v>231</v>
      </c>
      <c r="AE3" s="5" t="s">
        <v>221</v>
      </c>
      <c r="AF3" s="5" t="s">
        <v>222</v>
      </c>
      <c r="AG3" s="5" t="s">
        <v>223</v>
      </c>
      <c r="AH3" s="5" t="s">
        <v>224</v>
      </c>
      <c r="AI3" s="5" t="s">
        <v>225</v>
      </c>
      <c r="AK3" s="5" t="s">
        <v>231</v>
      </c>
      <c r="AL3" s="5" t="s">
        <v>221</v>
      </c>
      <c r="AM3" s="5" t="s">
        <v>222</v>
      </c>
      <c r="AN3" s="5" t="s">
        <v>223</v>
      </c>
      <c r="AO3" s="5" t="s">
        <v>224</v>
      </c>
      <c r="AP3" s="5" t="s">
        <v>225</v>
      </c>
    </row>
    <row r="4" spans="1:42" s="8" customFormat="1" ht="15.75" customHeight="1" x14ac:dyDescent="0.15">
      <c r="A4" s="3" t="s">
        <v>4</v>
      </c>
      <c r="B4" s="8" t="s">
        <v>5</v>
      </c>
      <c r="C4" s="8" t="s">
        <v>3</v>
      </c>
      <c r="D4" s="8" t="s">
        <v>3</v>
      </c>
      <c r="E4" s="8" t="s">
        <v>220</v>
      </c>
      <c r="F4" s="8" t="s">
        <v>3</v>
      </c>
      <c r="G4" s="8" t="s">
        <v>233</v>
      </c>
      <c r="H4" s="8" t="s">
        <v>4</v>
      </c>
      <c r="I4" s="11" t="s">
        <v>4</v>
      </c>
      <c r="J4" s="11" t="s">
        <v>4</v>
      </c>
      <c r="K4" s="11" t="s">
        <v>4</v>
      </c>
      <c r="L4" s="11" t="s">
        <v>4</v>
      </c>
      <c r="M4" s="11" t="s">
        <v>4</v>
      </c>
      <c r="N4" s="11" t="s">
        <v>4</v>
      </c>
      <c r="O4" s="11" t="s">
        <v>4</v>
      </c>
      <c r="P4" s="11" t="s">
        <v>4</v>
      </c>
      <c r="Q4" s="11" t="s">
        <v>4</v>
      </c>
      <c r="R4" s="11" t="s">
        <v>4</v>
      </c>
      <c r="S4" s="11" t="s">
        <v>4</v>
      </c>
      <c r="T4" s="11" t="s">
        <v>4</v>
      </c>
      <c r="U4" s="11" t="s">
        <v>4</v>
      </c>
      <c r="V4" s="11" t="s">
        <v>4</v>
      </c>
      <c r="W4" s="11" t="s">
        <v>4</v>
      </c>
      <c r="X4" s="11" t="s">
        <v>4</v>
      </c>
      <c r="Y4" s="11" t="s">
        <v>4</v>
      </c>
      <c r="Z4" s="11" t="s">
        <v>4</v>
      </c>
      <c r="AA4" s="11" t="s">
        <v>4</v>
      </c>
      <c r="AB4" s="11" t="s">
        <v>4</v>
      </c>
      <c r="AC4" s="11" t="s">
        <v>4</v>
      </c>
      <c r="AD4" s="11" t="s">
        <v>4</v>
      </c>
      <c r="AE4" s="11" t="s">
        <v>4</v>
      </c>
      <c r="AF4" s="11" t="s">
        <v>4</v>
      </c>
      <c r="AG4" s="11" t="s">
        <v>4</v>
      </c>
      <c r="AH4" s="11" t="s">
        <v>4</v>
      </c>
      <c r="AI4" s="11" t="s">
        <v>4</v>
      </c>
      <c r="AJ4" s="8" t="s">
        <v>4</v>
      </c>
      <c r="AK4" s="11" t="s">
        <v>4</v>
      </c>
      <c r="AL4" s="11" t="s">
        <v>4</v>
      </c>
      <c r="AM4" s="11" t="s">
        <v>4</v>
      </c>
      <c r="AN4" s="11" t="s">
        <v>4</v>
      </c>
      <c r="AO4" s="11" t="s">
        <v>4</v>
      </c>
      <c r="AP4" s="11" t="s">
        <v>4</v>
      </c>
    </row>
    <row r="5" spans="1:42" s="16" customFormat="1" x14ac:dyDescent="0.15">
      <c r="B5" s="15">
        <v>1</v>
      </c>
      <c r="C5" s="15" t="s">
        <v>14</v>
      </c>
      <c r="D5" s="15" t="s">
        <v>15</v>
      </c>
      <c r="E5" s="15">
        <v>4</v>
      </c>
      <c r="F5" s="15" t="s">
        <v>16</v>
      </c>
      <c r="I5" s="16" t="str">
        <f>_xlfn.LET(_xlpm.pp,IF(J5="","",J5&amp;",")&amp;IF(K5="","",K5&amp;",")&amp;IF(L5="","",L5&amp;",")&amp;IF(M5="","",M5&amp;",")&amp;IF(N5="","",N5&amp;","), IF(LEN(_xlpm.pp)&gt;0,LEFT(_xlpm.pp,LEN(_xlpm.pp)-1),_xlpm.pp))</f>
        <v/>
      </c>
      <c r="J5" s="15"/>
      <c r="K5" s="15"/>
      <c r="M5" s="15"/>
      <c r="N5" s="15"/>
      <c r="O5" s="15"/>
      <c r="P5" s="16" t="str">
        <f>_xlfn.LET(_xlpm.pp,IF(Q5="","",Q5&amp;",")&amp;IF(R5="","",R5&amp;",")&amp;IF(S5="","",S5&amp;",")&amp;IF(T5="","",T5&amp;",")&amp;IF(U5="","",U5&amp;","), IF(LEN(_xlpm.pp)&gt;0,LEFT(_xlpm.pp,LEN(_xlpm.pp)-1),_xlpm.pp))</f>
        <v/>
      </c>
      <c r="Q5" s="15"/>
      <c r="R5" s="15"/>
      <c r="T5" s="15"/>
      <c r="U5" s="15"/>
      <c r="W5" s="16" t="str">
        <f>_xlfn.LET(_xlpm.pp,IF(X5="","",X5&amp;",")&amp;IF(Y5="","",Y5&amp;",")&amp;IF(Z5="","",Z5&amp;",")&amp;IF(AA5="","",AA5&amp;",")&amp;IF(AB5="","",AB5&amp;","), IF(LEN(_xlpm.pp)&gt;0,LEFT(_xlpm.pp,LEN(_xlpm.pp)-1),_xlpm.pp))</f>
        <v/>
      </c>
      <c r="X5" s="15"/>
      <c r="Y5" s="15"/>
      <c r="AA5" s="15"/>
      <c r="AB5" s="15"/>
      <c r="AD5" s="16" t="str">
        <f>_xlfn.LET(_xlpm.pp,IF(AE5="","",AE5&amp;",")&amp;IF(AF5="","",AF5&amp;",")&amp;IF(AG5="","",AG5&amp;",")&amp;IF(AH5="","",AH5&amp;",")&amp;IF(AI5="","",AI5&amp;","), IF(LEN(_xlpm.pp)&gt;0,LEFT(_xlpm.pp,LEN(_xlpm.pp)-1),_xlpm.pp))</f>
        <v/>
      </c>
      <c r="AE5" s="15"/>
      <c r="AF5" s="15"/>
      <c r="AH5" s="15"/>
      <c r="AI5" s="15"/>
      <c r="AK5" s="16" t="str">
        <f>_xlfn.LET(_xlpm.pp,IF(AL5="","",AL5&amp;",")&amp;IF(AM5="","",AM5&amp;",")&amp;IF(AN5="","",AN5&amp;",")&amp;IF(AO5="","",AO5&amp;",")&amp;IF(AP5="","",AP5&amp;","), IF(LEN(_xlpm.pp)&gt;0,LEFT(_xlpm.pp,LEN(_xlpm.pp)-1),_xlpm.pp))</f>
        <v/>
      </c>
      <c r="AL5" s="15"/>
      <c r="AM5" s="15"/>
      <c r="AO5" s="15"/>
      <c r="AP5" s="15"/>
    </row>
    <row r="6" spans="1:42" x14ac:dyDescent="0.15">
      <c r="A6" s="17"/>
      <c r="B6" s="14">
        <v>2</v>
      </c>
      <c r="C6" s="14" t="s">
        <v>17</v>
      </c>
      <c r="D6" s="14" t="s">
        <v>18</v>
      </c>
      <c r="E6" s="14">
        <v>3</v>
      </c>
      <c r="F6" s="14" t="s">
        <v>16</v>
      </c>
      <c r="I6" s="16" t="str">
        <f t="shared" ref="I6:I69" si="0">_xlfn.LET(_xlpm.pp,IF(J6="","",J6&amp;",")&amp;IF(K6="","",K6&amp;",")&amp;IF(L6="","",L6&amp;",")&amp;IF(M6="","",M6&amp;",")&amp;IF(N6="","",N6&amp;","), IF(LEN(_xlpm.pp)&gt;0,LEFT(_xlpm.pp,LEN(_xlpm.pp)-1),_xlpm.pp))</f>
        <v/>
      </c>
      <c r="J6" s="14"/>
      <c r="K6" s="14"/>
      <c r="M6" s="14"/>
      <c r="N6" s="14"/>
      <c r="O6" s="14"/>
      <c r="P6" s="16" t="str">
        <f t="shared" ref="P6:P69" si="1">_xlfn.LET(_xlpm.pp,IF(Q6="","",Q6&amp;",")&amp;IF(R6="","",R6&amp;",")&amp;IF(S6="","",S6&amp;",")&amp;IF(T6="","",T6&amp;",")&amp;IF(U6="","",U6&amp;","), IF(LEN(_xlpm.pp)&gt;0,LEFT(_xlpm.pp,LEN(_xlpm.pp)-1),_xlpm.pp))</f>
        <v/>
      </c>
      <c r="Q6" s="14"/>
      <c r="R6" s="14"/>
      <c r="T6" s="14"/>
      <c r="U6" s="14"/>
      <c r="W6" s="16" t="str">
        <f t="shared" ref="W6:W69" si="2">_xlfn.LET(_xlpm.pp,IF(X6="","",X6&amp;",")&amp;IF(Y6="","",Y6&amp;",")&amp;IF(Z6="","",Z6&amp;",")&amp;IF(AA6="","",AA6&amp;",")&amp;IF(AB6="","",AB6&amp;","), IF(LEN(_xlpm.pp)&gt;0,LEFT(_xlpm.pp,LEN(_xlpm.pp)-1),_xlpm.pp))</f>
        <v/>
      </c>
      <c r="X6" s="14"/>
      <c r="Y6" s="14"/>
      <c r="AA6" s="14"/>
      <c r="AB6" s="14"/>
      <c r="AD6" s="16" t="str">
        <f t="shared" ref="AD6:AD69" si="3">_xlfn.LET(_xlpm.pp,IF(AE6="","",AE6&amp;",")&amp;IF(AF6="","",AF6&amp;",")&amp;IF(AG6="","",AG6&amp;",")&amp;IF(AH6="","",AH6&amp;",")&amp;IF(AI6="","",AI6&amp;","), IF(LEN(_xlpm.pp)&gt;0,LEFT(_xlpm.pp,LEN(_xlpm.pp)-1),_xlpm.pp))</f>
        <v/>
      </c>
      <c r="AE6" s="14"/>
      <c r="AF6" s="14"/>
      <c r="AH6" s="14"/>
      <c r="AI6" s="14"/>
      <c r="AK6" s="16" t="str">
        <f t="shared" ref="AK6:AK69" si="4">_xlfn.LET(_xlpm.pp,IF(AL6="","",AL6&amp;",")&amp;IF(AM6="","",AM6&amp;",")&amp;IF(AN6="","",AN6&amp;",")&amp;IF(AO6="","",AO6&amp;",")&amp;IF(AP6="","",AP6&amp;","), IF(LEN(_xlpm.pp)&gt;0,LEFT(_xlpm.pp,LEN(_xlpm.pp)-1),_xlpm.pp))</f>
        <v/>
      </c>
      <c r="AL6" s="14"/>
      <c r="AM6" s="14"/>
      <c r="AO6" s="14"/>
      <c r="AP6" s="14"/>
    </row>
    <row r="7" spans="1:42" x14ac:dyDescent="0.15">
      <c r="B7" s="14">
        <v>3</v>
      </c>
      <c r="C7" s="14" t="s">
        <v>19</v>
      </c>
      <c r="D7" s="14" t="s">
        <v>20</v>
      </c>
      <c r="E7" s="14">
        <v>3</v>
      </c>
      <c r="F7" s="14" t="s">
        <v>16</v>
      </c>
      <c r="I7" s="16" t="str">
        <f t="shared" si="0"/>
        <v/>
      </c>
      <c r="J7" s="14"/>
      <c r="K7" s="14"/>
      <c r="M7" s="14"/>
      <c r="N7" s="14"/>
      <c r="O7" s="14"/>
      <c r="P7" s="16" t="str">
        <f t="shared" si="1"/>
        <v/>
      </c>
      <c r="Q7" s="14"/>
      <c r="R7" s="14"/>
      <c r="T7" s="14"/>
      <c r="U7" s="14"/>
      <c r="W7" s="16" t="str">
        <f t="shared" si="2"/>
        <v/>
      </c>
      <c r="X7" s="14"/>
      <c r="Y7" s="14"/>
      <c r="AA7" s="14"/>
      <c r="AB7" s="14"/>
      <c r="AD7" s="16" t="str">
        <f t="shared" si="3"/>
        <v/>
      </c>
      <c r="AE7" s="14"/>
      <c r="AF7" s="14"/>
      <c r="AH7" s="14"/>
      <c r="AI7" s="14"/>
      <c r="AK7" s="16" t="str">
        <f t="shared" si="4"/>
        <v/>
      </c>
      <c r="AL7" s="14"/>
      <c r="AM7" s="14"/>
      <c r="AO7" s="14"/>
      <c r="AP7" s="14"/>
    </row>
    <row r="8" spans="1:42" x14ac:dyDescent="0.15">
      <c r="B8" s="14">
        <v>4</v>
      </c>
      <c r="C8" s="14" t="s">
        <v>21</v>
      </c>
      <c r="D8" s="14" t="s">
        <v>22</v>
      </c>
      <c r="E8" s="14">
        <v>2</v>
      </c>
      <c r="F8" s="14" t="s">
        <v>16</v>
      </c>
      <c r="I8" s="16" t="str">
        <f t="shared" si="0"/>
        <v/>
      </c>
      <c r="J8" s="14"/>
      <c r="K8" s="14"/>
      <c r="M8" s="14"/>
      <c r="N8" s="14"/>
      <c r="O8" s="14"/>
      <c r="P8" s="16" t="str">
        <f t="shared" si="1"/>
        <v/>
      </c>
      <c r="Q8" s="14"/>
      <c r="R8" s="14"/>
      <c r="T8" s="14"/>
      <c r="U8" s="14"/>
      <c r="W8" s="16" t="str">
        <f t="shared" si="2"/>
        <v/>
      </c>
      <c r="X8" s="14"/>
      <c r="Y8" s="14"/>
      <c r="AA8" s="14"/>
      <c r="AB8" s="14"/>
      <c r="AD8" s="16" t="str">
        <f t="shared" si="3"/>
        <v/>
      </c>
      <c r="AE8" s="14"/>
      <c r="AF8" s="14"/>
      <c r="AH8" s="14"/>
      <c r="AI8" s="14"/>
      <c r="AK8" s="16" t="str">
        <f t="shared" si="4"/>
        <v/>
      </c>
      <c r="AL8" s="14"/>
      <c r="AM8" s="14"/>
      <c r="AO8" s="14"/>
      <c r="AP8" s="14"/>
    </row>
    <row r="9" spans="1:42" x14ac:dyDescent="0.15">
      <c r="B9" s="14">
        <v>5</v>
      </c>
      <c r="C9" s="14" t="s">
        <v>23</v>
      </c>
      <c r="D9" s="14" t="s">
        <v>24</v>
      </c>
      <c r="E9" s="14">
        <v>2</v>
      </c>
      <c r="F9" s="14" t="s">
        <v>16</v>
      </c>
      <c r="I9" s="16" t="str">
        <f t="shared" si="0"/>
        <v/>
      </c>
      <c r="J9" s="14"/>
      <c r="K9" s="14"/>
      <c r="M9" s="14"/>
      <c r="N9" s="14"/>
      <c r="O9" s="14"/>
      <c r="P9" s="16" t="str">
        <f t="shared" si="1"/>
        <v/>
      </c>
      <c r="Q9" s="14"/>
      <c r="R9" s="14"/>
      <c r="T9" s="14"/>
      <c r="U9" s="14"/>
      <c r="W9" s="16" t="str">
        <f t="shared" si="2"/>
        <v/>
      </c>
      <c r="X9" s="14"/>
      <c r="Y9" s="14"/>
      <c r="AA9" s="14"/>
      <c r="AB9" s="14"/>
      <c r="AD9" s="16" t="str">
        <f t="shared" si="3"/>
        <v/>
      </c>
      <c r="AE9" s="14"/>
      <c r="AF9" s="14"/>
      <c r="AH9" s="14"/>
      <c r="AI9" s="14"/>
      <c r="AK9" s="16" t="str">
        <f t="shared" si="4"/>
        <v/>
      </c>
      <c r="AL9" s="14"/>
      <c r="AM9" s="14"/>
      <c r="AO9" s="14"/>
      <c r="AP9" s="14"/>
    </row>
    <row r="10" spans="1:42" x14ac:dyDescent="0.15">
      <c r="B10" s="14">
        <v>6</v>
      </c>
      <c r="C10" s="14" t="s">
        <v>25</v>
      </c>
      <c r="D10" s="14" t="s">
        <v>26</v>
      </c>
      <c r="E10" s="14">
        <v>2</v>
      </c>
      <c r="F10" s="14" t="s">
        <v>16</v>
      </c>
      <c r="I10" s="16" t="str">
        <f t="shared" si="0"/>
        <v/>
      </c>
      <c r="J10" s="14"/>
      <c r="K10" s="14"/>
      <c r="M10" s="14"/>
      <c r="N10" s="14"/>
      <c r="O10" s="14"/>
      <c r="P10" s="16" t="str">
        <f t="shared" si="1"/>
        <v/>
      </c>
      <c r="Q10" s="14"/>
      <c r="R10" s="14"/>
      <c r="T10" s="14"/>
      <c r="U10" s="14"/>
      <c r="W10" s="16" t="str">
        <f t="shared" si="2"/>
        <v/>
      </c>
      <c r="X10" s="14"/>
      <c r="Y10" s="14"/>
      <c r="AA10" s="14"/>
      <c r="AB10" s="14"/>
      <c r="AD10" s="16" t="str">
        <f t="shared" si="3"/>
        <v/>
      </c>
      <c r="AE10" s="14"/>
      <c r="AF10" s="14"/>
      <c r="AH10" s="14"/>
      <c r="AI10" s="14"/>
      <c r="AK10" s="16" t="str">
        <f t="shared" si="4"/>
        <v/>
      </c>
      <c r="AL10" s="14"/>
      <c r="AM10" s="14"/>
      <c r="AO10" s="14"/>
      <c r="AP10" s="14"/>
    </row>
    <row r="11" spans="1:42" x14ac:dyDescent="0.15">
      <c r="B11" s="14">
        <v>7</v>
      </c>
      <c r="C11" s="14" t="s">
        <v>27</v>
      </c>
      <c r="D11" s="14" t="s">
        <v>28</v>
      </c>
      <c r="E11" s="14">
        <v>2</v>
      </c>
      <c r="F11" s="14" t="s">
        <v>16</v>
      </c>
      <c r="I11" s="16" t="str">
        <f t="shared" si="0"/>
        <v/>
      </c>
      <c r="J11" s="14"/>
      <c r="K11" s="14"/>
      <c r="M11" s="14"/>
      <c r="N11" s="14"/>
      <c r="O11" s="14"/>
      <c r="P11" s="16" t="str">
        <f t="shared" si="1"/>
        <v/>
      </c>
      <c r="Q11" s="14"/>
      <c r="R11" s="14"/>
      <c r="T11" s="14"/>
      <c r="U11" s="14"/>
      <c r="W11" s="16" t="str">
        <f t="shared" si="2"/>
        <v/>
      </c>
      <c r="X11" s="14"/>
      <c r="Y11" s="14"/>
      <c r="AA11" s="14"/>
      <c r="AB11" s="14"/>
      <c r="AD11" s="16" t="str">
        <f t="shared" si="3"/>
        <v/>
      </c>
      <c r="AE11" s="14"/>
      <c r="AF11" s="14"/>
      <c r="AH11" s="14"/>
      <c r="AI11" s="14"/>
      <c r="AK11" s="16" t="str">
        <f t="shared" si="4"/>
        <v/>
      </c>
      <c r="AL11" s="14"/>
      <c r="AM11" s="14"/>
      <c r="AO11" s="14"/>
      <c r="AP11" s="14"/>
    </row>
    <row r="12" spans="1:42" x14ac:dyDescent="0.15">
      <c r="B12" s="14">
        <v>8</v>
      </c>
      <c r="C12" s="14" t="s">
        <v>29</v>
      </c>
      <c r="D12" s="14" t="s">
        <v>30</v>
      </c>
      <c r="E12" s="14">
        <v>2</v>
      </c>
      <c r="F12" s="14" t="s">
        <v>16</v>
      </c>
      <c r="I12" s="16" t="str">
        <f t="shared" si="0"/>
        <v/>
      </c>
      <c r="J12" s="14"/>
      <c r="K12" s="14"/>
      <c r="M12" s="14"/>
      <c r="N12" s="14"/>
      <c r="O12" s="14"/>
      <c r="P12" s="16" t="str">
        <f t="shared" si="1"/>
        <v/>
      </c>
      <c r="Q12" s="14"/>
      <c r="R12" s="14"/>
      <c r="T12" s="14"/>
      <c r="U12" s="14"/>
      <c r="W12" s="16" t="str">
        <f t="shared" si="2"/>
        <v/>
      </c>
      <c r="X12" s="14"/>
      <c r="Y12" s="14"/>
      <c r="AA12" s="14"/>
      <c r="AB12" s="14"/>
      <c r="AD12" s="16" t="str">
        <f t="shared" si="3"/>
        <v/>
      </c>
      <c r="AE12" s="14"/>
      <c r="AF12" s="14"/>
      <c r="AH12" s="14"/>
      <c r="AI12" s="14"/>
      <c r="AK12" s="16" t="str">
        <f t="shared" si="4"/>
        <v/>
      </c>
      <c r="AL12" s="14"/>
      <c r="AM12" s="14"/>
      <c r="AO12" s="14"/>
      <c r="AP12" s="14"/>
    </row>
    <row r="13" spans="1:42" x14ac:dyDescent="0.15">
      <c r="B13" s="14">
        <v>9</v>
      </c>
      <c r="C13" s="14" t="s">
        <v>31</v>
      </c>
      <c r="D13" s="14" t="s">
        <v>32</v>
      </c>
      <c r="E13" s="14">
        <v>2</v>
      </c>
      <c r="F13" s="14" t="s">
        <v>16</v>
      </c>
      <c r="I13" s="16" t="str">
        <f t="shared" si="0"/>
        <v/>
      </c>
      <c r="J13" s="14"/>
      <c r="K13" s="14"/>
      <c r="M13" s="14"/>
      <c r="N13" s="14"/>
      <c r="O13" s="14"/>
      <c r="P13" s="16" t="str">
        <f t="shared" si="1"/>
        <v/>
      </c>
      <c r="Q13" s="14"/>
      <c r="R13" s="14"/>
      <c r="T13" s="14"/>
      <c r="U13" s="14"/>
      <c r="W13" s="16" t="str">
        <f t="shared" si="2"/>
        <v/>
      </c>
      <c r="X13" s="14"/>
      <c r="Y13" s="14"/>
      <c r="AA13" s="14"/>
      <c r="AB13" s="14"/>
      <c r="AD13" s="16" t="str">
        <f t="shared" si="3"/>
        <v/>
      </c>
      <c r="AE13" s="14"/>
      <c r="AF13" s="14"/>
      <c r="AH13" s="14"/>
      <c r="AI13" s="14"/>
      <c r="AK13" s="16" t="str">
        <f t="shared" si="4"/>
        <v/>
      </c>
      <c r="AL13" s="14"/>
      <c r="AM13" s="14"/>
      <c r="AO13" s="14"/>
      <c r="AP13" s="14"/>
    </row>
    <row r="14" spans="1:42" x14ac:dyDescent="0.15">
      <c r="B14" s="14">
        <v>10</v>
      </c>
      <c r="C14" s="14" t="s">
        <v>33</v>
      </c>
      <c r="D14" s="14" t="s">
        <v>34</v>
      </c>
      <c r="E14" s="14">
        <v>2</v>
      </c>
      <c r="F14" s="14" t="s">
        <v>35</v>
      </c>
      <c r="I14" s="16" t="str">
        <f t="shared" si="0"/>
        <v/>
      </c>
      <c r="J14" s="14"/>
      <c r="K14" s="14"/>
      <c r="M14" s="14"/>
      <c r="N14" s="14"/>
      <c r="O14" s="14"/>
      <c r="P14" s="16" t="str">
        <f t="shared" si="1"/>
        <v/>
      </c>
      <c r="Q14" s="14"/>
      <c r="R14" s="14"/>
      <c r="T14" s="14"/>
      <c r="U14" s="14"/>
      <c r="W14" s="16" t="str">
        <f t="shared" si="2"/>
        <v/>
      </c>
      <c r="X14" s="14"/>
      <c r="Y14" s="14"/>
      <c r="AA14" s="14"/>
      <c r="AB14" s="14"/>
      <c r="AD14" s="16" t="str">
        <f t="shared" si="3"/>
        <v/>
      </c>
      <c r="AE14" s="14"/>
      <c r="AF14" s="14"/>
      <c r="AH14" s="14"/>
      <c r="AI14" s="14"/>
      <c r="AK14" s="16" t="str">
        <f t="shared" si="4"/>
        <v/>
      </c>
      <c r="AL14" s="14"/>
      <c r="AM14" s="14"/>
      <c r="AO14" s="14"/>
      <c r="AP14" s="14"/>
    </row>
    <row r="15" spans="1:42" x14ac:dyDescent="0.15">
      <c r="B15" s="14">
        <v>11</v>
      </c>
      <c r="C15" s="14" t="s">
        <v>36</v>
      </c>
      <c r="D15" s="14" t="s">
        <v>37</v>
      </c>
      <c r="E15" s="14">
        <v>3</v>
      </c>
      <c r="F15" s="14" t="s">
        <v>35</v>
      </c>
      <c r="I15" s="16" t="str">
        <f t="shared" si="0"/>
        <v/>
      </c>
      <c r="J15" s="14"/>
      <c r="K15" s="14"/>
      <c r="M15" s="14"/>
      <c r="N15" s="14"/>
      <c r="O15" s="14"/>
      <c r="P15" s="16" t="str">
        <f t="shared" si="1"/>
        <v/>
      </c>
      <c r="Q15" s="14"/>
      <c r="R15" s="14"/>
      <c r="T15" s="14"/>
      <c r="U15" s="14"/>
      <c r="W15" s="16" t="str">
        <f t="shared" si="2"/>
        <v/>
      </c>
      <c r="X15" s="14"/>
      <c r="Y15" s="14"/>
      <c r="AA15" s="14"/>
      <c r="AB15" s="14"/>
      <c r="AD15" s="16" t="str">
        <f t="shared" si="3"/>
        <v/>
      </c>
      <c r="AE15" s="14"/>
      <c r="AF15" s="14"/>
      <c r="AH15" s="14"/>
      <c r="AI15" s="14"/>
      <c r="AK15" s="16" t="str">
        <f t="shared" si="4"/>
        <v/>
      </c>
      <c r="AL15" s="14"/>
      <c r="AM15" s="14"/>
      <c r="AO15" s="14"/>
      <c r="AP15" s="14"/>
    </row>
    <row r="16" spans="1:42" x14ac:dyDescent="0.15">
      <c r="B16" s="14">
        <v>12</v>
      </c>
      <c r="C16" s="14" t="s">
        <v>38</v>
      </c>
      <c r="D16" s="14" t="s">
        <v>39</v>
      </c>
      <c r="E16" s="14">
        <v>2</v>
      </c>
      <c r="F16" s="14" t="s">
        <v>35</v>
      </c>
      <c r="I16" s="16" t="str">
        <f t="shared" si="0"/>
        <v/>
      </c>
      <c r="J16" s="14"/>
      <c r="K16" s="14"/>
      <c r="M16" s="14"/>
      <c r="N16" s="14"/>
      <c r="O16" s="14"/>
      <c r="P16" s="16" t="str">
        <f t="shared" si="1"/>
        <v/>
      </c>
      <c r="Q16" s="14"/>
      <c r="R16" s="14"/>
      <c r="T16" s="14"/>
      <c r="U16" s="14"/>
      <c r="W16" s="16" t="str">
        <f t="shared" si="2"/>
        <v/>
      </c>
      <c r="X16" s="14"/>
      <c r="Y16" s="14"/>
      <c r="AA16" s="14"/>
      <c r="AB16" s="14"/>
      <c r="AD16" s="16" t="str">
        <f t="shared" si="3"/>
        <v/>
      </c>
      <c r="AE16" s="14"/>
      <c r="AF16" s="14"/>
      <c r="AH16" s="14"/>
      <c r="AI16" s="14"/>
      <c r="AK16" s="16" t="str">
        <f t="shared" si="4"/>
        <v/>
      </c>
      <c r="AL16" s="14"/>
      <c r="AM16" s="14"/>
      <c r="AO16" s="14"/>
      <c r="AP16" s="14"/>
    </row>
    <row r="17" spans="2:42" x14ac:dyDescent="0.15">
      <c r="B17" s="14">
        <v>13</v>
      </c>
      <c r="C17" s="14" t="s">
        <v>40</v>
      </c>
      <c r="D17" s="14" t="s">
        <v>41</v>
      </c>
      <c r="E17" s="14">
        <v>2</v>
      </c>
      <c r="F17" s="14" t="s">
        <v>35</v>
      </c>
      <c r="I17" s="16" t="str">
        <f t="shared" si="0"/>
        <v/>
      </c>
      <c r="J17" s="14"/>
      <c r="K17" s="14"/>
      <c r="M17" s="14"/>
      <c r="N17" s="14"/>
      <c r="O17" s="14"/>
      <c r="P17" s="16" t="str">
        <f t="shared" si="1"/>
        <v/>
      </c>
      <c r="Q17" s="14"/>
      <c r="R17" s="14"/>
      <c r="T17" s="14"/>
      <c r="U17" s="14"/>
      <c r="W17" s="16" t="str">
        <f t="shared" si="2"/>
        <v/>
      </c>
      <c r="X17" s="14"/>
      <c r="Y17" s="14"/>
      <c r="AA17" s="14"/>
      <c r="AB17" s="14"/>
      <c r="AD17" s="16" t="str">
        <f t="shared" si="3"/>
        <v/>
      </c>
      <c r="AE17" s="14"/>
      <c r="AF17" s="14"/>
      <c r="AH17" s="14"/>
      <c r="AI17" s="14"/>
      <c r="AK17" s="16" t="str">
        <f t="shared" si="4"/>
        <v/>
      </c>
      <c r="AL17" s="14"/>
      <c r="AM17" s="14"/>
      <c r="AO17" s="14"/>
      <c r="AP17" s="14"/>
    </row>
    <row r="18" spans="2:42" x14ac:dyDescent="0.15">
      <c r="B18" s="14">
        <v>14</v>
      </c>
      <c r="C18" s="14" t="s">
        <v>42</v>
      </c>
      <c r="D18" s="14" t="s">
        <v>43</v>
      </c>
      <c r="E18" s="14">
        <v>2</v>
      </c>
      <c r="F18" s="14" t="s">
        <v>35</v>
      </c>
      <c r="I18" s="16" t="str">
        <f t="shared" si="0"/>
        <v/>
      </c>
      <c r="J18" s="14"/>
      <c r="K18" s="14"/>
      <c r="M18" s="14"/>
      <c r="N18" s="14"/>
      <c r="O18" s="14"/>
      <c r="P18" s="16" t="str">
        <f t="shared" si="1"/>
        <v/>
      </c>
      <c r="Q18" s="14"/>
      <c r="R18" s="14"/>
      <c r="T18" s="14"/>
      <c r="U18" s="14"/>
      <c r="W18" s="16" t="str">
        <f t="shared" si="2"/>
        <v/>
      </c>
      <c r="X18" s="14"/>
      <c r="Y18" s="14"/>
      <c r="AA18" s="14"/>
      <c r="AB18" s="14"/>
      <c r="AD18" s="16" t="str">
        <f t="shared" si="3"/>
        <v/>
      </c>
      <c r="AE18" s="14"/>
      <c r="AF18" s="14"/>
      <c r="AH18" s="14"/>
      <c r="AI18" s="14"/>
      <c r="AK18" s="16" t="str">
        <f t="shared" si="4"/>
        <v/>
      </c>
      <c r="AL18" s="14"/>
      <c r="AM18" s="14"/>
      <c r="AO18" s="14"/>
      <c r="AP18" s="14"/>
    </row>
    <row r="19" spans="2:42" x14ac:dyDescent="0.15">
      <c r="B19" s="14">
        <v>15</v>
      </c>
      <c r="C19" s="14" t="s">
        <v>44</v>
      </c>
      <c r="D19" s="14" t="s">
        <v>45</v>
      </c>
      <c r="E19" s="14">
        <v>2</v>
      </c>
      <c r="F19" s="14" t="s">
        <v>35</v>
      </c>
      <c r="I19" s="16" t="str">
        <f t="shared" si="0"/>
        <v/>
      </c>
      <c r="J19" s="14"/>
      <c r="K19" s="14"/>
      <c r="M19" s="14"/>
      <c r="N19" s="14"/>
      <c r="O19" s="14"/>
      <c r="P19" s="16" t="str">
        <f t="shared" si="1"/>
        <v/>
      </c>
      <c r="Q19" s="14"/>
      <c r="R19" s="14"/>
      <c r="T19" s="14"/>
      <c r="U19" s="14"/>
      <c r="W19" s="16" t="str">
        <f t="shared" si="2"/>
        <v/>
      </c>
      <c r="X19" s="14"/>
      <c r="Y19" s="14"/>
      <c r="AA19" s="14"/>
      <c r="AB19" s="14"/>
      <c r="AD19" s="16" t="str">
        <f t="shared" si="3"/>
        <v/>
      </c>
      <c r="AE19" s="14"/>
      <c r="AF19" s="14"/>
      <c r="AH19" s="14"/>
      <c r="AI19" s="14"/>
      <c r="AK19" s="16" t="str">
        <f t="shared" si="4"/>
        <v/>
      </c>
      <c r="AL19" s="14"/>
      <c r="AM19" s="14"/>
      <c r="AO19" s="14"/>
      <c r="AP19" s="14"/>
    </row>
    <row r="20" spans="2:42" x14ac:dyDescent="0.15">
      <c r="B20" s="14">
        <v>16</v>
      </c>
      <c r="C20" s="14" t="s">
        <v>46</v>
      </c>
      <c r="D20" s="14" t="s">
        <v>47</v>
      </c>
      <c r="E20" s="14">
        <v>2</v>
      </c>
      <c r="F20" s="14" t="s">
        <v>35</v>
      </c>
      <c r="I20" s="16" t="str">
        <f t="shared" si="0"/>
        <v/>
      </c>
      <c r="J20" s="14"/>
      <c r="K20" s="14"/>
      <c r="M20" s="14"/>
      <c r="N20" s="14"/>
      <c r="O20" s="14"/>
      <c r="P20" s="16" t="str">
        <f t="shared" si="1"/>
        <v/>
      </c>
      <c r="Q20" s="14"/>
      <c r="R20" s="14"/>
      <c r="T20" s="14"/>
      <c r="U20" s="14"/>
      <c r="W20" s="16" t="str">
        <f t="shared" si="2"/>
        <v/>
      </c>
      <c r="X20" s="14"/>
      <c r="Y20" s="14"/>
      <c r="AA20" s="14"/>
      <c r="AB20" s="14"/>
      <c r="AD20" s="16" t="str">
        <f t="shared" si="3"/>
        <v/>
      </c>
      <c r="AE20" s="14"/>
      <c r="AF20" s="14"/>
      <c r="AH20" s="14"/>
      <c r="AI20" s="14"/>
      <c r="AK20" s="16" t="str">
        <f t="shared" si="4"/>
        <v/>
      </c>
      <c r="AL20" s="14"/>
      <c r="AM20" s="14"/>
      <c r="AO20" s="14"/>
      <c r="AP20" s="14"/>
    </row>
    <row r="21" spans="2:42" x14ac:dyDescent="0.15">
      <c r="B21" s="14">
        <v>17</v>
      </c>
      <c r="C21" s="14" t="s">
        <v>48</v>
      </c>
      <c r="D21" s="14" t="s">
        <v>49</v>
      </c>
      <c r="E21" s="14">
        <v>2</v>
      </c>
      <c r="F21" s="14" t="s">
        <v>50</v>
      </c>
      <c r="I21" s="16" t="str">
        <f t="shared" si="0"/>
        <v/>
      </c>
      <c r="J21" s="14"/>
      <c r="K21" s="14"/>
      <c r="M21" s="14"/>
      <c r="N21" s="14"/>
      <c r="O21" s="14"/>
      <c r="P21" s="16" t="str">
        <f t="shared" si="1"/>
        <v/>
      </c>
      <c r="Q21" s="14"/>
      <c r="R21" s="14"/>
      <c r="T21" s="14"/>
      <c r="U21" s="14"/>
      <c r="W21" s="16" t="str">
        <f t="shared" si="2"/>
        <v/>
      </c>
      <c r="X21" s="14"/>
      <c r="Y21" s="14"/>
      <c r="AA21" s="14"/>
      <c r="AB21" s="14"/>
      <c r="AD21" s="16" t="str">
        <f t="shared" si="3"/>
        <v/>
      </c>
      <c r="AE21" s="14"/>
      <c r="AF21" s="14"/>
      <c r="AH21" s="14"/>
      <c r="AI21" s="14"/>
      <c r="AK21" s="16" t="str">
        <f t="shared" si="4"/>
        <v/>
      </c>
      <c r="AL21" s="14"/>
      <c r="AM21" s="14"/>
      <c r="AO21" s="14"/>
      <c r="AP21" s="14"/>
    </row>
    <row r="22" spans="2:42" x14ac:dyDescent="0.15">
      <c r="B22" s="14">
        <v>18</v>
      </c>
      <c r="C22" s="14" t="s">
        <v>51</v>
      </c>
      <c r="D22" s="14" t="s">
        <v>52</v>
      </c>
      <c r="E22" s="14">
        <v>3</v>
      </c>
      <c r="F22" s="14" t="s">
        <v>35</v>
      </c>
      <c r="I22" s="16" t="str">
        <f t="shared" si="0"/>
        <v/>
      </c>
      <c r="J22" s="14"/>
      <c r="K22" s="14"/>
      <c r="M22" s="14"/>
      <c r="N22" s="14"/>
      <c r="O22" s="14"/>
      <c r="P22" s="16" t="str">
        <f t="shared" si="1"/>
        <v/>
      </c>
      <c r="Q22" s="14"/>
      <c r="R22" s="14"/>
      <c r="T22" s="14"/>
      <c r="U22" s="14"/>
      <c r="W22" s="16" t="str">
        <f t="shared" si="2"/>
        <v/>
      </c>
      <c r="X22" s="14"/>
      <c r="Y22" s="14"/>
      <c r="AA22" s="14"/>
      <c r="AB22" s="14"/>
      <c r="AD22" s="16" t="str">
        <f t="shared" si="3"/>
        <v/>
      </c>
      <c r="AE22" s="14"/>
      <c r="AF22" s="14"/>
      <c r="AH22" s="14"/>
      <c r="AI22" s="14"/>
      <c r="AK22" s="16" t="str">
        <f t="shared" si="4"/>
        <v/>
      </c>
      <c r="AL22" s="14"/>
      <c r="AM22" s="14"/>
      <c r="AO22" s="14"/>
      <c r="AP22" s="14"/>
    </row>
    <row r="23" spans="2:42" x14ac:dyDescent="0.15">
      <c r="B23" s="14">
        <v>19</v>
      </c>
      <c r="C23" s="14" t="s">
        <v>53</v>
      </c>
      <c r="D23" s="14" t="s">
        <v>54</v>
      </c>
      <c r="E23" s="14">
        <v>2</v>
      </c>
      <c r="F23" s="14" t="s">
        <v>35</v>
      </c>
      <c r="I23" s="16" t="str">
        <f t="shared" si="0"/>
        <v/>
      </c>
      <c r="J23" s="14"/>
      <c r="K23" s="14"/>
      <c r="M23" s="14"/>
      <c r="N23" s="14"/>
      <c r="O23" s="14"/>
      <c r="P23" s="16" t="str">
        <f t="shared" si="1"/>
        <v/>
      </c>
      <c r="Q23" s="14"/>
      <c r="R23" s="14"/>
      <c r="T23" s="14"/>
      <c r="U23" s="14"/>
      <c r="W23" s="16" t="str">
        <f t="shared" si="2"/>
        <v/>
      </c>
      <c r="X23" s="14"/>
      <c r="Y23" s="14"/>
      <c r="AA23" s="14"/>
      <c r="AB23" s="14"/>
      <c r="AD23" s="16" t="str">
        <f t="shared" si="3"/>
        <v/>
      </c>
      <c r="AE23" s="14"/>
      <c r="AF23" s="14"/>
      <c r="AH23" s="14"/>
      <c r="AI23" s="14"/>
      <c r="AK23" s="16" t="str">
        <f t="shared" si="4"/>
        <v/>
      </c>
      <c r="AL23" s="14"/>
      <c r="AM23" s="14"/>
      <c r="AO23" s="14"/>
      <c r="AP23" s="14"/>
    </row>
    <row r="24" spans="2:42" x14ac:dyDescent="0.15">
      <c r="B24" s="14">
        <v>20</v>
      </c>
      <c r="C24" s="14" t="s">
        <v>55</v>
      </c>
      <c r="D24" s="14" t="s">
        <v>56</v>
      </c>
      <c r="E24" s="14">
        <v>2</v>
      </c>
      <c r="F24" s="14" t="s">
        <v>35</v>
      </c>
      <c r="I24" s="16" t="str">
        <f t="shared" si="0"/>
        <v/>
      </c>
      <c r="J24" s="14"/>
      <c r="K24" s="14"/>
      <c r="M24" s="14"/>
      <c r="N24" s="14"/>
      <c r="O24" s="14"/>
      <c r="P24" s="16" t="str">
        <f t="shared" si="1"/>
        <v/>
      </c>
      <c r="Q24" s="14"/>
      <c r="R24" s="14"/>
      <c r="T24" s="14"/>
      <c r="U24" s="14"/>
      <c r="W24" s="16" t="str">
        <f t="shared" si="2"/>
        <v/>
      </c>
      <c r="X24" s="14"/>
      <c r="Y24" s="14"/>
      <c r="AA24" s="14"/>
      <c r="AB24" s="14"/>
      <c r="AD24" s="16" t="str">
        <f t="shared" si="3"/>
        <v/>
      </c>
      <c r="AE24" s="14"/>
      <c r="AF24" s="14"/>
      <c r="AH24" s="14"/>
      <c r="AI24" s="14"/>
      <c r="AK24" s="16" t="str">
        <f t="shared" si="4"/>
        <v/>
      </c>
      <c r="AL24" s="14"/>
      <c r="AM24" s="14"/>
      <c r="AO24" s="14"/>
      <c r="AP24" s="14"/>
    </row>
    <row r="25" spans="2:42" x14ac:dyDescent="0.15">
      <c r="B25" s="14">
        <v>21</v>
      </c>
      <c r="C25" s="14" t="s">
        <v>57</v>
      </c>
      <c r="D25" s="14" t="s">
        <v>58</v>
      </c>
      <c r="E25" s="14">
        <v>2</v>
      </c>
      <c r="F25" s="14" t="s">
        <v>35</v>
      </c>
      <c r="I25" s="16" t="str">
        <f t="shared" si="0"/>
        <v/>
      </c>
      <c r="J25" s="14"/>
      <c r="K25" s="14"/>
      <c r="M25" s="14"/>
      <c r="N25" s="14"/>
      <c r="O25" s="14"/>
      <c r="P25" s="16" t="str">
        <f t="shared" si="1"/>
        <v/>
      </c>
      <c r="Q25" s="14"/>
      <c r="R25" s="14"/>
      <c r="T25" s="14"/>
      <c r="U25" s="14"/>
      <c r="W25" s="16" t="str">
        <f t="shared" si="2"/>
        <v/>
      </c>
      <c r="X25" s="14"/>
      <c r="Y25" s="14"/>
      <c r="AA25" s="14"/>
      <c r="AB25" s="14"/>
      <c r="AD25" s="16" t="str">
        <f t="shared" si="3"/>
        <v/>
      </c>
      <c r="AE25" s="14"/>
      <c r="AF25" s="14"/>
      <c r="AH25" s="14"/>
      <c r="AI25" s="14"/>
      <c r="AK25" s="16" t="str">
        <f t="shared" si="4"/>
        <v/>
      </c>
      <c r="AL25" s="14"/>
      <c r="AM25" s="14"/>
      <c r="AO25" s="14"/>
      <c r="AP25" s="14"/>
    </row>
    <row r="26" spans="2:42" x14ac:dyDescent="0.15">
      <c r="B26" s="14">
        <v>22</v>
      </c>
      <c r="C26" s="14" t="s">
        <v>59</v>
      </c>
      <c r="D26" s="14" t="s">
        <v>60</v>
      </c>
      <c r="E26" s="14">
        <v>2</v>
      </c>
      <c r="F26" s="14" t="s">
        <v>35</v>
      </c>
      <c r="I26" s="16" t="str">
        <f t="shared" si="0"/>
        <v/>
      </c>
      <c r="J26" s="14"/>
      <c r="K26" s="14"/>
      <c r="M26" s="14"/>
      <c r="N26" s="14"/>
      <c r="O26" s="14"/>
      <c r="P26" s="16" t="str">
        <f t="shared" si="1"/>
        <v/>
      </c>
      <c r="Q26" s="14"/>
      <c r="R26" s="14"/>
      <c r="T26" s="14"/>
      <c r="U26" s="14"/>
      <c r="W26" s="16" t="str">
        <f t="shared" si="2"/>
        <v/>
      </c>
      <c r="X26" s="14"/>
      <c r="Y26" s="14"/>
      <c r="AA26" s="14"/>
      <c r="AB26" s="14"/>
      <c r="AD26" s="16" t="str">
        <f t="shared" si="3"/>
        <v/>
      </c>
      <c r="AE26" s="14"/>
      <c r="AF26" s="14"/>
      <c r="AH26" s="14"/>
      <c r="AI26" s="14"/>
      <c r="AK26" s="16" t="str">
        <f t="shared" si="4"/>
        <v/>
      </c>
      <c r="AL26" s="14"/>
      <c r="AM26" s="14"/>
      <c r="AO26" s="14"/>
      <c r="AP26" s="14"/>
    </row>
    <row r="27" spans="2:42" x14ac:dyDescent="0.15">
      <c r="B27" s="14">
        <v>23</v>
      </c>
      <c r="C27" s="14" t="s">
        <v>61</v>
      </c>
      <c r="D27" s="14" t="s">
        <v>62</v>
      </c>
      <c r="E27" s="14">
        <v>2</v>
      </c>
      <c r="F27" s="14" t="s">
        <v>35</v>
      </c>
      <c r="I27" s="16" t="str">
        <f t="shared" si="0"/>
        <v/>
      </c>
      <c r="J27" s="14"/>
      <c r="K27" s="14"/>
      <c r="M27" s="14"/>
      <c r="N27" s="14"/>
      <c r="O27" s="14"/>
      <c r="P27" s="16" t="str">
        <f t="shared" si="1"/>
        <v/>
      </c>
      <c r="Q27" s="14"/>
      <c r="R27" s="14"/>
      <c r="T27" s="14"/>
      <c r="U27" s="14"/>
      <c r="W27" s="16" t="str">
        <f t="shared" si="2"/>
        <v/>
      </c>
      <c r="X27" s="14"/>
      <c r="Y27" s="14"/>
      <c r="AA27" s="14"/>
      <c r="AB27" s="14"/>
      <c r="AD27" s="16" t="str">
        <f t="shared" si="3"/>
        <v/>
      </c>
      <c r="AE27" s="14"/>
      <c r="AF27" s="14"/>
      <c r="AH27" s="14"/>
      <c r="AI27" s="14"/>
      <c r="AK27" s="16" t="str">
        <f t="shared" si="4"/>
        <v/>
      </c>
      <c r="AL27" s="14"/>
      <c r="AM27" s="14"/>
      <c r="AO27" s="14"/>
      <c r="AP27" s="14"/>
    </row>
    <row r="28" spans="2:42" x14ac:dyDescent="0.15">
      <c r="B28" s="14">
        <v>24</v>
      </c>
      <c r="C28" s="14" t="s">
        <v>63</v>
      </c>
      <c r="D28" s="14" t="s">
        <v>64</v>
      </c>
      <c r="E28" s="14">
        <v>3</v>
      </c>
      <c r="F28" s="14" t="s">
        <v>35</v>
      </c>
      <c r="I28" s="16" t="str">
        <f t="shared" si="0"/>
        <v/>
      </c>
      <c r="J28" s="14"/>
      <c r="K28" s="14"/>
      <c r="M28" s="14"/>
      <c r="N28" s="14"/>
      <c r="O28" s="14"/>
      <c r="P28" s="16" t="str">
        <f t="shared" si="1"/>
        <v/>
      </c>
      <c r="Q28" s="14"/>
      <c r="R28" s="14"/>
      <c r="T28" s="14"/>
      <c r="U28" s="14"/>
      <c r="W28" s="16" t="str">
        <f t="shared" si="2"/>
        <v/>
      </c>
      <c r="X28" s="14"/>
      <c r="Y28" s="14"/>
      <c r="AA28" s="14"/>
      <c r="AB28" s="14"/>
      <c r="AD28" s="16" t="str">
        <f t="shared" si="3"/>
        <v/>
      </c>
      <c r="AE28" s="14"/>
      <c r="AF28" s="14"/>
      <c r="AH28" s="14"/>
      <c r="AI28" s="14"/>
      <c r="AK28" s="16" t="str">
        <f t="shared" si="4"/>
        <v/>
      </c>
      <c r="AL28" s="14"/>
      <c r="AM28" s="14"/>
      <c r="AO28" s="14"/>
      <c r="AP28" s="14"/>
    </row>
    <row r="29" spans="2:42" x14ac:dyDescent="0.15">
      <c r="B29" s="14">
        <v>25</v>
      </c>
      <c r="C29" s="14" t="s">
        <v>65</v>
      </c>
      <c r="D29" s="14" t="s">
        <v>66</v>
      </c>
      <c r="E29" s="14">
        <v>2</v>
      </c>
      <c r="F29" s="14" t="s">
        <v>35</v>
      </c>
      <c r="H29" s="20" t="str">
        <f t="shared" ref="H29:H38" si="5">_xlfn.LET(_xlpm.pp,IF(I29="","",I29&amp;";")&amp;IF(P29="","",P29&amp;";")&amp;IF(W29="","",W29&amp;";")&amp;IF(AD29="","",AD29&amp;";")&amp;IF(AK29="","",AK29&amp;";"), IF(LEN(_xlpm.pp)&gt;0,LEFT(_xlpm.pp,LEN(_xlpm.pp)-1),_xlpm.pp))</f>
        <v/>
      </c>
      <c r="I29" s="16" t="str">
        <f t="shared" si="0"/>
        <v/>
      </c>
      <c r="J29" s="14"/>
      <c r="K29" s="14"/>
      <c r="M29" s="14"/>
      <c r="N29" s="14"/>
      <c r="O29" s="14"/>
      <c r="P29" s="16" t="str">
        <f t="shared" si="1"/>
        <v/>
      </c>
      <c r="Q29" s="14"/>
      <c r="R29" s="14"/>
      <c r="T29" s="14"/>
      <c r="U29" s="14"/>
      <c r="W29" s="16" t="str">
        <f t="shared" si="2"/>
        <v/>
      </c>
      <c r="X29" s="14"/>
      <c r="Y29" s="14"/>
      <c r="AA29" s="14"/>
      <c r="AB29" s="14"/>
      <c r="AD29" s="16" t="str">
        <f t="shared" si="3"/>
        <v/>
      </c>
      <c r="AE29" s="14"/>
      <c r="AF29" s="14"/>
      <c r="AH29" s="14"/>
      <c r="AI29" s="14"/>
      <c r="AK29" s="16" t="str">
        <f t="shared" si="4"/>
        <v/>
      </c>
      <c r="AL29" s="14"/>
      <c r="AM29" s="14"/>
      <c r="AO29" s="14"/>
      <c r="AP29" s="14"/>
    </row>
    <row r="30" spans="2:42" x14ac:dyDescent="0.15">
      <c r="B30" s="14">
        <v>26</v>
      </c>
      <c r="C30" s="14" t="s">
        <v>67</v>
      </c>
      <c r="D30" s="14" t="s">
        <v>68</v>
      </c>
      <c r="E30" s="14">
        <v>2</v>
      </c>
      <c r="F30" s="14" t="s">
        <v>35</v>
      </c>
      <c r="H30" s="20" t="str">
        <f t="shared" si="5"/>
        <v/>
      </c>
      <c r="I30" s="16" t="str">
        <f t="shared" si="0"/>
        <v/>
      </c>
      <c r="J30" s="14"/>
      <c r="K30" s="14"/>
      <c r="M30" s="14"/>
      <c r="N30" s="14"/>
      <c r="O30" s="14"/>
      <c r="P30" s="16" t="str">
        <f t="shared" si="1"/>
        <v/>
      </c>
      <c r="Q30" s="14"/>
      <c r="R30" s="14"/>
      <c r="T30" s="14"/>
      <c r="U30" s="14"/>
      <c r="W30" s="16" t="str">
        <f t="shared" si="2"/>
        <v/>
      </c>
      <c r="X30" s="14"/>
      <c r="Y30" s="14"/>
      <c r="AA30" s="14"/>
      <c r="AB30" s="14"/>
      <c r="AD30" s="16" t="str">
        <f t="shared" si="3"/>
        <v/>
      </c>
      <c r="AE30" s="14"/>
      <c r="AF30" s="14"/>
      <c r="AH30" s="14"/>
      <c r="AI30" s="14"/>
      <c r="AK30" s="16" t="str">
        <f t="shared" si="4"/>
        <v/>
      </c>
      <c r="AL30" s="14"/>
      <c r="AM30" s="14"/>
      <c r="AO30" s="14"/>
      <c r="AP30" s="14"/>
    </row>
    <row r="31" spans="2:42" x14ac:dyDescent="0.15">
      <c r="B31" s="14">
        <v>27</v>
      </c>
      <c r="C31" s="14" t="s">
        <v>69</v>
      </c>
      <c r="D31" s="14" t="s">
        <v>70</v>
      </c>
      <c r="E31" s="14">
        <v>2</v>
      </c>
      <c r="F31" s="14" t="s">
        <v>35</v>
      </c>
      <c r="H31" s="20" t="str">
        <f t="shared" si="5"/>
        <v/>
      </c>
      <c r="I31" s="16" t="str">
        <f t="shared" si="0"/>
        <v/>
      </c>
      <c r="J31" s="14"/>
      <c r="K31" s="14"/>
      <c r="M31" s="14"/>
      <c r="N31" s="14"/>
      <c r="O31" s="14"/>
      <c r="P31" s="16" t="str">
        <f t="shared" si="1"/>
        <v/>
      </c>
      <c r="Q31" s="14"/>
      <c r="R31" s="14"/>
      <c r="T31" s="14"/>
      <c r="U31" s="14"/>
      <c r="W31" s="16" t="str">
        <f t="shared" si="2"/>
        <v/>
      </c>
      <c r="X31" s="14"/>
      <c r="Y31" s="14"/>
      <c r="AA31" s="14"/>
      <c r="AB31" s="14"/>
      <c r="AD31" s="16" t="str">
        <f t="shared" si="3"/>
        <v/>
      </c>
      <c r="AE31" s="14"/>
      <c r="AF31" s="14"/>
      <c r="AH31" s="14"/>
      <c r="AI31" s="14"/>
      <c r="AK31" s="16" t="str">
        <f t="shared" si="4"/>
        <v/>
      </c>
      <c r="AL31" s="14"/>
      <c r="AM31" s="14"/>
      <c r="AO31" s="14"/>
      <c r="AP31" s="14"/>
    </row>
    <row r="32" spans="2:42" x14ac:dyDescent="0.15">
      <c r="B32" s="14">
        <v>28</v>
      </c>
      <c r="C32" s="14" t="s">
        <v>71</v>
      </c>
      <c r="D32" s="14" t="s">
        <v>72</v>
      </c>
      <c r="E32" s="14">
        <v>2</v>
      </c>
      <c r="F32" s="14" t="s">
        <v>73</v>
      </c>
      <c r="H32" s="20" t="str">
        <f t="shared" si="5"/>
        <v/>
      </c>
      <c r="I32" s="16" t="str">
        <f t="shared" si="0"/>
        <v/>
      </c>
      <c r="J32" s="14"/>
      <c r="K32" s="14"/>
      <c r="M32" s="14"/>
      <c r="N32" s="14"/>
      <c r="O32" s="14"/>
      <c r="P32" s="16" t="str">
        <f t="shared" si="1"/>
        <v/>
      </c>
      <c r="Q32" s="14"/>
      <c r="R32" s="14"/>
      <c r="T32" s="14"/>
      <c r="U32" s="14"/>
      <c r="W32" s="16" t="str">
        <f t="shared" si="2"/>
        <v/>
      </c>
      <c r="X32" s="14"/>
      <c r="Y32" s="14"/>
      <c r="AA32" s="14"/>
      <c r="AB32" s="14"/>
      <c r="AD32" s="16" t="str">
        <f t="shared" si="3"/>
        <v/>
      </c>
      <c r="AE32" s="14"/>
      <c r="AF32" s="14"/>
      <c r="AH32" s="14"/>
      <c r="AI32" s="14"/>
      <c r="AK32" s="16" t="str">
        <f t="shared" si="4"/>
        <v/>
      </c>
      <c r="AL32" s="14"/>
      <c r="AM32" s="14"/>
      <c r="AO32" s="14"/>
      <c r="AP32" s="14"/>
    </row>
    <row r="33" spans="2:42" x14ac:dyDescent="0.15">
      <c r="B33" s="14">
        <v>29</v>
      </c>
      <c r="C33" s="14" t="s">
        <v>74</v>
      </c>
      <c r="D33" s="14" t="s">
        <v>75</v>
      </c>
      <c r="E33" s="14">
        <v>2</v>
      </c>
      <c r="F33" s="14" t="s">
        <v>73</v>
      </c>
      <c r="H33" s="20" t="str">
        <f t="shared" si="5"/>
        <v/>
      </c>
      <c r="I33" s="16" t="str">
        <f t="shared" si="0"/>
        <v/>
      </c>
      <c r="J33" s="14"/>
      <c r="K33" s="14"/>
      <c r="M33" s="14"/>
      <c r="N33" s="14"/>
      <c r="O33" s="14"/>
      <c r="P33" s="16" t="str">
        <f t="shared" si="1"/>
        <v/>
      </c>
      <c r="Q33" s="14"/>
      <c r="R33" s="14"/>
      <c r="T33" s="14"/>
      <c r="U33" s="14"/>
      <c r="W33" s="16" t="str">
        <f t="shared" si="2"/>
        <v/>
      </c>
      <c r="X33" s="14"/>
      <c r="Y33" s="14"/>
      <c r="AA33" s="14"/>
      <c r="AB33" s="14"/>
      <c r="AD33" s="16" t="str">
        <f t="shared" si="3"/>
        <v/>
      </c>
      <c r="AE33" s="14"/>
      <c r="AF33" s="14"/>
      <c r="AH33" s="14"/>
      <c r="AI33" s="14"/>
      <c r="AK33" s="16" t="str">
        <f t="shared" si="4"/>
        <v/>
      </c>
      <c r="AL33" s="14"/>
      <c r="AM33" s="14"/>
      <c r="AO33" s="14"/>
      <c r="AP33" s="14"/>
    </row>
    <row r="34" spans="2:42" x14ac:dyDescent="0.15">
      <c r="B34" s="14">
        <v>30</v>
      </c>
      <c r="C34" s="14" t="s">
        <v>76</v>
      </c>
      <c r="D34" s="14" t="s">
        <v>77</v>
      </c>
      <c r="E34" s="14">
        <v>2</v>
      </c>
      <c r="F34" s="14" t="s">
        <v>73</v>
      </c>
      <c r="H34" s="20" t="str">
        <f t="shared" si="5"/>
        <v/>
      </c>
      <c r="I34" s="16" t="str">
        <f t="shared" si="0"/>
        <v/>
      </c>
      <c r="J34" s="14"/>
      <c r="K34" s="14"/>
      <c r="M34" s="14"/>
      <c r="N34" s="14"/>
      <c r="O34" s="14"/>
      <c r="P34" s="16" t="str">
        <f t="shared" si="1"/>
        <v/>
      </c>
      <c r="Q34" s="14"/>
      <c r="R34" s="14"/>
      <c r="T34" s="14"/>
      <c r="U34" s="14"/>
      <c r="W34" s="16" t="str">
        <f t="shared" si="2"/>
        <v/>
      </c>
      <c r="X34" s="14"/>
      <c r="Y34" s="14"/>
      <c r="AA34" s="14"/>
      <c r="AB34" s="14"/>
      <c r="AD34" s="16" t="str">
        <f t="shared" si="3"/>
        <v/>
      </c>
      <c r="AE34" s="14"/>
      <c r="AF34" s="14"/>
      <c r="AH34" s="14"/>
      <c r="AI34" s="14"/>
      <c r="AK34" s="16" t="str">
        <f t="shared" si="4"/>
        <v/>
      </c>
      <c r="AL34" s="14"/>
      <c r="AM34" s="14"/>
      <c r="AO34" s="14"/>
      <c r="AP34" s="14"/>
    </row>
    <row r="35" spans="2:42" x14ac:dyDescent="0.15">
      <c r="B35" s="14">
        <v>31</v>
      </c>
      <c r="C35" s="14" t="s">
        <v>78</v>
      </c>
      <c r="D35" s="14" t="s">
        <v>79</v>
      </c>
      <c r="E35" s="14">
        <v>2</v>
      </c>
      <c r="F35" s="14" t="s">
        <v>73</v>
      </c>
      <c r="H35" s="20" t="str">
        <f t="shared" si="5"/>
        <v/>
      </c>
      <c r="I35" s="16" t="str">
        <f t="shared" si="0"/>
        <v/>
      </c>
      <c r="J35" s="14"/>
      <c r="K35" s="14"/>
      <c r="M35" s="14"/>
      <c r="N35" s="14"/>
      <c r="O35" s="14"/>
      <c r="P35" s="16" t="str">
        <f t="shared" si="1"/>
        <v/>
      </c>
      <c r="Q35" s="14"/>
      <c r="R35" s="14"/>
      <c r="T35" s="14"/>
      <c r="U35" s="14"/>
      <c r="W35" s="16" t="str">
        <f t="shared" si="2"/>
        <v/>
      </c>
      <c r="X35" s="14"/>
      <c r="Y35" s="14"/>
      <c r="AA35" s="14"/>
      <c r="AB35" s="14"/>
      <c r="AD35" s="16" t="str">
        <f t="shared" si="3"/>
        <v/>
      </c>
      <c r="AE35" s="14"/>
      <c r="AF35" s="14"/>
      <c r="AH35" s="14"/>
      <c r="AI35" s="14"/>
      <c r="AK35" s="16" t="str">
        <f t="shared" si="4"/>
        <v/>
      </c>
      <c r="AL35" s="14"/>
      <c r="AM35" s="14"/>
      <c r="AO35" s="14"/>
      <c r="AP35" s="14"/>
    </row>
    <row r="36" spans="2:42" x14ac:dyDescent="0.15">
      <c r="B36" s="14">
        <v>32</v>
      </c>
      <c r="C36" s="14" t="s">
        <v>80</v>
      </c>
      <c r="D36" s="14" t="s">
        <v>81</v>
      </c>
      <c r="E36" s="14">
        <v>2</v>
      </c>
      <c r="F36" s="14" t="s">
        <v>73</v>
      </c>
      <c r="H36" s="20" t="str">
        <f t="shared" si="5"/>
        <v/>
      </c>
      <c r="I36" s="16" t="str">
        <f t="shared" si="0"/>
        <v/>
      </c>
      <c r="J36" s="14"/>
      <c r="K36" s="14"/>
      <c r="M36" s="14"/>
      <c r="N36" s="14"/>
      <c r="O36" s="14"/>
      <c r="P36" s="16" t="str">
        <f t="shared" si="1"/>
        <v/>
      </c>
      <c r="Q36" s="14"/>
      <c r="R36" s="14"/>
      <c r="T36" s="14"/>
      <c r="U36" s="14"/>
      <c r="W36" s="16" t="str">
        <f t="shared" si="2"/>
        <v/>
      </c>
      <c r="X36" s="14"/>
      <c r="Y36" s="14"/>
      <c r="AA36" s="14"/>
      <c r="AB36" s="14"/>
      <c r="AD36" s="16" t="str">
        <f t="shared" si="3"/>
        <v/>
      </c>
      <c r="AE36" s="14"/>
      <c r="AF36" s="14"/>
      <c r="AH36" s="14"/>
      <c r="AI36" s="14"/>
      <c r="AK36" s="16" t="str">
        <f t="shared" si="4"/>
        <v/>
      </c>
      <c r="AL36" s="14"/>
      <c r="AM36" s="14"/>
      <c r="AO36" s="14"/>
      <c r="AP36" s="14"/>
    </row>
    <row r="37" spans="2:42" x14ac:dyDescent="0.15">
      <c r="B37" s="14">
        <v>33</v>
      </c>
      <c r="C37" s="14" t="s">
        <v>82</v>
      </c>
      <c r="D37" s="14" t="s">
        <v>83</v>
      </c>
      <c r="E37" s="14">
        <v>4</v>
      </c>
      <c r="F37" s="14" t="s">
        <v>73</v>
      </c>
      <c r="H37" s="20" t="str">
        <f t="shared" si="5"/>
        <v/>
      </c>
      <c r="I37" s="16" t="str">
        <f t="shared" si="0"/>
        <v/>
      </c>
      <c r="J37" s="14"/>
      <c r="K37" s="14"/>
      <c r="M37" s="14"/>
      <c r="N37" s="14"/>
      <c r="O37" s="14"/>
      <c r="P37" s="16" t="str">
        <f t="shared" si="1"/>
        <v/>
      </c>
      <c r="Q37" s="14"/>
      <c r="R37" s="14"/>
      <c r="T37" s="14"/>
      <c r="U37" s="14"/>
      <c r="W37" s="16" t="str">
        <f t="shared" si="2"/>
        <v/>
      </c>
      <c r="X37" s="14"/>
      <c r="Y37" s="14"/>
      <c r="AA37" s="14"/>
      <c r="AB37" s="14"/>
      <c r="AD37" s="16" t="str">
        <f t="shared" si="3"/>
        <v/>
      </c>
      <c r="AE37" s="14"/>
      <c r="AF37" s="14"/>
      <c r="AH37" s="14"/>
      <c r="AI37" s="14"/>
      <c r="AK37" s="16" t="str">
        <f t="shared" si="4"/>
        <v/>
      </c>
      <c r="AL37" s="14"/>
      <c r="AM37" s="14"/>
      <c r="AO37" s="14"/>
      <c r="AP37" s="14"/>
    </row>
    <row r="38" spans="2:42" x14ac:dyDescent="0.15">
      <c r="B38" s="14">
        <v>34</v>
      </c>
      <c r="C38" s="14" t="s">
        <v>84</v>
      </c>
      <c r="D38" s="14" t="s">
        <v>85</v>
      </c>
      <c r="E38" s="14">
        <v>2</v>
      </c>
      <c r="F38" s="14" t="s">
        <v>73</v>
      </c>
      <c r="H38" s="20" t="str">
        <f t="shared" si="5"/>
        <v/>
      </c>
      <c r="I38" s="16" t="str">
        <f t="shared" si="0"/>
        <v/>
      </c>
      <c r="J38" s="14"/>
      <c r="K38" s="14"/>
      <c r="M38" s="14"/>
      <c r="N38" s="14"/>
      <c r="O38" s="14"/>
      <c r="P38" s="16" t="str">
        <f t="shared" si="1"/>
        <v/>
      </c>
      <c r="Q38" s="14"/>
      <c r="R38" s="14"/>
      <c r="T38" s="14"/>
      <c r="U38" s="14"/>
      <c r="W38" s="16" t="str">
        <f t="shared" si="2"/>
        <v/>
      </c>
      <c r="X38" s="14"/>
      <c r="Y38" s="14"/>
      <c r="AA38" s="14"/>
      <c r="AB38" s="14"/>
      <c r="AD38" s="16" t="str">
        <f t="shared" si="3"/>
        <v/>
      </c>
      <c r="AE38" s="14"/>
      <c r="AF38" s="14"/>
      <c r="AH38" s="14"/>
      <c r="AI38" s="14"/>
      <c r="AK38" s="16" t="str">
        <f t="shared" si="4"/>
        <v/>
      </c>
      <c r="AL38" s="14"/>
      <c r="AM38" s="14"/>
      <c r="AO38" s="14"/>
      <c r="AP38" s="14"/>
    </row>
    <row r="39" spans="2:42" s="19" customFormat="1" ht="12.75" customHeight="1" x14ac:dyDescent="0.15">
      <c r="B39" s="18">
        <v>35</v>
      </c>
      <c r="C39" s="18" t="s">
        <v>86</v>
      </c>
      <c r="D39" s="18" t="s">
        <v>87</v>
      </c>
      <c r="E39" s="18">
        <v>2</v>
      </c>
      <c r="F39" s="18" t="s">
        <v>35</v>
      </c>
      <c r="G39" s="20" t="s">
        <v>234</v>
      </c>
      <c r="H39" s="20" t="str">
        <f>_xlfn.LET(_xlpm.pp,IF(I39="","",I39&amp;";")&amp;IF(P39="","",P39&amp;";")&amp;IF(W39="","",W39&amp;";")&amp;IF(AD39="","",AD39&amp;";")&amp;IF(AK39="","",AK39&amp;";"), IF(LEN(_xlpm.pp)&gt;0,LEFT(_xlpm.pp,LEN(_xlpm.pp)-1),_xlpm.pp))</f>
        <v>19,3,100,0,1</v>
      </c>
      <c r="I39" s="21" t="str">
        <f t="shared" si="0"/>
        <v>19,3,100,0,1</v>
      </c>
      <c r="J39" s="18">
        <v>19</v>
      </c>
      <c r="K39" s="18">
        <v>3</v>
      </c>
      <c r="L39" s="19" t="s">
        <v>226</v>
      </c>
      <c r="M39" s="18">
        <v>0</v>
      </c>
      <c r="N39" s="18">
        <v>1</v>
      </c>
      <c r="O39" s="18"/>
      <c r="P39" s="21" t="str">
        <f t="shared" si="1"/>
        <v/>
      </c>
      <c r="Q39" s="18"/>
      <c r="R39" s="18"/>
      <c r="T39" s="18"/>
      <c r="U39" s="18"/>
      <c r="W39" s="21" t="str">
        <f t="shared" si="2"/>
        <v/>
      </c>
      <c r="X39" s="18"/>
      <c r="Y39" s="18"/>
      <c r="AA39" s="18"/>
      <c r="AB39" s="18"/>
      <c r="AD39" s="21" t="str">
        <f t="shared" si="3"/>
        <v/>
      </c>
      <c r="AE39" s="18"/>
      <c r="AF39" s="18"/>
      <c r="AH39" s="18"/>
      <c r="AI39" s="18"/>
      <c r="AK39" s="21" t="str">
        <f t="shared" si="4"/>
        <v/>
      </c>
      <c r="AL39" s="18"/>
      <c r="AM39" s="18"/>
      <c r="AO39" s="18"/>
      <c r="AP39" s="18"/>
    </row>
    <row r="40" spans="2:42" s="19" customFormat="1" x14ac:dyDescent="0.15">
      <c r="B40" s="18">
        <v>36</v>
      </c>
      <c r="C40" s="18" t="s">
        <v>88</v>
      </c>
      <c r="D40" s="18" t="s">
        <v>89</v>
      </c>
      <c r="E40" s="18">
        <v>2</v>
      </c>
      <c r="F40" s="18" t="s">
        <v>35</v>
      </c>
      <c r="G40" s="20" t="s">
        <v>235</v>
      </c>
      <c r="H40" s="20" t="str">
        <f t="shared" ref="H40:H103" si="6">_xlfn.LET(_xlpm.pp,IF(I40="","",I40&amp;";")&amp;IF(P40="","",P40&amp;";")&amp;IF(W40="","",W40&amp;";")&amp;IF(AD40="","",AD40&amp;";")&amp;IF(AK40="","",AK40&amp;";"), IF(LEN(_xlpm.pp)&gt;0,LEFT(_xlpm.pp,LEN(_xlpm.pp)-1),_xlpm.pp))</f>
        <v>19,1,100,0,1</v>
      </c>
      <c r="I40" s="21" t="str">
        <f t="shared" si="0"/>
        <v>19,1,100,0,1</v>
      </c>
      <c r="J40" s="18">
        <v>19</v>
      </c>
      <c r="K40" s="18">
        <v>1</v>
      </c>
      <c r="L40" s="19" t="s">
        <v>226</v>
      </c>
      <c r="M40" s="18">
        <v>0</v>
      </c>
      <c r="N40" s="18">
        <v>1</v>
      </c>
      <c r="O40" s="18"/>
      <c r="P40" s="21" t="str">
        <f t="shared" si="1"/>
        <v/>
      </c>
      <c r="Q40" s="18"/>
      <c r="R40" s="18"/>
      <c r="T40" s="18"/>
      <c r="U40" s="18"/>
      <c r="W40" s="21" t="str">
        <f t="shared" si="2"/>
        <v/>
      </c>
      <c r="X40" s="18"/>
      <c r="Y40" s="18"/>
      <c r="AA40" s="18"/>
      <c r="AB40" s="18"/>
      <c r="AD40" s="21" t="str">
        <f t="shared" si="3"/>
        <v/>
      </c>
      <c r="AE40" s="18"/>
      <c r="AF40" s="18"/>
      <c r="AH40" s="18"/>
      <c r="AI40" s="18"/>
      <c r="AK40" s="21" t="str">
        <f t="shared" si="4"/>
        <v/>
      </c>
      <c r="AL40" s="18"/>
      <c r="AM40" s="18"/>
      <c r="AO40" s="18"/>
      <c r="AP40" s="18"/>
    </row>
    <row r="41" spans="2:42" s="19" customFormat="1" x14ac:dyDescent="0.15">
      <c r="B41" s="18">
        <v>37</v>
      </c>
      <c r="C41" s="18" t="s">
        <v>90</v>
      </c>
      <c r="D41" s="18" t="s">
        <v>91</v>
      </c>
      <c r="E41" s="18">
        <v>2</v>
      </c>
      <c r="F41" s="18" t="s">
        <v>35</v>
      </c>
      <c r="G41" s="20" t="s">
        <v>236</v>
      </c>
      <c r="H41" s="20" t="str">
        <f t="shared" si="6"/>
        <v>19,2,100,0,1</v>
      </c>
      <c r="I41" s="21" t="str">
        <f t="shared" si="0"/>
        <v>19,2,100,0,1</v>
      </c>
      <c r="J41" s="18">
        <v>19</v>
      </c>
      <c r="K41" s="18">
        <v>2</v>
      </c>
      <c r="L41" s="19" t="s">
        <v>226</v>
      </c>
      <c r="M41" s="18">
        <v>0</v>
      </c>
      <c r="N41" s="18">
        <v>1</v>
      </c>
      <c r="O41" s="18"/>
      <c r="P41" s="21" t="str">
        <f t="shared" si="1"/>
        <v/>
      </c>
      <c r="Q41" s="18"/>
      <c r="R41" s="18"/>
      <c r="T41" s="18"/>
      <c r="U41" s="18"/>
      <c r="W41" s="21" t="str">
        <f t="shared" si="2"/>
        <v/>
      </c>
      <c r="X41" s="18"/>
      <c r="Y41" s="18"/>
      <c r="AA41" s="18"/>
      <c r="AB41" s="18"/>
      <c r="AD41" s="21" t="str">
        <f t="shared" si="3"/>
        <v/>
      </c>
      <c r="AE41" s="18"/>
      <c r="AF41" s="18"/>
      <c r="AH41" s="18"/>
      <c r="AI41" s="18"/>
      <c r="AK41" s="21" t="str">
        <f t="shared" si="4"/>
        <v/>
      </c>
      <c r="AL41" s="18"/>
      <c r="AM41" s="18"/>
      <c r="AO41" s="18"/>
      <c r="AP41" s="18"/>
    </row>
    <row r="42" spans="2:42" s="19" customFormat="1" x14ac:dyDescent="0.15">
      <c r="B42" s="18">
        <v>38</v>
      </c>
      <c r="C42" s="18" t="s">
        <v>92</v>
      </c>
      <c r="D42" s="18" t="s">
        <v>93</v>
      </c>
      <c r="E42" s="18">
        <v>2</v>
      </c>
      <c r="F42" s="18" t="s">
        <v>35</v>
      </c>
      <c r="G42" s="20" t="s">
        <v>237</v>
      </c>
      <c r="H42" s="20" t="str">
        <f t="shared" si="6"/>
        <v>19,4,100,0,1</v>
      </c>
      <c r="I42" s="21" t="str">
        <f t="shared" si="0"/>
        <v>19,4,100,0,1</v>
      </c>
      <c r="J42" s="18">
        <v>19</v>
      </c>
      <c r="K42" s="18">
        <v>4</v>
      </c>
      <c r="L42" s="19" t="s">
        <v>226</v>
      </c>
      <c r="M42" s="18">
        <v>0</v>
      </c>
      <c r="N42" s="18">
        <v>1</v>
      </c>
      <c r="O42" s="18"/>
      <c r="P42" s="21" t="str">
        <f t="shared" si="1"/>
        <v/>
      </c>
      <c r="Q42" s="18"/>
      <c r="R42" s="18"/>
      <c r="T42" s="18"/>
      <c r="U42" s="18"/>
      <c r="W42" s="21" t="str">
        <f t="shared" si="2"/>
        <v/>
      </c>
      <c r="X42" s="18"/>
      <c r="Y42" s="18"/>
      <c r="AA42" s="18"/>
      <c r="AB42" s="18"/>
      <c r="AD42" s="21" t="str">
        <f t="shared" si="3"/>
        <v/>
      </c>
      <c r="AE42" s="18"/>
      <c r="AF42" s="18"/>
      <c r="AH42" s="18"/>
      <c r="AI42" s="18"/>
      <c r="AK42" s="21" t="str">
        <f t="shared" si="4"/>
        <v/>
      </c>
      <c r="AL42" s="18"/>
      <c r="AM42" s="18"/>
      <c r="AO42" s="18"/>
      <c r="AP42" s="18"/>
    </row>
    <row r="43" spans="2:42" s="19" customFormat="1" x14ac:dyDescent="0.15">
      <c r="B43" s="18">
        <v>39</v>
      </c>
      <c r="C43" s="18" t="s">
        <v>94</v>
      </c>
      <c r="D43" s="18" t="s">
        <v>95</v>
      </c>
      <c r="E43" s="18">
        <v>2</v>
      </c>
      <c r="F43" s="18" t="s">
        <v>35</v>
      </c>
      <c r="G43" s="20" t="s">
        <v>238</v>
      </c>
      <c r="H43" s="20" t="str">
        <f t="shared" si="6"/>
        <v>19,8,100,0,1</v>
      </c>
      <c r="I43" s="21" t="str">
        <f t="shared" si="0"/>
        <v>19,8,100,0,1</v>
      </c>
      <c r="J43" s="18">
        <v>19</v>
      </c>
      <c r="K43" s="18">
        <v>8</v>
      </c>
      <c r="L43" s="19" t="s">
        <v>226</v>
      </c>
      <c r="M43" s="18">
        <v>0</v>
      </c>
      <c r="N43" s="18">
        <v>1</v>
      </c>
      <c r="O43" s="18"/>
      <c r="P43" s="21" t="str">
        <f t="shared" si="1"/>
        <v/>
      </c>
      <c r="Q43" s="18"/>
      <c r="R43" s="18"/>
      <c r="T43" s="18"/>
      <c r="U43" s="18"/>
      <c r="W43" s="21" t="str">
        <f t="shared" si="2"/>
        <v/>
      </c>
      <c r="X43" s="18"/>
      <c r="Y43" s="18"/>
      <c r="AA43" s="18"/>
      <c r="AB43" s="18"/>
      <c r="AD43" s="21" t="str">
        <f t="shared" si="3"/>
        <v/>
      </c>
      <c r="AE43" s="18"/>
      <c r="AF43" s="18"/>
      <c r="AH43" s="18"/>
      <c r="AI43" s="18"/>
      <c r="AK43" s="21" t="str">
        <f t="shared" si="4"/>
        <v/>
      </c>
      <c r="AL43" s="18"/>
      <c r="AM43" s="18"/>
      <c r="AO43" s="18"/>
      <c r="AP43" s="18"/>
    </row>
    <row r="44" spans="2:42" s="19" customFormat="1" x14ac:dyDescent="0.15">
      <c r="B44" s="18">
        <v>40</v>
      </c>
      <c r="C44" s="18" t="s">
        <v>96</v>
      </c>
      <c r="D44" s="18" t="s">
        <v>97</v>
      </c>
      <c r="E44" s="18">
        <v>3</v>
      </c>
      <c r="F44" s="18" t="s">
        <v>35</v>
      </c>
      <c r="G44" s="20" t="s">
        <v>239</v>
      </c>
      <c r="H44" s="20" t="str">
        <f t="shared" si="6"/>
        <v>19,6,100,0,1</v>
      </c>
      <c r="I44" s="21" t="str">
        <f t="shared" si="0"/>
        <v>19,6,100,0,1</v>
      </c>
      <c r="J44" s="18">
        <v>19</v>
      </c>
      <c r="K44" s="18">
        <v>6</v>
      </c>
      <c r="L44" s="19" t="s">
        <v>226</v>
      </c>
      <c r="M44" s="18">
        <v>0</v>
      </c>
      <c r="N44" s="18">
        <v>1</v>
      </c>
      <c r="O44" s="18"/>
      <c r="P44" s="21" t="str">
        <f t="shared" si="1"/>
        <v/>
      </c>
      <c r="Q44" s="18"/>
      <c r="R44" s="18"/>
      <c r="T44" s="18"/>
      <c r="U44" s="18"/>
      <c r="W44" s="21" t="str">
        <f t="shared" si="2"/>
        <v/>
      </c>
      <c r="X44" s="18"/>
      <c r="Y44" s="18"/>
      <c r="AA44" s="18"/>
      <c r="AB44" s="18"/>
      <c r="AD44" s="21" t="str">
        <f t="shared" si="3"/>
        <v/>
      </c>
      <c r="AE44" s="18"/>
      <c r="AF44" s="18"/>
      <c r="AH44" s="18"/>
      <c r="AI44" s="18"/>
      <c r="AK44" s="21" t="str">
        <f t="shared" si="4"/>
        <v/>
      </c>
      <c r="AL44" s="18"/>
      <c r="AM44" s="18"/>
      <c r="AO44" s="18"/>
      <c r="AP44" s="18"/>
    </row>
    <row r="45" spans="2:42" s="19" customFormat="1" x14ac:dyDescent="0.15">
      <c r="B45" s="18">
        <v>41</v>
      </c>
      <c r="C45" s="18" t="s">
        <v>98</v>
      </c>
      <c r="D45" s="18" t="s">
        <v>99</v>
      </c>
      <c r="E45" s="18">
        <v>4</v>
      </c>
      <c r="F45" s="18" t="s">
        <v>35</v>
      </c>
      <c r="G45" s="20" t="s">
        <v>240</v>
      </c>
      <c r="H45" s="20" t="str">
        <f t="shared" si="6"/>
        <v>19,0,100,-1,1</v>
      </c>
      <c r="I45" s="21" t="str">
        <f t="shared" si="0"/>
        <v>19,0,100,-1,1</v>
      </c>
      <c r="J45" s="18">
        <v>19</v>
      </c>
      <c r="K45" s="18">
        <v>0</v>
      </c>
      <c r="L45" s="19" t="s">
        <v>226</v>
      </c>
      <c r="M45" s="18">
        <v>-1</v>
      </c>
      <c r="N45" s="18">
        <v>1</v>
      </c>
      <c r="O45" s="18"/>
      <c r="P45" s="21" t="str">
        <f t="shared" si="1"/>
        <v/>
      </c>
      <c r="Q45" s="18"/>
      <c r="R45" s="18"/>
      <c r="T45" s="18"/>
      <c r="U45" s="18"/>
      <c r="W45" s="21" t="str">
        <f t="shared" si="2"/>
        <v/>
      </c>
      <c r="X45" s="18"/>
      <c r="Y45" s="18"/>
      <c r="AA45" s="18"/>
      <c r="AB45" s="18"/>
      <c r="AD45" s="21" t="str">
        <f t="shared" si="3"/>
        <v/>
      </c>
      <c r="AE45" s="18"/>
      <c r="AF45" s="18"/>
      <c r="AH45" s="18"/>
      <c r="AI45" s="18"/>
      <c r="AK45" s="21" t="str">
        <f t="shared" si="4"/>
        <v/>
      </c>
      <c r="AL45" s="18"/>
      <c r="AM45" s="18"/>
      <c r="AO45" s="18"/>
      <c r="AP45" s="18"/>
    </row>
    <row r="46" spans="2:42" s="19" customFormat="1" x14ac:dyDescent="0.15">
      <c r="B46" s="18">
        <v>42</v>
      </c>
      <c r="C46" s="18" t="s">
        <v>100</v>
      </c>
      <c r="D46" s="18" t="s">
        <v>101</v>
      </c>
      <c r="E46" s="18">
        <v>3</v>
      </c>
      <c r="F46" s="18" t="s">
        <v>35</v>
      </c>
      <c r="G46" s="20" t="s">
        <v>241</v>
      </c>
      <c r="H46" s="20" t="str">
        <f t="shared" si="6"/>
        <v>19,1,100,0,0;19,3,100,0,0</v>
      </c>
      <c r="I46" s="21" t="str">
        <f t="shared" si="0"/>
        <v>19,1,100,0,0</v>
      </c>
      <c r="J46" s="18">
        <v>19</v>
      </c>
      <c r="K46" s="18">
        <v>1</v>
      </c>
      <c r="L46" s="19" t="s">
        <v>226</v>
      </c>
      <c r="M46" s="18">
        <v>0</v>
      </c>
      <c r="N46" s="18">
        <v>0</v>
      </c>
      <c r="O46" s="18"/>
      <c r="P46" s="21" t="str">
        <f t="shared" si="1"/>
        <v>19,3,100,0,0</v>
      </c>
      <c r="Q46" s="18">
        <v>19</v>
      </c>
      <c r="R46" s="18">
        <v>3</v>
      </c>
      <c r="S46" s="19" t="s">
        <v>226</v>
      </c>
      <c r="T46" s="18">
        <v>0</v>
      </c>
      <c r="U46" s="19" t="s">
        <v>230</v>
      </c>
      <c r="W46" s="21" t="str">
        <f t="shared" si="2"/>
        <v/>
      </c>
      <c r="X46" s="18"/>
      <c r="Y46" s="18"/>
      <c r="AA46" s="18"/>
      <c r="AD46" s="21" t="str">
        <f t="shared" si="3"/>
        <v/>
      </c>
      <c r="AE46" s="18"/>
      <c r="AF46" s="18"/>
      <c r="AH46" s="18"/>
      <c r="AK46" s="21" t="str">
        <f t="shared" si="4"/>
        <v/>
      </c>
      <c r="AL46" s="18"/>
      <c r="AM46" s="18"/>
      <c r="AO46" s="18"/>
    </row>
    <row r="47" spans="2:42" s="19" customFormat="1" x14ac:dyDescent="0.15">
      <c r="B47" s="18">
        <v>43</v>
      </c>
      <c r="C47" s="18" t="s">
        <v>102</v>
      </c>
      <c r="D47" s="18" t="s">
        <v>103</v>
      </c>
      <c r="E47" s="18">
        <v>3</v>
      </c>
      <c r="F47" s="18" t="s">
        <v>35</v>
      </c>
      <c r="G47" s="20" t="s">
        <v>242</v>
      </c>
      <c r="H47" s="20" t="str">
        <f t="shared" si="6"/>
        <v>19,3,100,0,0</v>
      </c>
      <c r="I47" s="21" t="str">
        <f t="shared" si="0"/>
        <v>19,3,100,0,0</v>
      </c>
      <c r="J47" s="18">
        <v>19</v>
      </c>
      <c r="K47" s="18">
        <v>3</v>
      </c>
      <c r="L47" s="19" t="s">
        <v>226</v>
      </c>
      <c r="M47" s="18">
        <v>0</v>
      </c>
      <c r="N47" s="18">
        <v>0</v>
      </c>
      <c r="P47" s="21" t="str">
        <f t="shared" si="1"/>
        <v/>
      </c>
      <c r="Q47" s="18"/>
      <c r="W47" s="21" t="str">
        <f t="shared" si="2"/>
        <v/>
      </c>
      <c r="X47" s="18"/>
      <c r="AD47" s="21" t="str">
        <f t="shared" si="3"/>
        <v/>
      </c>
      <c r="AE47" s="18"/>
      <c r="AK47" s="21" t="str">
        <f t="shared" si="4"/>
        <v/>
      </c>
      <c r="AL47" s="18"/>
    </row>
    <row r="48" spans="2:42" s="19" customFormat="1" x14ac:dyDescent="0.15">
      <c r="B48" s="18">
        <v>44</v>
      </c>
      <c r="C48" s="18" t="s">
        <v>104</v>
      </c>
      <c r="D48" s="18" t="s">
        <v>105</v>
      </c>
      <c r="E48" s="18">
        <v>3</v>
      </c>
      <c r="F48" s="18" t="s">
        <v>35</v>
      </c>
      <c r="G48" s="20" t="s">
        <v>243</v>
      </c>
      <c r="H48" s="20" t="str">
        <f t="shared" si="6"/>
        <v>19,1,100,0,0</v>
      </c>
      <c r="I48" s="21" t="str">
        <f t="shared" si="0"/>
        <v>19,1,100,0,0</v>
      </c>
      <c r="J48" s="18">
        <v>19</v>
      </c>
      <c r="K48" s="18">
        <v>1</v>
      </c>
      <c r="L48" s="19" t="s">
        <v>226</v>
      </c>
      <c r="M48" s="18">
        <v>0</v>
      </c>
      <c r="N48" s="18">
        <v>0</v>
      </c>
      <c r="P48" s="21" t="str">
        <f t="shared" si="1"/>
        <v/>
      </c>
      <c r="Q48" s="18"/>
      <c r="W48" s="21" t="str">
        <f t="shared" si="2"/>
        <v/>
      </c>
      <c r="X48" s="18"/>
      <c r="AD48" s="21" t="str">
        <f t="shared" si="3"/>
        <v/>
      </c>
      <c r="AE48" s="18"/>
      <c r="AK48" s="21" t="str">
        <f t="shared" si="4"/>
        <v/>
      </c>
      <c r="AL48" s="18"/>
    </row>
    <row r="49" spans="2:38" s="19" customFormat="1" x14ac:dyDescent="0.15">
      <c r="B49" s="18">
        <v>45</v>
      </c>
      <c r="C49" s="18" t="s">
        <v>106</v>
      </c>
      <c r="D49" s="18" t="s">
        <v>107</v>
      </c>
      <c r="E49" s="18">
        <v>3</v>
      </c>
      <c r="F49" s="18" t="s">
        <v>35</v>
      </c>
      <c r="G49" s="20" t="s">
        <v>244</v>
      </c>
      <c r="H49" s="20" t="str">
        <f t="shared" si="6"/>
        <v>19,2,100,0,0</v>
      </c>
      <c r="I49" s="21" t="str">
        <f t="shared" si="0"/>
        <v>19,2,100,0,0</v>
      </c>
      <c r="J49" s="18">
        <v>19</v>
      </c>
      <c r="K49" s="18">
        <v>2</v>
      </c>
      <c r="L49" s="19" t="s">
        <v>226</v>
      </c>
      <c r="M49" s="18">
        <v>0</v>
      </c>
      <c r="N49" s="18">
        <v>0</v>
      </c>
      <c r="P49" s="21" t="str">
        <f t="shared" si="1"/>
        <v/>
      </c>
      <c r="Q49" s="18"/>
      <c r="W49" s="21" t="str">
        <f t="shared" si="2"/>
        <v/>
      </c>
      <c r="X49" s="18"/>
      <c r="AD49" s="21" t="str">
        <f t="shared" si="3"/>
        <v/>
      </c>
      <c r="AE49" s="18"/>
      <c r="AK49" s="21" t="str">
        <f t="shared" si="4"/>
        <v/>
      </c>
      <c r="AL49" s="18"/>
    </row>
    <row r="50" spans="2:38" s="19" customFormat="1" x14ac:dyDescent="0.15">
      <c r="B50" s="18">
        <v>46</v>
      </c>
      <c r="C50" s="18" t="s">
        <v>108</v>
      </c>
      <c r="D50" s="18" t="s">
        <v>109</v>
      </c>
      <c r="E50" s="18">
        <v>3</v>
      </c>
      <c r="F50" s="18" t="s">
        <v>35</v>
      </c>
      <c r="G50" s="20" t="s">
        <v>245</v>
      </c>
      <c r="H50" s="20" t="str">
        <f t="shared" si="6"/>
        <v>19,4,100,0,0</v>
      </c>
      <c r="I50" s="21" t="str">
        <f t="shared" si="0"/>
        <v>19,4,100,0,0</v>
      </c>
      <c r="J50" s="18">
        <v>19</v>
      </c>
      <c r="K50" s="18">
        <v>4</v>
      </c>
      <c r="L50" s="19" t="s">
        <v>226</v>
      </c>
      <c r="M50" s="18">
        <v>0</v>
      </c>
      <c r="N50" s="18">
        <v>0</v>
      </c>
      <c r="P50" s="21" t="str">
        <f t="shared" si="1"/>
        <v/>
      </c>
      <c r="Q50" s="18"/>
      <c r="W50" s="21" t="str">
        <f t="shared" si="2"/>
        <v/>
      </c>
      <c r="X50" s="18"/>
      <c r="AD50" s="21" t="str">
        <f t="shared" si="3"/>
        <v/>
      </c>
      <c r="AE50" s="18"/>
      <c r="AK50" s="21" t="str">
        <f t="shared" si="4"/>
        <v/>
      </c>
      <c r="AL50" s="18"/>
    </row>
    <row r="51" spans="2:38" s="19" customFormat="1" x14ac:dyDescent="0.15">
      <c r="B51" s="18">
        <v>47</v>
      </c>
      <c r="C51" s="18" t="s">
        <v>110</v>
      </c>
      <c r="D51" s="18" t="s">
        <v>111</v>
      </c>
      <c r="E51" s="18">
        <v>3</v>
      </c>
      <c r="F51" s="18" t="s">
        <v>35</v>
      </c>
      <c r="G51" s="20" t="s">
        <v>246</v>
      </c>
      <c r="H51" s="20" t="str">
        <f t="shared" si="6"/>
        <v>19,8,100,0,0;19,9,100,0,0</v>
      </c>
      <c r="I51" s="21" t="str">
        <f t="shared" si="0"/>
        <v>19,8,100,0,0</v>
      </c>
      <c r="J51" s="18">
        <v>19</v>
      </c>
      <c r="K51" s="18">
        <v>8</v>
      </c>
      <c r="L51" s="19" t="s">
        <v>226</v>
      </c>
      <c r="M51" s="18">
        <v>0</v>
      </c>
      <c r="N51" s="18">
        <v>0</v>
      </c>
      <c r="P51" s="21" t="str">
        <f t="shared" si="1"/>
        <v>19,9,100,0,0</v>
      </c>
      <c r="Q51" s="18">
        <v>19</v>
      </c>
      <c r="R51" s="18">
        <v>9</v>
      </c>
      <c r="S51" s="19" t="s">
        <v>226</v>
      </c>
      <c r="T51" s="18">
        <v>0</v>
      </c>
      <c r="U51" s="19" t="s">
        <v>230</v>
      </c>
      <c r="W51" s="21" t="str">
        <f t="shared" si="2"/>
        <v/>
      </c>
      <c r="X51" s="18"/>
      <c r="AD51" s="21" t="str">
        <f t="shared" si="3"/>
        <v/>
      </c>
      <c r="AE51" s="18"/>
      <c r="AK51" s="21" t="str">
        <f t="shared" si="4"/>
        <v/>
      </c>
      <c r="AL51" s="18"/>
    </row>
    <row r="52" spans="2:38" s="19" customFormat="1" x14ac:dyDescent="0.15">
      <c r="B52" s="18">
        <v>48</v>
      </c>
      <c r="C52" s="18" t="s">
        <v>112</v>
      </c>
      <c r="D52" s="18" t="s">
        <v>113</v>
      </c>
      <c r="E52" s="18">
        <v>3</v>
      </c>
      <c r="F52" s="18" t="s">
        <v>35</v>
      </c>
      <c r="G52" s="20" t="s">
        <v>247</v>
      </c>
      <c r="H52" s="20" t="str">
        <f t="shared" si="6"/>
        <v>19,6,100,0,0</v>
      </c>
      <c r="I52" s="21" t="str">
        <f t="shared" si="0"/>
        <v>19,6,100,0,0</v>
      </c>
      <c r="J52" s="18">
        <v>19</v>
      </c>
      <c r="K52" s="18">
        <v>6</v>
      </c>
      <c r="L52" s="19" t="s">
        <v>226</v>
      </c>
      <c r="M52" s="18">
        <v>0</v>
      </c>
      <c r="N52" s="18">
        <v>0</v>
      </c>
      <c r="P52" s="21" t="str">
        <f t="shared" si="1"/>
        <v/>
      </c>
      <c r="Q52" s="18"/>
      <c r="W52" s="21" t="str">
        <f t="shared" si="2"/>
        <v/>
      </c>
      <c r="X52" s="18"/>
      <c r="AD52" s="21" t="str">
        <f t="shared" si="3"/>
        <v/>
      </c>
      <c r="AE52" s="18"/>
      <c r="AK52" s="21" t="str">
        <f t="shared" si="4"/>
        <v/>
      </c>
      <c r="AL52" s="18"/>
    </row>
    <row r="53" spans="2:38" s="19" customFormat="1" x14ac:dyDescent="0.15">
      <c r="B53" s="18">
        <v>49</v>
      </c>
      <c r="C53" s="18" t="s">
        <v>114</v>
      </c>
      <c r="D53" s="18" t="s">
        <v>115</v>
      </c>
      <c r="E53" s="18">
        <v>4</v>
      </c>
      <c r="F53" s="18" t="s">
        <v>35</v>
      </c>
      <c r="G53" s="20" t="s">
        <v>248</v>
      </c>
      <c r="H53" s="20" t="str">
        <f t="shared" si="6"/>
        <v>19,0,100,0,0</v>
      </c>
      <c r="I53" s="21" t="str">
        <f t="shared" si="0"/>
        <v>19,0,100,0,0</v>
      </c>
      <c r="J53" s="18">
        <v>19</v>
      </c>
      <c r="K53" s="18">
        <v>0</v>
      </c>
      <c r="L53" s="19" t="s">
        <v>226</v>
      </c>
      <c r="M53" s="18">
        <v>0</v>
      </c>
      <c r="N53" s="18">
        <v>0</v>
      </c>
      <c r="P53" s="21" t="str">
        <f t="shared" si="1"/>
        <v/>
      </c>
      <c r="Q53" s="18"/>
      <c r="W53" s="21" t="str">
        <f t="shared" si="2"/>
        <v/>
      </c>
      <c r="X53" s="18"/>
      <c r="AD53" s="21" t="str">
        <f t="shared" si="3"/>
        <v/>
      </c>
      <c r="AE53" s="18"/>
      <c r="AK53" s="21" t="str">
        <f t="shared" si="4"/>
        <v/>
      </c>
      <c r="AL53" s="18"/>
    </row>
    <row r="54" spans="2:38" ht="12.75" customHeight="1" x14ac:dyDescent="0.15">
      <c r="B54" s="14">
        <v>50</v>
      </c>
      <c r="C54" s="14" t="s">
        <v>116</v>
      </c>
      <c r="D54" s="14" t="s">
        <v>117</v>
      </c>
      <c r="E54" s="14">
        <v>3</v>
      </c>
      <c r="F54" s="14" t="s">
        <v>35</v>
      </c>
      <c r="H54" s="20" t="str">
        <f t="shared" si="6"/>
        <v/>
      </c>
      <c r="I54" s="16" t="str">
        <f t="shared" si="0"/>
        <v/>
      </c>
      <c r="J54" s="14"/>
      <c r="P54" s="16" t="str">
        <f t="shared" si="1"/>
        <v/>
      </c>
      <c r="Q54" s="14"/>
      <c r="W54" s="16" t="str">
        <f t="shared" si="2"/>
        <v/>
      </c>
      <c r="X54" s="14"/>
      <c r="AD54" s="16" t="str">
        <f t="shared" si="3"/>
        <v/>
      </c>
      <c r="AE54" s="14"/>
      <c r="AK54" s="16" t="str">
        <f t="shared" si="4"/>
        <v/>
      </c>
      <c r="AL54" s="14"/>
    </row>
    <row r="55" spans="2:38" s="13" customFormat="1" x14ac:dyDescent="0.15">
      <c r="B55" s="12">
        <v>51</v>
      </c>
      <c r="C55" s="12" t="s">
        <v>118</v>
      </c>
      <c r="D55" s="12" t="s">
        <v>119</v>
      </c>
      <c r="E55" s="12">
        <v>2</v>
      </c>
      <c r="F55" s="12" t="s">
        <v>35</v>
      </c>
      <c r="G55" s="22"/>
      <c r="H55" s="20" t="str">
        <f t="shared" si="6"/>
        <v/>
      </c>
      <c r="I55" s="16" t="str">
        <f t="shared" si="0"/>
        <v/>
      </c>
      <c r="J55" s="12"/>
      <c r="P55" s="16" t="str">
        <f t="shared" si="1"/>
        <v/>
      </c>
      <c r="Q55" s="12"/>
      <c r="W55" s="16" t="str">
        <f t="shared" si="2"/>
        <v/>
      </c>
      <c r="X55" s="12"/>
      <c r="AD55" s="16" t="str">
        <f t="shared" si="3"/>
        <v/>
      </c>
      <c r="AE55" s="12"/>
      <c r="AK55" s="16" t="str">
        <f t="shared" si="4"/>
        <v/>
      </c>
      <c r="AL55" s="12"/>
    </row>
    <row r="56" spans="2:38" s="13" customFormat="1" x14ac:dyDescent="0.15">
      <c r="B56" s="12">
        <v>52</v>
      </c>
      <c r="C56" s="12" t="s">
        <v>120</v>
      </c>
      <c r="D56" s="12" t="s">
        <v>121</v>
      </c>
      <c r="E56" s="12">
        <v>2</v>
      </c>
      <c r="F56" s="12" t="s">
        <v>35</v>
      </c>
      <c r="G56" s="22"/>
      <c r="H56" s="20" t="str">
        <f t="shared" si="6"/>
        <v/>
      </c>
      <c r="I56" s="16" t="str">
        <f t="shared" si="0"/>
        <v/>
      </c>
      <c r="J56" s="12"/>
      <c r="P56" s="16" t="str">
        <f t="shared" si="1"/>
        <v/>
      </c>
      <c r="Q56" s="12"/>
      <c r="W56" s="16" t="str">
        <f t="shared" si="2"/>
        <v/>
      </c>
      <c r="X56" s="12"/>
      <c r="AD56" s="16" t="str">
        <f t="shared" si="3"/>
        <v/>
      </c>
      <c r="AE56" s="12"/>
      <c r="AK56" s="16" t="str">
        <f t="shared" si="4"/>
        <v/>
      </c>
      <c r="AL56" s="12"/>
    </row>
    <row r="57" spans="2:38" x14ac:dyDescent="0.15">
      <c r="B57" s="14">
        <v>53</v>
      </c>
      <c r="C57" s="14" t="s">
        <v>122</v>
      </c>
      <c r="D57" s="14" t="s">
        <v>123</v>
      </c>
      <c r="E57" s="14">
        <v>2</v>
      </c>
      <c r="F57" s="14" t="s">
        <v>73</v>
      </c>
      <c r="H57" s="20" t="str">
        <f t="shared" si="6"/>
        <v/>
      </c>
      <c r="I57" s="16" t="str">
        <f t="shared" si="0"/>
        <v/>
      </c>
      <c r="J57" s="14"/>
      <c r="P57" s="16" t="str">
        <f t="shared" si="1"/>
        <v/>
      </c>
      <c r="Q57" s="14"/>
      <c r="W57" s="16" t="str">
        <f t="shared" si="2"/>
        <v/>
      </c>
      <c r="X57" s="14"/>
      <c r="AD57" s="16" t="str">
        <f t="shared" si="3"/>
        <v/>
      </c>
      <c r="AE57" s="14"/>
      <c r="AK57" s="16" t="str">
        <f t="shared" si="4"/>
        <v/>
      </c>
      <c r="AL57" s="14"/>
    </row>
    <row r="58" spans="2:38" x14ac:dyDescent="0.15">
      <c r="B58" s="14">
        <v>54</v>
      </c>
      <c r="C58" s="14" t="s">
        <v>9</v>
      </c>
      <c r="D58" s="14" t="s">
        <v>124</v>
      </c>
      <c r="E58" s="14">
        <v>3</v>
      </c>
      <c r="F58" s="14" t="s">
        <v>50</v>
      </c>
      <c r="H58" s="20" t="str">
        <f t="shared" si="6"/>
        <v/>
      </c>
      <c r="I58" s="16" t="str">
        <f t="shared" si="0"/>
        <v/>
      </c>
      <c r="J58" s="14"/>
      <c r="P58" s="16" t="str">
        <f t="shared" si="1"/>
        <v/>
      </c>
      <c r="Q58" s="14"/>
      <c r="W58" s="16" t="str">
        <f t="shared" si="2"/>
        <v/>
      </c>
      <c r="X58" s="14"/>
      <c r="AD58" s="16" t="str">
        <f t="shared" si="3"/>
        <v/>
      </c>
      <c r="AE58" s="14"/>
      <c r="AK58" s="16" t="str">
        <f t="shared" si="4"/>
        <v/>
      </c>
      <c r="AL58" s="14"/>
    </row>
    <row r="59" spans="2:38" x14ac:dyDescent="0.15">
      <c r="B59" s="14">
        <v>55</v>
      </c>
      <c r="C59" s="14" t="s">
        <v>125</v>
      </c>
      <c r="D59" s="14" t="s">
        <v>126</v>
      </c>
      <c r="E59" s="14">
        <v>3</v>
      </c>
      <c r="F59" s="14" t="s">
        <v>50</v>
      </c>
      <c r="H59" s="20" t="str">
        <f t="shared" si="6"/>
        <v/>
      </c>
      <c r="I59" s="16" t="str">
        <f t="shared" si="0"/>
        <v/>
      </c>
      <c r="J59" s="14"/>
      <c r="P59" s="16" t="str">
        <f t="shared" si="1"/>
        <v/>
      </c>
      <c r="Q59" s="14"/>
      <c r="W59" s="16" t="str">
        <f t="shared" si="2"/>
        <v/>
      </c>
      <c r="X59" s="14"/>
      <c r="AD59" s="16" t="str">
        <f t="shared" si="3"/>
        <v/>
      </c>
      <c r="AE59" s="14"/>
      <c r="AK59" s="16" t="str">
        <f t="shared" si="4"/>
        <v/>
      </c>
      <c r="AL59" s="14"/>
    </row>
    <row r="60" spans="2:38" x14ac:dyDescent="0.15">
      <c r="B60" s="14">
        <v>56</v>
      </c>
      <c r="C60" s="14" t="s">
        <v>127</v>
      </c>
      <c r="D60" s="14" t="s">
        <v>128</v>
      </c>
      <c r="E60" s="14">
        <v>3</v>
      </c>
      <c r="F60" s="14" t="s">
        <v>50</v>
      </c>
      <c r="H60" s="20" t="str">
        <f t="shared" si="6"/>
        <v/>
      </c>
      <c r="I60" s="16" t="str">
        <f t="shared" si="0"/>
        <v/>
      </c>
      <c r="J60" s="14"/>
      <c r="P60" s="16" t="str">
        <f t="shared" si="1"/>
        <v/>
      </c>
      <c r="Q60" s="14"/>
      <c r="W60" s="16" t="str">
        <f t="shared" si="2"/>
        <v/>
      </c>
      <c r="X60" s="14"/>
      <c r="AD60" s="16" t="str">
        <f t="shared" si="3"/>
        <v/>
      </c>
      <c r="AE60" s="14"/>
      <c r="AK60" s="16" t="str">
        <f t="shared" si="4"/>
        <v/>
      </c>
      <c r="AL60" s="14"/>
    </row>
    <row r="61" spans="2:38" x14ac:dyDescent="0.15">
      <c r="B61" s="14">
        <v>57</v>
      </c>
      <c r="C61" s="14" t="s">
        <v>129</v>
      </c>
      <c r="D61" s="14" t="s">
        <v>130</v>
      </c>
      <c r="E61" s="14">
        <v>3</v>
      </c>
      <c r="F61" s="14" t="s">
        <v>50</v>
      </c>
      <c r="H61" s="20" t="str">
        <f t="shared" si="6"/>
        <v/>
      </c>
      <c r="I61" s="16" t="str">
        <f t="shared" si="0"/>
        <v/>
      </c>
      <c r="J61" s="14"/>
      <c r="P61" s="16" t="str">
        <f t="shared" si="1"/>
        <v/>
      </c>
      <c r="Q61" s="14"/>
      <c r="W61" s="16" t="str">
        <f t="shared" si="2"/>
        <v/>
      </c>
      <c r="X61" s="14"/>
      <c r="AD61" s="16" t="str">
        <f t="shared" si="3"/>
        <v/>
      </c>
      <c r="AE61" s="14"/>
      <c r="AK61" s="16" t="str">
        <f t="shared" si="4"/>
        <v/>
      </c>
      <c r="AL61" s="14"/>
    </row>
    <row r="62" spans="2:38" x14ac:dyDescent="0.15">
      <c r="B62" s="14">
        <v>58</v>
      </c>
      <c r="C62" s="14" t="s">
        <v>131</v>
      </c>
      <c r="D62" s="14" t="s">
        <v>132</v>
      </c>
      <c r="E62" s="14">
        <v>4</v>
      </c>
      <c r="F62" s="14" t="s">
        <v>50</v>
      </c>
      <c r="H62" s="20" t="str">
        <f t="shared" si="6"/>
        <v/>
      </c>
      <c r="I62" s="16" t="str">
        <f t="shared" si="0"/>
        <v/>
      </c>
      <c r="J62" s="14"/>
      <c r="P62" s="16" t="str">
        <f t="shared" si="1"/>
        <v/>
      </c>
      <c r="Q62" s="14"/>
      <c r="W62" s="16" t="str">
        <f t="shared" si="2"/>
        <v/>
      </c>
      <c r="X62" s="14"/>
      <c r="AD62" s="16" t="str">
        <f t="shared" si="3"/>
        <v/>
      </c>
      <c r="AE62" s="14"/>
      <c r="AK62" s="16" t="str">
        <f t="shared" si="4"/>
        <v/>
      </c>
      <c r="AL62" s="14"/>
    </row>
    <row r="63" spans="2:38" x14ac:dyDescent="0.15">
      <c r="B63" s="14">
        <v>59</v>
      </c>
      <c r="C63" s="14" t="s">
        <v>133</v>
      </c>
      <c r="D63" s="14" t="s">
        <v>134</v>
      </c>
      <c r="E63" s="14">
        <v>2</v>
      </c>
      <c r="F63" s="14" t="s">
        <v>50</v>
      </c>
      <c r="H63" s="20" t="str">
        <f t="shared" si="6"/>
        <v/>
      </c>
      <c r="I63" s="16" t="str">
        <f t="shared" si="0"/>
        <v/>
      </c>
      <c r="J63" s="14"/>
      <c r="P63" s="16" t="str">
        <f t="shared" si="1"/>
        <v/>
      </c>
      <c r="Q63" s="14"/>
      <c r="W63" s="16" t="str">
        <f t="shared" si="2"/>
        <v/>
      </c>
      <c r="X63" s="14"/>
      <c r="AD63" s="16" t="str">
        <f t="shared" si="3"/>
        <v/>
      </c>
      <c r="AE63" s="14"/>
      <c r="AK63" s="16" t="str">
        <f t="shared" si="4"/>
        <v/>
      </c>
      <c r="AL63" s="14"/>
    </row>
    <row r="64" spans="2:38" x14ac:dyDescent="0.15">
      <c r="B64" s="14">
        <v>60</v>
      </c>
      <c r="C64" s="14" t="s">
        <v>135</v>
      </c>
      <c r="D64" s="14" t="s">
        <v>136</v>
      </c>
      <c r="E64" s="14">
        <v>2</v>
      </c>
      <c r="F64" s="14" t="s">
        <v>50</v>
      </c>
      <c r="H64" s="20" t="str">
        <f t="shared" si="6"/>
        <v/>
      </c>
      <c r="I64" s="16" t="str">
        <f t="shared" si="0"/>
        <v/>
      </c>
      <c r="J64" s="14"/>
      <c r="P64" s="16" t="str">
        <f t="shared" si="1"/>
        <v/>
      </c>
      <c r="Q64" s="14"/>
      <c r="W64" s="16" t="str">
        <f t="shared" si="2"/>
        <v/>
      </c>
      <c r="X64" s="14"/>
      <c r="AD64" s="16" t="str">
        <f t="shared" si="3"/>
        <v/>
      </c>
      <c r="AE64" s="14"/>
      <c r="AK64" s="16" t="str">
        <f t="shared" si="4"/>
        <v/>
      </c>
      <c r="AL64" s="14"/>
    </row>
    <row r="65" spans="2:38" x14ac:dyDescent="0.15">
      <c r="B65" s="14">
        <v>61</v>
      </c>
      <c r="C65" s="14" t="s">
        <v>137</v>
      </c>
      <c r="D65" s="14" t="s">
        <v>138</v>
      </c>
      <c r="E65" s="14">
        <v>3</v>
      </c>
      <c r="F65" s="14" t="s">
        <v>50</v>
      </c>
      <c r="H65" s="20" t="str">
        <f t="shared" si="6"/>
        <v/>
      </c>
      <c r="I65" s="16" t="str">
        <f t="shared" si="0"/>
        <v/>
      </c>
      <c r="J65" s="14"/>
      <c r="P65" s="16" t="str">
        <f t="shared" si="1"/>
        <v/>
      </c>
      <c r="Q65" s="14"/>
      <c r="W65" s="16" t="str">
        <f t="shared" si="2"/>
        <v/>
      </c>
      <c r="X65" s="14"/>
      <c r="AD65" s="16" t="str">
        <f t="shared" si="3"/>
        <v/>
      </c>
      <c r="AE65" s="14"/>
      <c r="AK65" s="16" t="str">
        <f t="shared" si="4"/>
        <v/>
      </c>
      <c r="AL65" s="14"/>
    </row>
    <row r="66" spans="2:38" x14ac:dyDescent="0.15">
      <c r="B66" s="14">
        <v>62</v>
      </c>
      <c r="C66" s="14" t="s">
        <v>139</v>
      </c>
      <c r="D66" s="14" t="s">
        <v>140</v>
      </c>
      <c r="E66" s="14">
        <v>4</v>
      </c>
      <c r="F66" s="14" t="s">
        <v>50</v>
      </c>
      <c r="H66" s="20" t="str">
        <f t="shared" si="6"/>
        <v/>
      </c>
      <c r="I66" s="16" t="str">
        <f t="shared" si="0"/>
        <v/>
      </c>
      <c r="J66" s="14"/>
      <c r="P66" s="16" t="str">
        <f t="shared" si="1"/>
        <v/>
      </c>
      <c r="Q66" s="14"/>
      <c r="W66" s="16" t="str">
        <f t="shared" si="2"/>
        <v/>
      </c>
      <c r="X66" s="14"/>
      <c r="AD66" s="16" t="str">
        <f t="shared" si="3"/>
        <v/>
      </c>
      <c r="AE66" s="14"/>
      <c r="AK66" s="16" t="str">
        <f t="shared" si="4"/>
        <v/>
      </c>
      <c r="AL66" s="14"/>
    </row>
    <row r="67" spans="2:38" x14ac:dyDescent="0.15">
      <c r="B67" s="14">
        <v>63</v>
      </c>
      <c r="C67" s="14" t="s">
        <v>141</v>
      </c>
      <c r="D67" s="14" t="s">
        <v>142</v>
      </c>
      <c r="E67" s="14">
        <v>4</v>
      </c>
      <c r="F67" s="14" t="s">
        <v>50</v>
      </c>
      <c r="H67" s="20" t="str">
        <f t="shared" si="6"/>
        <v/>
      </c>
      <c r="I67" s="16" t="str">
        <f t="shared" si="0"/>
        <v/>
      </c>
      <c r="J67" s="14"/>
      <c r="P67" s="16" t="str">
        <f t="shared" si="1"/>
        <v/>
      </c>
      <c r="Q67" s="14"/>
      <c r="W67" s="16" t="str">
        <f t="shared" si="2"/>
        <v/>
      </c>
      <c r="X67" s="14"/>
      <c r="AD67" s="16" t="str">
        <f t="shared" si="3"/>
        <v/>
      </c>
      <c r="AE67" s="14"/>
      <c r="AK67" s="16" t="str">
        <f t="shared" si="4"/>
        <v/>
      </c>
      <c r="AL67" s="14"/>
    </row>
    <row r="68" spans="2:38" x14ac:dyDescent="0.15">
      <c r="B68" s="14">
        <v>64</v>
      </c>
      <c r="C68" s="14" t="s">
        <v>143</v>
      </c>
      <c r="D68" s="14" t="s">
        <v>144</v>
      </c>
      <c r="E68" s="14">
        <v>4</v>
      </c>
      <c r="F68" s="14" t="s">
        <v>50</v>
      </c>
      <c r="H68" s="20" t="str">
        <f t="shared" si="6"/>
        <v/>
      </c>
      <c r="I68" s="16" t="str">
        <f t="shared" si="0"/>
        <v/>
      </c>
      <c r="J68" s="14"/>
      <c r="P68" s="16" t="str">
        <f t="shared" si="1"/>
        <v/>
      </c>
      <c r="Q68" s="14"/>
      <c r="W68" s="16" t="str">
        <f t="shared" si="2"/>
        <v/>
      </c>
      <c r="X68" s="14"/>
      <c r="AD68" s="16" t="str">
        <f t="shared" si="3"/>
        <v/>
      </c>
      <c r="AE68" s="14"/>
      <c r="AK68" s="16" t="str">
        <f t="shared" si="4"/>
        <v/>
      </c>
      <c r="AL68" s="14"/>
    </row>
    <row r="69" spans="2:38" x14ac:dyDescent="0.15">
      <c r="B69" s="14">
        <v>65</v>
      </c>
      <c r="C69" s="14" t="s">
        <v>145</v>
      </c>
      <c r="D69" s="14" t="s">
        <v>146</v>
      </c>
      <c r="E69" s="14">
        <v>4</v>
      </c>
      <c r="F69" s="14" t="s">
        <v>50</v>
      </c>
      <c r="H69" s="20" t="str">
        <f t="shared" si="6"/>
        <v/>
      </c>
      <c r="I69" s="16" t="str">
        <f t="shared" si="0"/>
        <v/>
      </c>
      <c r="P69" s="16" t="str">
        <f t="shared" si="1"/>
        <v/>
      </c>
      <c r="W69" s="16" t="str">
        <f t="shared" si="2"/>
        <v/>
      </c>
      <c r="AD69" s="16" t="str">
        <f t="shared" si="3"/>
        <v/>
      </c>
      <c r="AK69" s="16" t="str">
        <f t="shared" si="4"/>
        <v/>
      </c>
    </row>
    <row r="70" spans="2:38" x14ac:dyDescent="0.15">
      <c r="B70" s="14">
        <v>66</v>
      </c>
      <c r="C70" s="14" t="s">
        <v>147</v>
      </c>
      <c r="D70" s="14" t="s">
        <v>148</v>
      </c>
      <c r="E70" s="14">
        <v>3</v>
      </c>
      <c r="F70" s="14" t="s">
        <v>50</v>
      </c>
      <c r="H70" s="20" t="str">
        <f t="shared" si="6"/>
        <v/>
      </c>
      <c r="I70" s="16" t="str">
        <f t="shared" ref="I70:I104" si="7">_xlfn.LET(_xlpm.pp,IF(J70="","",J70&amp;",")&amp;IF(K70="","",K70&amp;",")&amp;IF(L70="","",L70&amp;",")&amp;IF(M70="","",M70&amp;",")&amp;IF(N70="","",N70&amp;","), IF(LEN(_xlpm.pp)&gt;0,LEFT(_xlpm.pp,LEN(_xlpm.pp)-1),_xlpm.pp))</f>
        <v/>
      </c>
      <c r="P70" s="16" t="str">
        <f t="shared" ref="P70:P104" si="8">_xlfn.LET(_xlpm.pp,IF(Q70="","",Q70&amp;",")&amp;IF(R70="","",R70&amp;",")&amp;IF(S70="","",S70&amp;",")&amp;IF(T70="","",T70&amp;",")&amp;IF(U70="","",U70&amp;","), IF(LEN(_xlpm.pp)&gt;0,LEFT(_xlpm.pp,LEN(_xlpm.pp)-1),_xlpm.pp))</f>
        <v/>
      </c>
      <c r="W70" s="16" t="str">
        <f t="shared" ref="W70:W103" si="9">_xlfn.LET(_xlpm.pp,IF(X70="","",X70&amp;",")&amp;IF(Y70="","",Y70&amp;",")&amp;IF(Z70="","",Z70&amp;",")&amp;IF(AA70="","",AA70&amp;",")&amp;IF(AB70="","",AB70&amp;","), IF(LEN(_xlpm.pp)&gt;0,LEFT(_xlpm.pp,LEN(_xlpm.pp)-1),_xlpm.pp))</f>
        <v/>
      </c>
      <c r="AD70" s="16" t="str">
        <f t="shared" ref="AD70:AD103" si="10">_xlfn.LET(_xlpm.pp,IF(AE70="","",AE70&amp;",")&amp;IF(AF70="","",AF70&amp;",")&amp;IF(AG70="","",AG70&amp;",")&amp;IF(AH70="","",AH70&amp;",")&amp;IF(AI70="","",AI70&amp;","), IF(LEN(_xlpm.pp)&gt;0,LEFT(_xlpm.pp,LEN(_xlpm.pp)-1),_xlpm.pp))</f>
        <v/>
      </c>
      <c r="AK70" s="16" t="str">
        <f t="shared" ref="AK70:AK103" si="11">_xlfn.LET(_xlpm.pp,IF(AL70="","",AL70&amp;",")&amp;IF(AM70="","",AM70&amp;",")&amp;IF(AN70="","",AN70&amp;",")&amp;IF(AO70="","",AO70&amp;",")&amp;IF(AP70="","",AP70&amp;","), IF(LEN(_xlpm.pp)&gt;0,LEFT(_xlpm.pp,LEN(_xlpm.pp)-1),_xlpm.pp))</f>
        <v/>
      </c>
    </row>
    <row r="71" spans="2:38" x14ac:dyDescent="0.15">
      <c r="B71" s="14">
        <v>67</v>
      </c>
      <c r="C71" s="14" t="s">
        <v>149</v>
      </c>
      <c r="D71" s="14" t="s">
        <v>150</v>
      </c>
      <c r="E71" s="14">
        <v>3</v>
      </c>
      <c r="F71" s="14" t="s">
        <v>50</v>
      </c>
      <c r="H71" s="20" t="str">
        <f t="shared" si="6"/>
        <v/>
      </c>
      <c r="I71" s="16" t="str">
        <f t="shared" si="7"/>
        <v/>
      </c>
      <c r="P71" s="16" t="str">
        <f t="shared" si="8"/>
        <v/>
      </c>
      <c r="W71" s="16" t="str">
        <f t="shared" si="9"/>
        <v/>
      </c>
      <c r="AD71" s="16" t="str">
        <f t="shared" si="10"/>
        <v/>
      </c>
      <c r="AK71" s="16" t="str">
        <f t="shared" si="11"/>
        <v/>
      </c>
    </row>
    <row r="72" spans="2:38" x14ac:dyDescent="0.15">
      <c r="B72" s="14">
        <v>68</v>
      </c>
      <c r="C72" s="14" t="s">
        <v>151</v>
      </c>
      <c r="D72" s="14" t="s">
        <v>152</v>
      </c>
      <c r="E72" s="14">
        <v>3</v>
      </c>
      <c r="F72" s="14" t="s">
        <v>50</v>
      </c>
      <c r="H72" s="20" t="str">
        <f t="shared" si="6"/>
        <v/>
      </c>
      <c r="I72" s="16" t="str">
        <f t="shared" si="7"/>
        <v/>
      </c>
      <c r="P72" s="16" t="str">
        <f t="shared" si="8"/>
        <v/>
      </c>
      <c r="W72" s="16" t="str">
        <f t="shared" si="9"/>
        <v/>
      </c>
      <c r="AD72" s="16" t="str">
        <f t="shared" si="10"/>
        <v/>
      </c>
      <c r="AK72" s="16" t="str">
        <f t="shared" si="11"/>
        <v/>
      </c>
    </row>
    <row r="73" spans="2:38" x14ac:dyDescent="0.15">
      <c r="B73" s="14">
        <v>69</v>
      </c>
      <c r="C73" s="14" t="s">
        <v>153</v>
      </c>
      <c r="D73" s="14" t="s">
        <v>154</v>
      </c>
      <c r="E73" s="14">
        <v>3</v>
      </c>
      <c r="F73" s="14" t="s">
        <v>50</v>
      </c>
      <c r="H73" s="20" t="str">
        <f t="shared" si="6"/>
        <v/>
      </c>
      <c r="I73" s="16" t="str">
        <f t="shared" si="7"/>
        <v/>
      </c>
      <c r="P73" s="16" t="str">
        <f t="shared" si="8"/>
        <v/>
      </c>
      <c r="W73" s="16" t="str">
        <f t="shared" si="9"/>
        <v/>
      </c>
      <c r="AD73" s="16" t="str">
        <f t="shared" si="10"/>
        <v/>
      </c>
      <c r="AK73" s="16" t="str">
        <f t="shared" si="11"/>
        <v/>
      </c>
    </row>
    <row r="74" spans="2:38" x14ac:dyDescent="0.15">
      <c r="B74" s="14">
        <v>70</v>
      </c>
      <c r="C74" s="14" t="s">
        <v>155</v>
      </c>
      <c r="D74" s="14" t="s">
        <v>156</v>
      </c>
      <c r="E74" s="14">
        <v>3</v>
      </c>
      <c r="F74" s="14" t="s">
        <v>50</v>
      </c>
      <c r="H74" s="20" t="str">
        <f t="shared" si="6"/>
        <v/>
      </c>
      <c r="I74" s="16" t="str">
        <f t="shared" si="7"/>
        <v/>
      </c>
      <c r="P74" s="16" t="str">
        <f t="shared" si="8"/>
        <v/>
      </c>
      <c r="W74" s="16" t="str">
        <f t="shared" si="9"/>
        <v/>
      </c>
      <c r="AD74" s="16" t="str">
        <f t="shared" si="10"/>
        <v/>
      </c>
      <c r="AK74" s="16" t="str">
        <f t="shared" si="11"/>
        <v/>
      </c>
    </row>
    <row r="75" spans="2:38" x14ac:dyDescent="0.15">
      <c r="B75" s="14">
        <v>71</v>
      </c>
      <c r="C75" s="14" t="s">
        <v>157</v>
      </c>
      <c r="D75" s="14" t="s">
        <v>158</v>
      </c>
      <c r="E75" s="14">
        <v>3</v>
      </c>
      <c r="F75" s="14" t="s">
        <v>50</v>
      </c>
      <c r="H75" s="20" t="str">
        <f t="shared" si="6"/>
        <v/>
      </c>
      <c r="I75" s="16" t="str">
        <f t="shared" si="7"/>
        <v/>
      </c>
      <c r="P75" s="16" t="str">
        <f t="shared" si="8"/>
        <v/>
      </c>
      <c r="W75" s="16" t="str">
        <f t="shared" si="9"/>
        <v/>
      </c>
      <c r="AD75" s="16" t="str">
        <f t="shared" si="10"/>
        <v/>
      </c>
      <c r="AK75" s="16" t="str">
        <f t="shared" si="11"/>
        <v/>
      </c>
    </row>
    <row r="76" spans="2:38" x14ac:dyDescent="0.15">
      <c r="B76" s="14">
        <v>72</v>
      </c>
      <c r="C76" s="14" t="s">
        <v>159</v>
      </c>
      <c r="D76" s="14" t="s">
        <v>160</v>
      </c>
      <c r="E76" s="14">
        <v>4</v>
      </c>
      <c r="F76" s="14" t="s">
        <v>50</v>
      </c>
      <c r="H76" s="20" t="str">
        <f t="shared" si="6"/>
        <v/>
      </c>
      <c r="I76" s="16" t="str">
        <f t="shared" si="7"/>
        <v/>
      </c>
      <c r="P76" s="16" t="str">
        <f t="shared" si="8"/>
        <v/>
      </c>
      <c r="W76" s="16" t="str">
        <f t="shared" si="9"/>
        <v/>
      </c>
      <c r="AD76" s="16" t="str">
        <f t="shared" si="10"/>
        <v/>
      </c>
      <c r="AK76" s="16" t="str">
        <f t="shared" si="11"/>
        <v/>
      </c>
    </row>
    <row r="77" spans="2:38" x14ac:dyDescent="0.15">
      <c r="B77" s="14">
        <v>73</v>
      </c>
      <c r="C77" s="14" t="s">
        <v>161</v>
      </c>
      <c r="D77" s="14" t="s">
        <v>162</v>
      </c>
      <c r="E77" s="14">
        <v>2</v>
      </c>
      <c r="F77" s="14" t="s">
        <v>163</v>
      </c>
      <c r="H77" s="20" t="str">
        <f t="shared" si="6"/>
        <v/>
      </c>
      <c r="I77" s="16" t="str">
        <f t="shared" si="7"/>
        <v/>
      </c>
      <c r="P77" s="16" t="str">
        <f t="shared" si="8"/>
        <v/>
      </c>
      <c r="W77" s="16" t="str">
        <f t="shared" si="9"/>
        <v/>
      </c>
      <c r="AD77" s="16" t="str">
        <f t="shared" si="10"/>
        <v/>
      </c>
      <c r="AK77" s="16" t="str">
        <f t="shared" si="11"/>
        <v/>
      </c>
    </row>
    <row r="78" spans="2:38" x14ac:dyDescent="0.15">
      <c r="B78" s="14">
        <v>74</v>
      </c>
      <c r="C78" s="14" t="s">
        <v>164</v>
      </c>
      <c r="D78" s="14" t="s">
        <v>165</v>
      </c>
      <c r="E78" s="14">
        <v>2</v>
      </c>
      <c r="F78" s="14" t="s">
        <v>163</v>
      </c>
      <c r="H78" s="20" t="str">
        <f t="shared" si="6"/>
        <v/>
      </c>
      <c r="I78" s="16" t="str">
        <f t="shared" si="7"/>
        <v/>
      </c>
      <c r="P78" s="16" t="str">
        <f t="shared" si="8"/>
        <v/>
      </c>
      <c r="W78" s="16" t="str">
        <f t="shared" si="9"/>
        <v/>
      </c>
      <c r="AD78" s="16" t="str">
        <f t="shared" si="10"/>
        <v/>
      </c>
      <c r="AK78" s="16" t="str">
        <f t="shared" si="11"/>
        <v/>
      </c>
    </row>
    <row r="79" spans="2:38" x14ac:dyDescent="0.15">
      <c r="B79" s="14">
        <v>75</v>
      </c>
      <c r="C79" s="14" t="s">
        <v>166</v>
      </c>
      <c r="D79" s="14" t="s">
        <v>167</v>
      </c>
      <c r="E79" s="14">
        <v>3</v>
      </c>
      <c r="F79" s="14" t="s">
        <v>163</v>
      </c>
      <c r="H79" s="20" t="str">
        <f t="shared" si="6"/>
        <v/>
      </c>
      <c r="I79" s="16" t="str">
        <f t="shared" si="7"/>
        <v/>
      </c>
      <c r="P79" s="16" t="str">
        <f t="shared" si="8"/>
        <v/>
      </c>
      <c r="W79" s="16" t="str">
        <f t="shared" si="9"/>
        <v/>
      </c>
      <c r="AD79" s="16" t="str">
        <f t="shared" si="10"/>
        <v/>
      </c>
      <c r="AK79" s="16" t="str">
        <f t="shared" si="11"/>
        <v/>
      </c>
    </row>
    <row r="80" spans="2:38" s="13" customFormat="1" x14ac:dyDescent="0.15">
      <c r="B80" s="12">
        <v>76</v>
      </c>
      <c r="C80" s="12" t="s">
        <v>168</v>
      </c>
      <c r="D80" s="12" t="s">
        <v>169</v>
      </c>
      <c r="E80" s="12">
        <v>3</v>
      </c>
      <c r="F80" s="12" t="s">
        <v>163</v>
      </c>
      <c r="G80" s="22"/>
      <c r="H80" s="20" t="str">
        <f t="shared" si="6"/>
        <v/>
      </c>
      <c r="I80" s="16" t="str">
        <f t="shared" si="7"/>
        <v/>
      </c>
      <c r="P80" s="16" t="str">
        <f t="shared" si="8"/>
        <v/>
      </c>
      <c r="W80" s="16" t="str">
        <f t="shared" si="9"/>
        <v/>
      </c>
      <c r="AD80" s="16" t="str">
        <f t="shared" si="10"/>
        <v/>
      </c>
      <c r="AK80" s="16" t="str">
        <f t="shared" si="11"/>
        <v/>
      </c>
    </row>
    <row r="81" spans="2:37" s="13" customFormat="1" x14ac:dyDescent="0.15">
      <c r="B81" s="12">
        <v>77</v>
      </c>
      <c r="C81" s="12" t="s">
        <v>170</v>
      </c>
      <c r="D81" s="12" t="s">
        <v>171</v>
      </c>
      <c r="E81" s="12">
        <v>2</v>
      </c>
      <c r="F81" s="12" t="s">
        <v>163</v>
      </c>
      <c r="G81" s="22"/>
      <c r="H81" s="20" t="str">
        <f t="shared" si="6"/>
        <v/>
      </c>
      <c r="I81" s="16" t="str">
        <f t="shared" si="7"/>
        <v/>
      </c>
      <c r="P81" s="16" t="str">
        <f t="shared" si="8"/>
        <v/>
      </c>
      <c r="W81" s="16" t="str">
        <f t="shared" si="9"/>
        <v/>
      </c>
      <c r="AD81" s="16" t="str">
        <f t="shared" si="10"/>
        <v/>
      </c>
      <c r="AK81" s="16" t="str">
        <f t="shared" si="11"/>
        <v/>
      </c>
    </row>
    <row r="82" spans="2:37" s="13" customFormat="1" x14ac:dyDescent="0.15">
      <c r="B82" s="12">
        <v>78</v>
      </c>
      <c r="C82" s="12" t="s">
        <v>172</v>
      </c>
      <c r="D82" s="12" t="s">
        <v>173</v>
      </c>
      <c r="E82" s="12">
        <v>2</v>
      </c>
      <c r="F82" s="12" t="s">
        <v>163</v>
      </c>
      <c r="G82" s="22"/>
      <c r="H82" s="20" t="str">
        <f t="shared" si="6"/>
        <v/>
      </c>
      <c r="I82" s="16" t="str">
        <f t="shared" si="7"/>
        <v/>
      </c>
      <c r="P82" s="16" t="str">
        <f t="shared" si="8"/>
        <v/>
      </c>
      <c r="W82" s="16" t="str">
        <f t="shared" si="9"/>
        <v/>
      </c>
      <c r="AD82" s="16" t="str">
        <f t="shared" si="10"/>
        <v/>
      </c>
      <c r="AK82" s="16" t="str">
        <f t="shared" si="11"/>
        <v/>
      </c>
    </row>
    <row r="83" spans="2:37" s="13" customFormat="1" x14ac:dyDescent="0.15">
      <c r="B83" s="12">
        <v>79</v>
      </c>
      <c r="C83" s="12" t="s">
        <v>174</v>
      </c>
      <c r="D83" s="12" t="s">
        <v>175</v>
      </c>
      <c r="E83" s="12">
        <v>2</v>
      </c>
      <c r="F83" s="12" t="s">
        <v>163</v>
      </c>
      <c r="G83" s="22"/>
      <c r="H83" s="20" t="str">
        <f t="shared" si="6"/>
        <v/>
      </c>
      <c r="I83" s="16" t="str">
        <f t="shared" si="7"/>
        <v/>
      </c>
      <c r="P83" s="16" t="str">
        <f t="shared" si="8"/>
        <v/>
      </c>
      <c r="W83" s="16" t="str">
        <f t="shared" si="9"/>
        <v/>
      </c>
      <c r="AD83" s="16" t="str">
        <f t="shared" si="10"/>
        <v/>
      </c>
      <c r="AK83" s="16" t="str">
        <f t="shared" si="11"/>
        <v/>
      </c>
    </row>
    <row r="84" spans="2:37" s="13" customFormat="1" x14ac:dyDescent="0.15">
      <c r="B84" s="12">
        <v>80</v>
      </c>
      <c r="C84" s="12" t="s">
        <v>176</v>
      </c>
      <c r="D84" s="12" t="s">
        <v>177</v>
      </c>
      <c r="E84" s="12">
        <v>2</v>
      </c>
      <c r="F84" s="12" t="s">
        <v>10</v>
      </c>
      <c r="G84" s="22"/>
      <c r="H84" s="20" t="str">
        <f t="shared" si="6"/>
        <v/>
      </c>
      <c r="I84" s="16" t="str">
        <f t="shared" si="7"/>
        <v/>
      </c>
      <c r="P84" s="16" t="str">
        <f t="shared" si="8"/>
        <v/>
      </c>
      <c r="W84" s="16" t="str">
        <f t="shared" si="9"/>
        <v/>
      </c>
      <c r="AD84" s="16" t="str">
        <f t="shared" si="10"/>
        <v/>
      </c>
      <c r="AK84" s="16" t="str">
        <f t="shared" si="11"/>
        <v/>
      </c>
    </row>
    <row r="85" spans="2:37" s="13" customFormat="1" x14ac:dyDescent="0.15">
      <c r="B85" s="12">
        <v>81</v>
      </c>
      <c r="C85" s="12" t="s">
        <v>178</v>
      </c>
      <c r="D85" s="12" t="s">
        <v>179</v>
      </c>
      <c r="E85" s="12">
        <v>2</v>
      </c>
      <c r="F85" s="12" t="s">
        <v>10</v>
      </c>
      <c r="G85" s="22"/>
      <c r="H85" s="20" t="str">
        <f t="shared" si="6"/>
        <v/>
      </c>
      <c r="I85" s="16" t="str">
        <f t="shared" si="7"/>
        <v/>
      </c>
      <c r="P85" s="16" t="str">
        <f t="shared" si="8"/>
        <v/>
      </c>
      <c r="W85" s="16" t="str">
        <f t="shared" si="9"/>
        <v/>
      </c>
      <c r="AD85" s="16" t="str">
        <f t="shared" si="10"/>
        <v/>
      </c>
      <c r="AK85" s="16" t="str">
        <f t="shared" si="11"/>
        <v/>
      </c>
    </row>
    <row r="86" spans="2:37" s="13" customFormat="1" x14ac:dyDescent="0.15">
      <c r="B86" s="12">
        <v>82</v>
      </c>
      <c r="C86" s="12" t="s">
        <v>180</v>
      </c>
      <c r="D86" s="12" t="s">
        <v>181</v>
      </c>
      <c r="E86" s="12">
        <v>2</v>
      </c>
      <c r="F86" s="12" t="s">
        <v>10</v>
      </c>
      <c r="G86" s="22"/>
      <c r="H86" s="20" t="str">
        <f t="shared" si="6"/>
        <v/>
      </c>
      <c r="I86" s="16" t="str">
        <f t="shared" si="7"/>
        <v/>
      </c>
      <c r="P86" s="16" t="str">
        <f t="shared" si="8"/>
        <v/>
      </c>
      <c r="W86" s="16" t="str">
        <f t="shared" si="9"/>
        <v/>
      </c>
      <c r="AD86" s="16" t="str">
        <f t="shared" si="10"/>
        <v/>
      </c>
      <c r="AK86" s="16" t="str">
        <f t="shared" si="11"/>
        <v/>
      </c>
    </row>
    <row r="87" spans="2:37" s="13" customFormat="1" x14ac:dyDescent="0.15">
      <c r="B87" s="12">
        <v>83</v>
      </c>
      <c r="C87" s="12" t="s">
        <v>8</v>
      </c>
      <c r="D87" s="12" t="s">
        <v>182</v>
      </c>
      <c r="E87" s="12">
        <v>2</v>
      </c>
      <c r="F87" s="12" t="s">
        <v>10</v>
      </c>
      <c r="G87" s="22"/>
      <c r="H87" s="20" t="str">
        <f t="shared" si="6"/>
        <v/>
      </c>
      <c r="I87" s="16" t="str">
        <f t="shared" si="7"/>
        <v/>
      </c>
      <c r="P87" s="16" t="str">
        <f t="shared" si="8"/>
        <v/>
      </c>
      <c r="W87" s="16" t="str">
        <f t="shared" si="9"/>
        <v/>
      </c>
      <c r="AD87" s="16" t="str">
        <f t="shared" si="10"/>
        <v/>
      </c>
      <c r="AK87" s="16" t="str">
        <f t="shared" si="11"/>
        <v/>
      </c>
    </row>
    <row r="88" spans="2:37" s="13" customFormat="1" x14ac:dyDescent="0.15">
      <c r="B88" s="12">
        <v>84</v>
      </c>
      <c r="C88" s="12" t="s">
        <v>183</v>
      </c>
      <c r="D88" s="12" t="s">
        <v>184</v>
      </c>
      <c r="E88" s="12">
        <v>2</v>
      </c>
      <c r="F88" s="12" t="s">
        <v>10</v>
      </c>
      <c r="G88" s="22"/>
      <c r="H88" s="20" t="str">
        <f t="shared" si="6"/>
        <v/>
      </c>
      <c r="I88" s="16" t="str">
        <f t="shared" si="7"/>
        <v/>
      </c>
      <c r="P88" s="16" t="str">
        <f t="shared" si="8"/>
        <v/>
      </c>
      <c r="W88" s="16" t="str">
        <f t="shared" si="9"/>
        <v/>
      </c>
      <c r="AD88" s="16" t="str">
        <f t="shared" si="10"/>
        <v/>
      </c>
      <c r="AK88" s="16" t="str">
        <f t="shared" si="11"/>
        <v/>
      </c>
    </row>
    <row r="89" spans="2:37" s="13" customFormat="1" x14ac:dyDescent="0.15">
      <c r="B89" s="12">
        <v>85</v>
      </c>
      <c r="C89" s="12" t="s">
        <v>185</v>
      </c>
      <c r="D89" s="12" t="s">
        <v>186</v>
      </c>
      <c r="E89" s="12">
        <v>2</v>
      </c>
      <c r="F89" s="12" t="s">
        <v>10</v>
      </c>
      <c r="G89" s="22"/>
      <c r="H89" s="20" t="str">
        <f t="shared" si="6"/>
        <v/>
      </c>
      <c r="I89" s="16" t="str">
        <f t="shared" si="7"/>
        <v/>
      </c>
      <c r="P89" s="16" t="str">
        <f t="shared" si="8"/>
        <v/>
      </c>
      <c r="W89" s="16" t="str">
        <f t="shared" si="9"/>
        <v/>
      </c>
      <c r="AD89" s="16" t="str">
        <f t="shared" si="10"/>
        <v/>
      </c>
      <c r="AK89" s="16" t="str">
        <f t="shared" si="11"/>
        <v/>
      </c>
    </row>
    <row r="90" spans="2:37" s="13" customFormat="1" x14ac:dyDescent="0.15">
      <c r="B90" s="12">
        <v>86</v>
      </c>
      <c r="C90" s="12" t="s">
        <v>187</v>
      </c>
      <c r="D90" s="12" t="s">
        <v>188</v>
      </c>
      <c r="E90" s="12">
        <v>2</v>
      </c>
      <c r="F90" s="12" t="s">
        <v>10</v>
      </c>
      <c r="G90" s="22"/>
      <c r="H90" s="20" t="str">
        <f t="shared" si="6"/>
        <v/>
      </c>
      <c r="I90" s="16" t="str">
        <f t="shared" si="7"/>
        <v/>
      </c>
      <c r="P90" s="16" t="str">
        <f t="shared" si="8"/>
        <v/>
      </c>
      <c r="W90" s="16" t="str">
        <f t="shared" si="9"/>
        <v/>
      </c>
      <c r="AD90" s="16" t="str">
        <f t="shared" si="10"/>
        <v/>
      </c>
      <c r="AK90" s="16" t="str">
        <f t="shared" si="11"/>
        <v/>
      </c>
    </row>
    <row r="91" spans="2:37" s="13" customFormat="1" x14ac:dyDescent="0.15">
      <c r="B91" s="12">
        <v>87</v>
      </c>
      <c r="C91" s="12" t="s">
        <v>189</v>
      </c>
      <c r="D91" s="12" t="s">
        <v>190</v>
      </c>
      <c r="E91" s="12">
        <v>2</v>
      </c>
      <c r="F91" s="12" t="s">
        <v>10</v>
      </c>
      <c r="G91" s="22"/>
      <c r="H91" s="20" t="str">
        <f t="shared" si="6"/>
        <v/>
      </c>
      <c r="I91" s="16" t="str">
        <f t="shared" si="7"/>
        <v/>
      </c>
      <c r="P91" s="16" t="str">
        <f t="shared" si="8"/>
        <v/>
      </c>
      <c r="W91" s="16" t="str">
        <f t="shared" si="9"/>
        <v/>
      </c>
      <c r="AD91" s="16" t="str">
        <f t="shared" si="10"/>
        <v/>
      </c>
      <c r="AK91" s="16" t="str">
        <f t="shared" si="11"/>
        <v/>
      </c>
    </row>
    <row r="92" spans="2:37" s="13" customFormat="1" x14ac:dyDescent="0.15">
      <c r="B92" s="12">
        <v>88</v>
      </c>
      <c r="C92" s="12" t="s">
        <v>191</v>
      </c>
      <c r="D92" s="12" t="s">
        <v>192</v>
      </c>
      <c r="E92" s="12">
        <v>3</v>
      </c>
      <c r="F92" s="12" t="s">
        <v>193</v>
      </c>
      <c r="G92" s="22"/>
      <c r="H92" s="20" t="str">
        <f t="shared" si="6"/>
        <v/>
      </c>
      <c r="I92" s="16" t="str">
        <f t="shared" si="7"/>
        <v/>
      </c>
      <c r="P92" s="16" t="str">
        <f t="shared" si="8"/>
        <v/>
      </c>
      <c r="W92" s="16" t="str">
        <f t="shared" si="9"/>
        <v/>
      </c>
      <c r="AD92" s="16" t="str">
        <f t="shared" si="10"/>
        <v/>
      </c>
      <c r="AK92" s="16" t="str">
        <f t="shared" si="11"/>
        <v/>
      </c>
    </row>
    <row r="93" spans="2:37" s="13" customFormat="1" x14ac:dyDescent="0.15">
      <c r="B93" s="12">
        <v>89</v>
      </c>
      <c r="C93" s="12" t="s">
        <v>194</v>
      </c>
      <c r="D93" s="12" t="s">
        <v>195</v>
      </c>
      <c r="E93" s="12">
        <v>3</v>
      </c>
      <c r="F93" s="12" t="s">
        <v>193</v>
      </c>
      <c r="G93" s="22"/>
      <c r="H93" s="20" t="str">
        <f t="shared" si="6"/>
        <v/>
      </c>
      <c r="I93" s="16" t="str">
        <f t="shared" si="7"/>
        <v/>
      </c>
      <c r="P93" s="16" t="str">
        <f t="shared" si="8"/>
        <v/>
      </c>
      <c r="W93" s="16" t="str">
        <f t="shared" si="9"/>
        <v/>
      </c>
      <c r="AD93" s="16" t="str">
        <f t="shared" si="10"/>
        <v/>
      </c>
      <c r="AK93" s="16" t="str">
        <f t="shared" si="11"/>
        <v/>
      </c>
    </row>
    <row r="94" spans="2:37" s="13" customFormat="1" x14ac:dyDescent="0.15">
      <c r="B94" s="12">
        <v>90</v>
      </c>
      <c r="C94" s="12" t="s">
        <v>196</v>
      </c>
      <c r="D94" s="12" t="s">
        <v>197</v>
      </c>
      <c r="E94" s="12">
        <v>3</v>
      </c>
      <c r="F94" s="12" t="s">
        <v>193</v>
      </c>
      <c r="G94" s="22"/>
      <c r="H94" s="20" t="str">
        <f t="shared" si="6"/>
        <v/>
      </c>
      <c r="I94" s="16" t="str">
        <f t="shared" si="7"/>
        <v/>
      </c>
      <c r="P94" s="16" t="str">
        <f t="shared" si="8"/>
        <v/>
      </c>
      <c r="W94" s="16" t="str">
        <f t="shared" si="9"/>
        <v/>
      </c>
      <c r="AD94" s="16" t="str">
        <f t="shared" si="10"/>
        <v/>
      </c>
      <c r="AK94" s="16" t="str">
        <f t="shared" si="11"/>
        <v/>
      </c>
    </row>
    <row r="95" spans="2:37" s="13" customFormat="1" x14ac:dyDescent="0.15">
      <c r="B95" s="12">
        <v>91</v>
      </c>
      <c r="C95" s="12" t="s">
        <v>198</v>
      </c>
      <c r="D95" s="12" t="s">
        <v>199</v>
      </c>
      <c r="E95" s="12">
        <v>3</v>
      </c>
      <c r="F95" s="12" t="s">
        <v>193</v>
      </c>
      <c r="G95" s="22"/>
      <c r="H95" s="20" t="str">
        <f t="shared" si="6"/>
        <v/>
      </c>
      <c r="I95" s="16" t="str">
        <f t="shared" si="7"/>
        <v/>
      </c>
      <c r="P95" s="16" t="str">
        <f t="shared" si="8"/>
        <v/>
      </c>
      <c r="W95" s="16" t="str">
        <f t="shared" si="9"/>
        <v/>
      </c>
      <c r="AD95" s="16" t="str">
        <f t="shared" si="10"/>
        <v/>
      </c>
      <c r="AK95" s="16" t="str">
        <f t="shared" si="11"/>
        <v/>
      </c>
    </row>
    <row r="96" spans="2:37" s="13" customFormat="1" x14ac:dyDescent="0.15">
      <c r="B96" s="12">
        <v>92</v>
      </c>
      <c r="C96" s="12" t="s">
        <v>200</v>
      </c>
      <c r="D96" s="12" t="s">
        <v>201</v>
      </c>
      <c r="E96" s="12">
        <v>2</v>
      </c>
      <c r="F96" s="12" t="s">
        <v>202</v>
      </c>
      <c r="G96" s="22"/>
      <c r="H96" s="20" t="str">
        <f t="shared" si="6"/>
        <v/>
      </c>
      <c r="I96" s="16" t="str">
        <f t="shared" si="7"/>
        <v/>
      </c>
      <c r="P96" s="16" t="str">
        <f t="shared" si="8"/>
        <v/>
      </c>
      <c r="W96" s="16" t="str">
        <f t="shared" si="9"/>
        <v/>
      </c>
      <c r="AD96" s="16" t="str">
        <f t="shared" si="10"/>
        <v/>
      </c>
      <c r="AK96" s="16" t="str">
        <f t="shared" si="11"/>
        <v/>
      </c>
    </row>
    <row r="97" spans="2:37" s="13" customFormat="1" x14ac:dyDescent="0.15">
      <c r="B97" s="12">
        <v>93</v>
      </c>
      <c r="C97" s="12" t="s">
        <v>203</v>
      </c>
      <c r="D97" s="12" t="s">
        <v>204</v>
      </c>
      <c r="E97" s="12">
        <v>2</v>
      </c>
      <c r="F97" s="12" t="s">
        <v>202</v>
      </c>
      <c r="G97" s="22"/>
      <c r="H97" s="20" t="str">
        <f t="shared" si="6"/>
        <v/>
      </c>
      <c r="I97" s="16" t="str">
        <f t="shared" si="7"/>
        <v/>
      </c>
      <c r="P97" s="16" t="str">
        <f t="shared" si="8"/>
        <v/>
      </c>
      <c r="W97" s="16" t="str">
        <f t="shared" si="9"/>
        <v/>
      </c>
      <c r="AD97" s="16" t="str">
        <f t="shared" si="10"/>
        <v/>
      </c>
      <c r="AK97" s="16" t="str">
        <f t="shared" si="11"/>
        <v/>
      </c>
    </row>
    <row r="98" spans="2:37" s="13" customFormat="1" x14ac:dyDescent="0.15">
      <c r="B98" s="12">
        <v>94</v>
      </c>
      <c r="C98" s="12" t="s">
        <v>205</v>
      </c>
      <c r="D98" s="12" t="s">
        <v>206</v>
      </c>
      <c r="E98" s="12">
        <v>2</v>
      </c>
      <c r="F98" s="12" t="s">
        <v>202</v>
      </c>
      <c r="G98" s="22"/>
      <c r="H98" s="20" t="str">
        <f t="shared" si="6"/>
        <v/>
      </c>
      <c r="I98" s="16" t="str">
        <f t="shared" si="7"/>
        <v/>
      </c>
      <c r="P98" s="16" t="str">
        <f t="shared" si="8"/>
        <v/>
      </c>
      <c r="W98" s="16" t="str">
        <f t="shared" si="9"/>
        <v/>
      </c>
      <c r="AD98" s="16" t="str">
        <f t="shared" si="10"/>
        <v/>
      </c>
      <c r="AK98" s="16" t="str">
        <f t="shared" si="11"/>
        <v/>
      </c>
    </row>
    <row r="99" spans="2:37" s="13" customFormat="1" x14ac:dyDescent="0.15">
      <c r="B99" s="12">
        <v>95</v>
      </c>
      <c r="C99" s="12" t="s">
        <v>207</v>
      </c>
      <c r="D99" s="12" t="s">
        <v>208</v>
      </c>
      <c r="E99" s="12">
        <v>2</v>
      </c>
      <c r="F99" s="12" t="s">
        <v>202</v>
      </c>
      <c r="G99" s="22"/>
      <c r="H99" s="20" t="str">
        <f t="shared" si="6"/>
        <v/>
      </c>
      <c r="I99" s="16" t="str">
        <f t="shared" si="7"/>
        <v/>
      </c>
      <c r="P99" s="16" t="str">
        <f t="shared" si="8"/>
        <v/>
      </c>
      <c r="W99" s="16" t="str">
        <f t="shared" si="9"/>
        <v/>
      </c>
      <c r="AD99" s="16" t="str">
        <f t="shared" si="10"/>
        <v/>
      </c>
      <c r="AK99" s="16" t="str">
        <f t="shared" si="11"/>
        <v/>
      </c>
    </row>
    <row r="100" spans="2:37" s="13" customFormat="1" x14ac:dyDescent="0.15">
      <c r="B100" s="12">
        <v>96</v>
      </c>
      <c r="C100" s="12" t="s">
        <v>209</v>
      </c>
      <c r="D100" s="12" t="s">
        <v>210</v>
      </c>
      <c r="E100" s="12">
        <v>2</v>
      </c>
      <c r="F100" s="12" t="s">
        <v>202</v>
      </c>
      <c r="G100" s="22"/>
      <c r="H100" s="20" t="str">
        <f t="shared" si="6"/>
        <v/>
      </c>
      <c r="I100" s="16" t="str">
        <f t="shared" si="7"/>
        <v/>
      </c>
      <c r="P100" s="16" t="str">
        <f t="shared" si="8"/>
        <v/>
      </c>
      <c r="W100" s="16" t="str">
        <f t="shared" si="9"/>
        <v/>
      </c>
      <c r="AD100" s="16" t="str">
        <f t="shared" si="10"/>
        <v/>
      </c>
      <c r="AK100" s="16" t="str">
        <f t="shared" si="11"/>
        <v/>
      </c>
    </row>
    <row r="101" spans="2:37" s="13" customFormat="1" x14ac:dyDescent="0.15">
      <c r="B101" s="12">
        <v>97</v>
      </c>
      <c r="C101" s="12" t="s">
        <v>211</v>
      </c>
      <c r="D101" s="12" t="s">
        <v>212</v>
      </c>
      <c r="E101" s="12">
        <v>2</v>
      </c>
      <c r="F101" s="12" t="s">
        <v>202</v>
      </c>
      <c r="G101" s="22"/>
      <c r="H101" s="20" t="str">
        <f t="shared" si="6"/>
        <v/>
      </c>
      <c r="I101" s="16" t="str">
        <f t="shared" si="7"/>
        <v/>
      </c>
      <c r="P101" s="16" t="str">
        <f t="shared" si="8"/>
        <v/>
      </c>
      <c r="W101" s="16" t="str">
        <f t="shared" si="9"/>
        <v/>
      </c>
      <c r="AD101" s="16" t="str">
        <f t="shared" si="10"/>
        <v/>
      </c>
      <c r="AK101" s="16" t="str">
        <f t="shared" si="11"/>
        <v/>
      </c>
    </row>
    <row r="102" spans="2:37" s="13" customFormat="1" x14ac:dyDescent="0.15">
      <c r="B102" s="12">
        <v>98</v>
      </c>
      <c r="C102" s="12" t="s">
        <v>213</v>
      </c>
      <c r="D102" s="12" t="s">
        <v>214</v>
      </c>
      <c r="E102" s="12">
        <v>2</v>
      </c>
      <c r="F102" s="12" t="s">
        <v>202</v>
      </c>
      <c r="G102" s="22"/>
      <c r="H102" s="20" t="str">
        <f t="shared" si="6"/>
        <v/>
      </c>
      <c r="I102" s="16" t="str">
        <f t="shared" si="7"/>
        <v/>
      </c>
      <c r="P102" s="16" t="str">
        <f t="shared" si="8"/>
        <v/>
      </c>
      <c r="W102" s="16" t="str">
        <f t="shared" si="9"/>
        <v/>
      </c>
      <c r="AD102" s="16" t="str">
        <f t="shared" si="10"/>
        <v/>
      </c>
      <c r="AK102" s="16" t="str">
        <f t="shared" si="11"/>
        <v/>
      </c>
    </row>
    <row r="103" spans="2:37" s="13" customFormat="1" x14ac:dyDescent="0.15">
      <c r="B103" s="12">
        <v>99</v>
      </c>
      <c r="C103" s="12" t="s">
        <v>215</v>
      </c>
      <c r="D103" s="12" t="s">
        <v>216</v>
      </c>
      <c r="E103" s="12">
        <v>2</v>
      </c>
      <c r="F103" s="12" t="s">
        <v>202</v>
      </c>
      <c r="G103" s="22"/>
      <c r="H103" s="20" t="str">
        <f t="shared" si="6"/>
        <v/>
      </c>
      <c r="I103" s="16" t="str">
        <f t="shared" si="7"/>
        <v/>
      </c>
      <c r="P103" s="16" t="str">
        <f t="shared" si="8"/>
        <v/>
      </c>
      <c r="W103" s="16" t="str">
        <f t="shared" si="9"/>
        <v/>
      </c>
      <c r="AD103" s="16" t="str">
        <f t="shared" si="10"/>
        <v/>
      </c>
      <c r="AK103" s="16" t="str">
        <f t="shared" si="11"/>
        <v/>
      </c>
    </row>
    <row r="104" spans="2:37" s="13" customFormat="1" x14ac:dyDescent="0.15">
      <c r="B104" s="12">
        <v>100</v>
      </c>
      <c r="C104" s="12" t="s">
        <v>217</v>
      </c>
      <c r="D104" s="12" t="s">
        <v>218</v>
      </c>
      <c r="E104" s="12">
        <v>2</v>
      </c>
      <c r="F104" s="12" t="s">
        <v>219</v>
      </c>
      <c r="G104" s="22"/>
      <c r="H104" s="20" t="str">
        <f t="shared" ref="H104" si="12">_xlfn.LET(_xlpm.pp,IF(I104="","",I104&amp;";")&amp;IF(P104="","",P104&amp;";")&amp;IF(W104="","",W104&amp;";")&amp;IF(AD104="","",AD104&amp;";")&amp;IF(AK104="","",AK104&amp;";"), IF(LEN(_xlpm.pp)&gt;0,LEFT(_xlpm.pp,LEN(_xlpm.pp)-1),_xlpm.pp))</f>
        <v/>
      </c>
      <c r="I104" s="16" t="str">
        <f t="shared" si="7"/>
        <v/>
      </c>
      <c r="P104" s="16" t="str">
        <f t="shared" si="8"/>
        <v/>
      </c>
      <c r="W104" s="13" t="str">
        <f t="shared" ref="W104" si="13">_xlfn.LET(_xlpm.pp,IF(X104=0,"",X104&amp;",")&amp;IF(Y104=0,"",Y104&amp;",")&amp;IF(Z104=0,"",Z104&amp;",")&amp;IF(AA104=0,"",AA104&amp;",")&amp;IF(AB104=0,"",AB104&amp;","), IF(LEN(_xlpm.pp)&gt;0,LEFT(_xlpm.pp,LEN(_xlpm.pp)-1),_xlpm.pp))</f>
        <v/>
      </c>
      <c r="AD104" s="13" t="str">
        <f t="shared" ref="AD104" si="14">_xlfn.LET(_xlpm.pp,IF(AE104=0,"",AE104&amp;",")&amp;IF(AF104=0,"",AF104&amp;",")&amp;IF(AG104=0,"",AG104&amp;",")&amp;IF(AH104=0,"",AH104&amp;",")&amp;IF(AI104=0,"",AI104&amp;","), IF(LEN(_xlpm.pp)&gt;0,LEFT(_xlpm.pp,LEN(_xlpm.pp)-1),_xlpm.pp))</f>
        <v/>
      </c>
      <c r="AK104" s="13" t="str">
        <f t="shared" ref="AK104" si="15">_xlfn.LET(_xlpm.pp,IF(AL104=0,"",AL104&amp;",")&amp;IF(AM104=0,"",AM104&amp;",")&amp;IF(AN104=0,"",AN104&amp;",")&amp;IF(AO104=0,"",AO104&amp;",")&amp;IF(AP104=0,"",AP104&amp;","), IF(LEN(_xlpm.pp)&gt;0,LEFT(_xlpm.pp,LEN(_xlpm.pp)-1),_xlpm.pp))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2025-11-06T10:54:42Z</dcterms:modified>
</cp:coreProperties>
</file>