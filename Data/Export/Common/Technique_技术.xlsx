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335EA2F0-35D9-4DE8-9CA8-1215BCDA3F5F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" i="36" l="1"/>
  <c r="K39" i="36"/>
  <c r="K38" i="36"/>
  <c r="K37" i="36"/>
  <c r="K36" i="36"/>
  <c r="K35" i="36"/>
  <c r="K34" i="36"/>
  <c r="K33" i="36"/>
  <c r="K32" i="36"/>
  <c r="K31" i="36"/>
  <c r="K30" i="36"/>
  <c r="K29" i="36"/>
  <c r="K28" i="36"/>
  <c r="K27" i="36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</calcChain>
</file>

<file path=xl/sharedStrings.xml><?xml version="1.0" encoding="utf-8"?>
<sst xmlns="http://schemas.openxmlformats.org/spreadsheetml/2006/main" count="170" uniqueCount="109">
  <si>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</si>
  <si>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</si>
  <si>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</si>
  <si>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</si>
  <si>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</si>
  <si>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</si>
  <si>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</si>
  <si>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</si>
  <si>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</si>
  <si>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</si>
  <si>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</si>
  <si>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</si>
  <si>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</si>
  <si>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</si>
  <si>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</si>
  <si>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精锐枪兵</t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</si>
  <si>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</si>
  <si>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</si>
  <si>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</si>
  <si>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</si>
  <si>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</si>
  <si>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</si>
  <si>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</si>
  <si>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</si>
  <si>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</si>
  <si>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</si>
  <si>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</si>
  <si>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</si>
  <si>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</si>
  <si>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</si>
  <si>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</si>
  <si>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</si>
  <si>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</si>
  <si>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</si>
  <si>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</si>
  <si>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</si>
  <si>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</si>
  <si>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</si>
  <si>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</si>
  <si>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</si>
  <si>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</si>
  <si>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</si>
  <si>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</si>
  <si>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</si>
  <si>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</si>
  <si>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</si>
  <si>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</si>
  <si>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</si>
  <si>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</si>
  <si>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</si>
  <si>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</si>
  <si>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</si>
  <si>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</si>
  <si>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</si>
  <si>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</si>
  <si>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</si>
  <si>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</si>
  <si>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</si>
  <si>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</si>
  <si>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</si>
  <si>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</si>
  <si>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</si>
  <si>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</si>
  <si>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</si>
  <si>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</si>
  <si>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</si>
  <si>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</si>
  <si>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</si>
  <si>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</si>
  <si>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</si>
  <si>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</si>
  <si>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</si>
  <si>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</si>
  <si>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</si>
  <si>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</si>
  <si>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</si>
  <si>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</si>
  <si>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</si>
  <si>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</si>
  <si>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</si>
  <si>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</si>
  <si>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</si>
  <si>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</si>
  <si>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</si>
  <si>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</si>
  <si>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</si>
  <si>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</si>
  <si>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</si>
  <si>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</si>
  <si>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</si>
  <si>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</si>
  <si>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</si>
  <si>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</si>
  <si>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</si>
  <si>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</si>
  <si>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</si>
  <si>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</si>
  <si>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</si>
  <si>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</si>
  <si>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</si>
  <si>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</si>
  <si>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</si>
  <si>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</si>
  <si>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</si>
  <si>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</si>
  <si>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</si>
  <si>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</si>
  <si>
    <t>aobj</t>
    <phoneticPr fontId="1" type="noConversion"/>
  </si>
  <si>
    <t>u16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</si>
</sst>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U68"/>
  <sheetViews>
    <sheetView tabSelected="1" zoomScale="82" zoomScaleNormal="82" workbookViewId="0">
      <selection activeCell="G7" sqref="G7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9.125" style="2" bestFit="1" customWidth="1"/>
    <col min="4" max="4" width="42.625" style="2" bestFit="1" customWidth="1"/>
    <col min="5" max="5" width="6.25" style="2" bestFit="1" customWidth="1"/>
    <col min="6" max="6" width="5.75" style="2" bestFit="1" customWidth="1"/>
    <col min="7" max="7" width="7.375" style="2" bestFit="1" customWidth="1"/>
    <col min="8" max="8" width="10.75" style="2" bestFit="1" customWidth="1"/>
    <col min="9" max="9" width="17" style="2" bestFit="1" customWidth="1"/>
    <col min="10" max="10" width="10.5" style="2" bestFit="1" customWidth="1"/>
    <col min="11" max="11" width="12" style="2" bestFit="1" customWidth="1"/>
    <col min="12" max="12" width="9.75" style="2" bestFit="1" customWidth="1"/>
    <col min="13" max="13" width="9.625" style="2" bestFit="1" customWidth="1"/>
    <col min="14" max="16384" width="9" style="2"/>
  </cols>
  <sheetData>
    <row r="1" spans="1:21" s="10" customFormat="1" ht="59.25" customHeight="1" x14ac:dyDescent="0.15">
      <c r="A1" s="12"/>
      <c r="B1" s="9" t="s">
        <v>0</v>
      </c>
      <c r="C1" s="9" t="s">
        <v>1</v>
      </c>
      <c r="D1" s="14" t="s">
        <v>97</v>
      </c>
      <c r="E1" s="14"/>
      <c r="F1" s="9" t="s">
        <v>98</v>
      </c>
      <c r="G1" s="9" t="s">
        <v>99</v>
      </c>
      <c r="H1" s="8" t="s">
        <v>100</v>
      </c>
      <c r="I1" s="9" t="s">
        <v>101</v>
      </c>
      <c r="J1" s="14" t="s">
        <v>102</v>
      </c>
      <c r="K1" s="14" t="s">
        <v>103</v>
      </c>
      <c r="L1" s="14"/>
      <c r="M1" s="14" t="s">
        <v>105</v>
      </c>
      <c r="N1" s="9"/>
      <c r="O1" s="7"/>
      <c r="P1" s="9"/>
      <c r="Q1" s="7"/>
      <c r="R1" s="9"/>
      <c r="S1" s="7"/>
      <c r="T1" s="9"/>
      <c r="U1" s="7"/>
    </row>
    <row r="2" spans="1:21" s="1" customFormat="1" ht="25.5" customHeight="1" x14ac:dyDescent="0.15">
      <c r="A2" s="1" t="s">
        <v>2</v>
      </c>
      <c r="B2" s="2"/>
      <c r="C2" s="2"/>
      <c r="D2"/>
      <c r="E2"/>
      <c r="F2" s="2"/>
      <c r="G2" s="2"/>
      <c r="H2" s="2"/>
      <c r="I2" s="2"/>
      <c r="J2"/>
      <c r="K2"/>
      <c r="L2"/>
      <c r="M2"/>
      <c r="N2" s="2"/>
      <c r="O2" s="2"/>
      <c r="P2" s="2"/>
      <c r="Q2" s="2"/>
      <c r="R2" s="2"/>
      <c r="S2" s="2"/>
      <c r="T2" s="2"/>
      <c r="U2" s="2"/>
    </row>
    <row r="3" spans="1:21" s="5" customFormat="1" ht="33" customHeight="1" x14ac:dyDescent="0.15">
      <c r="A3" s="5" t="s">
        <v>4</v>
      </c>
      <c r="B3" s="8" t="s">
        <v>6</v>
      </c>
      <c r="C3" s="8" t="s">
        <v>7</v>
      </c>
      <c r="D3" s="8" t="s">
        <v>88</v>
      </c>
      <c r="E3" s="13" t="s">
        <v>89</v>
      </c>
      <c r="G3" s="8" t="s">
        <v>90</v>
      </c>
      <c r="H3" s="8" t="s">
        <v>91</v>
      </c>
      <c r="I3" s="8" t="s">
        <v>92</v>
      </c>
      <c r="J3" s="8" t="s">
        <v>93</v>
      </c>
      <c r="K3" s="8" t="s">
        <v>104</v>
      </c>
      <c r="L3" s="8"/>
      <c r="M3" s="8" t="s">
        <v>95</v>
      </c>
      <c r="N3" s="8"/>
      <c r="O3" s="8"/>
      <c r="P3" s="8"/>
      <c r="Q3" s="8"/>
      <c r="R3" s="8"/>
      <c r="S3" s="8"/>
      <c r="T3" s="8"/>
      <c r="U3" s="8"/>
    </row>
    <row r="4" spans="1:21" s="11" customFormat="1" ht="15.75" customHeight="1" x14ac:dyDescent="0.15">
      <c r="A4" s="5" t="s">
        <v>4</v>
      </c>
      <c r="B4" s="11" t="s">
        <v>5</v>
      </c>
      <c r="C4" s="11" t="s">
        <v>3</v>
      </c>
      <c r="D4" s="15" t="s">
        <v>3</v>
      </c>
      <c r="E4" s="11" t="s">
        <v>108</v>
      </c>
      <c r="F4" s="11" t="s">
        <v>4</v>
      </c>
      <c r="G4" s="11" t="s">
        <v>94</v>
      </c>
      <c r="H4" s="11" t="s">
        <v>5</v>
      </c>
      <c r="I4" s="11" t="s">
        <v>5</v>
      </c>
      <c r="J4" s="15" t="s">
        <v>94</v>
      </c>
      <c r="K4" s="15" t="s">
        <v>96</v>
      </c>
      <c r="L4" s="15" t="s">
        <v>4</v>
      </c>
      <c r="M4" s="15" t="s">
        <v>107</v>
      </c>
    </row>
    <row r="5" spans="1:21" x14ac:dyDescent="0.1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1000</v>
      </c>
      <c r="I5" s="4">
        <v>2000</v>
      </c>
      <c r="J5" s="4">
        <v>6</v>
      </c>
      <c r="K5" s="4">
        <f>IFERROR(VLOOKUP(L5,[1]technique!$E$5:$F$40,2,FALSE),0)</f>
        <v>0</v>
      </c>
      <c r="L5" s="4"/>
      <c r="M5" s="4"/>
      <c r="N5" s="4"/>
      <c r="P5" s="4"/>
      <c r="Q5" s="4"/>
      <c r="R5" s="4"/>
      <c r="T5" s="4"/>
    </row>
    <row r="6" spans="1:21" x14ac:dyDescent="0.1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2000</v>
      </c>
      <c r="I6" s="4">
        <v>3000</v>
      </c>
      <c r="J6" s="4">
        <v>9</v>
      </c>
      <c r="K6" s="4">
        <f>IFERROR(VLOOKUP(L6,[1]technique!$E$5:$F$40,2,FALSE),0)</f>
        <v>1</v>
      </c>
      <c r="L6" s="4" t="s">
        <v>8</v>
      </c>
      <c r="M6" s="4"/>
      <c r="N6" s="4"/>
      <c r="P6" s="4"/>
      <c r="Q6" s="4"/>
      <c r="R6" s="4"/>
      <c r="T6" s="4"/>
    </row>
    <row r="7" spans="1:21" x14ac:dyDescent="0.1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3000</v>
      </c>
      <c r="I7" s="4">
        <v>5000</v>
      </c>
      <c r="J7" s="4">
        <v>15</v>
      </c>
      <c r="K7" s="4">
        <f>IFERROR(VLOOKUP(L7,[1]technique!$E$5:$F$40,2,FALSE),0)</f>
        <v>2</v>
      </c>
      <c r="L7" s="4" t="s">
        <v>11</v>
      </c>
      <c r="M7" s="4"/>
      <c r="N7" s="4"/>
      <c r="P7" s="4"/>
      <c r="Q7" s="4"/>
      <c r="R7" s="4"/>
      <c r="T7" s="4"/>
    </row>
    <row r="8" spans="1:21" x14ac:dyDescent="0.15">
      <c r="B8" s="4">
        <v>4</v>
      </c>
      <c r="C8" s="4" t="s">
        <v>15</v>
      </c>
      <c r="D8" s="4" t="s">
        <v>16</v>
      </c>
      <c r="E8" s="4">
        <v>1</v>
      </c>
      <c r="F8" s="4" t="s">
        <v>10</v>
      </c>
      <c r="G8" s="4">
        <v>3</v>
      </c>
      <c r="H8" s="4">
        <v>5000</v>
      </c>
      <c r="I8" s="4">
        <v>8000</v>
      </c>
      <c r="J8" s="4">
        <v>24</v>
      </c>
      <c r="K8" s="4">
        <f>IFERROR(VLOOKUP(L8,[1]technique!$E$5:$F$40,2,FALSE),0)</f>
        <v>3</v>
      </c>
      <c r="L8" s="4" t="s">
        <v>13</v>
      </c>
      <c r="M8" s="4"/>
      <c r="N8" s="4"/>
      <c r="P8" s="4"/>
      <c r="Q8" s="4"/>
      <c r="R8" s="4"/>
      <c r="T8" s="4"/>
    </row>
    <row r="9" spans="1:21" x14ac:dyDescent="0.15">
      <c r="B9" s="4">
        <v>5</v>
      </c>
      <c r="C9" s="4" t="s">
        <v>17</v>
      </c>
      <c r="D9" s="4" t="s">
        <v>18</v>
      </c>
      <c r="E9" s="4">
        <v>2</v>
      </c>
      <c r="F9" s="4" t="s">
        <v>19</v>
      </c>
      <c r="G9" s="4">
        <v>0</v>
      </c>
      <c r="H9" s="4">
        <v>1000</v>
      </c>
      <c r="I9" s="4">
        <v>2000</v>
      </c>
      <c r="J9" s="4">
        <v>6</v>
      </c>
      <c r="K9" s="4">
        <f>IFERROR(VLOOKUP(L9,[1]technique!$E$5:$F$40,2,FALSE),0)</f>
        <v>0</v>
      </c>
      <c r="L9" s="4"/>
      <c r="M9" s="4"/>
      <c r="N9" s="4"/>
      <c r="P9" s="4"/>
      <c r="Q9" s="4"/>
      <c r="R9" s="4"/>
      <c r="T9" s="4"/>
    </row>
    <row r="10" spans="1:21" x14ac:dyDescent="0.15">
      <c r="B10" s="4">
        <v>6</v>
      </c>
      <c r="C10" s="4" t="s">
        <v>20</v>
      </c>
      <c r="D10" s="4" t="s">
        <v>21</v>
      </c>
      <c r="E10" s="4">
        <v>2</v>
      </c>
      <c r="F10" s="4" t="s">
        <v>19</v>
      </c>
      <c r="G10" s="4">
        <v>1</v>
      </c>
      <c r="H10" s="4">
        <v>2000</v>
      </c>
      <c r="I10" s="4">
        <v>3000</v>
      </c>
      <c r="J10" s="4">
        <v>9</v>
      </c>
      <c r="K10" s="4">
        <f>IFERROR(VLOOKUP(L10,[1]technique!$E$5:$F$40,2,FALSE),0)</f>
        <v>5</v>
      </c>
      <c r="L10" s="4" t="s">
        <v>17</v>
      </c>
      <c r="M10" s="4"/>
      <c r="N10" s="4"/>
      <c r="P10" s="4"/>
      <c r="Q10" s="4"/>
      <c r="R10" s="4"/>
      <c r="T10" s="4"/>
    </row>
    <row r="11" spans="1:21" x14ac:dyDescent="0.15">
      <c r="B11" s="4">
        <v>7</v>
      </c>
      <c r="C11" s="4" t="s">
        <v>22</v>
      </c>
      <c r="D11" s="4" t="s">
        <v>23</v>
      </c>
      <c r="E11" s="4">
        <v>2</v>
      </c>
      <c r="F11" s="4" t="s">
        <v>19</v>
      </c>
      <c r="G11" s="4">
        <v>2</v>
      </c>
      <c r="H11" s="4">
        <v>3000</v>
      </c>
      <c r="I11" s="4">
        <v>5000</v>
      </c>
      <c r="J11" s="4">
        <v>15</v>
      </c>
      <c r="K11" s="4">
        <f>IFERROR(VLOOKUP(L11,[1]technique!$E$5:$F$40,2,FALSE),0)</f>
        <v>6</v>
      </c>
      <c r="L11" s="4" t="s">
        <v>20</v>
      </c>
      <c r="M11" s="4"/>
      <c r="N11" s="4"/>
      <c r="P11" s="4"/>
      <c r="Q11" s="4"/>
      <c r="R11" s="4"/>
      <c r="T11" s="4"/>
    </row>
    <row r="12" spans="1:21" x14ac:dyDescent="0.15">
      <c r="B12" s="4">
        <v>8</v>
      </c>
      <c r="C12" s="4" t="s">
        <v>24</v>
      </c>
      <c r="D12" s="4" t="s">
        <v>25</v>
      </c>
      <c r="E12" s="4">
        <v>2</v>
      </c>
      <c r="F12" s="4" t="s">
        <v>19</v>
      </c>
      <c r="G12" s="4">
        <v>3</v>
      </c>
      <c r="H12" s="4">
        <v>5000</v>
      </c>
      <c r="I12" s="4">
        <v>8000</v>
      </c>
      <c r="J12" s="4">
        <v>24</v>
      </c>
      <c r="K12" s="4">
        <f>IFERROR(VLOOKUP(L12,[1]technique!$E$5:$F$40,2,FALSE),0)</f>
        <v>7</v>
      </c>
      <c r="L12" s="4" t="s">
        <v>22</v>
      </c>
      <c r="M12" s="4"/>
      <c r="N12" s="4"/>
      <c r="P12" s="4"/>
      <c r="Q12" s="4"/>
      <c r="R12" s="4"/>
      <c r="T12" s="4"/>
    </row>
    <row r="13" spans="1:21" x14ac:dyDescent="0.15">
      <c r="B13" s="4">
        <v>9</v>
      </c>
      <c r="C13" s="4" t="s">
        <v>26</v>
      </c>
      <c r="D13" s="4" t="s">
        <v>27</v>
      </c>
      <c r="E13" s="4">
        <v>3</v>
      </c>
      <c r="F13" s="4" t="s">
        <v>28</v>
      </c>
      <c r="G13" s="4">
        <v>0</v>
      </c>
      <c r="H13" s="4">
        <v>1000</v>
      </c>
      <c r="I13" s="4">
        <v>2000</v>
      </c>
      <c r="J13" s="4">
        <v>6</v>
      </c>
      <c r="K13" s="4">
        <f>IFERROR(VLOOKUP(L13,[1]technique!$E$5:$F$40,2,FALSE),0)</f>
        <v>0</v>
      </c>
      <c r="L13" s="4"/>
      <c r="M13" s="4"/>
      <c r="N13" s="4"/>
      <c r="P13" s="4"/>
      <c r="Q13" s="4"/>
      <c r="R13" s="4"/>
      <c r="T13" s="4"/>
    </row>
    <row r="14" spans="1:21" x14ac:dyDescent="0.15">
      <c r="B14" s="4">
        <v>10</v>
      </c>
      <c r="C14" s="4" t="s">
        <v>29</v>
      </c>
      <c r="D14" s="4" t="s">
        <v>30</v>
      </c>
      <c r="E14" s="4">
        <v>3</v>
      </c>
      <c r="F14" s="4" t="s">
        <v>28</v>
      </c>
      <c r="G14" s="4">
        <v>1</v>
      </c>
      <c r="H14" s="4">
        <v>2000</v>
      </c>
      <c r="I14" s="4">
        <v>3000</v>
      </c>
      <c r="J14" s="4">
        <v>9</v>
      </c>
      <c r="K14" s="4">
        <f>IFERROR(VLOOKUP(L14,[1]technique!$E$5:$F$40,2,FALSE),0)</f>
        <v>9</v>
      </c>
      <c r="L14" s="4" t="s">
        <v>26</v>
      </c>
      <c r="M14" s="4"/>
      <c r="N14" s="4"/>
      <c r="P14" s="4"/>
      <c r="Q14" s="4"/>
      <c r="R14" s="4"/>
      <c r="T14" s="4"/>
    </row>
    <row r="15" spans="1:21" x14ac:dyDescent="0.15">
      <c r="B15" s="4">
        <v>11</v>
      </c>
      <c r="C15" s="4" t="s">
        <v>31</v>
      </c>
      <c r="D15" s="4" t="s">
        <v>32</v>
      </c>
      <c r="E15" s="4">
        <v>3</v>
      </c>
      <c r="F15" s="4" t="s">
        <v>28</v>
      </c>
      <c r="G15" s="4">
        <v>2</v>
      </c>
      <c r="H15" s="4">
        <v>3000</v>
      </c>
      <c r="I15" s="4">
        <v>5000</v>
      </c>
      <c r="J15" s="4">
        <v>15</v>
      </c>
      <c r="K15" s="4">
        <f>IFERROR(VLOOKUP(L15,[1]technique!$E$5:$F$40,2,FALSE),0)</f>
        <v>10</v>
      </c>
      <c r="L15" s="4" t="s">
        <v>29</v>
      </c>
      <c r="M15" s="4"/>
      <c r="N15" s="4"/>
      <c r="P15" s="4"/>
      <c r="Q15" s="4"/>
      <c r="R15" s="4"/>
      <c r="T15" s="4"/>
    </row>
    <row r="16" spans="1:21" x14ac:dyDescent="0.15">
      <c r="B16" s="4">
        <v>12</v>
      </c>
      <c r="C16" s="4" t="s">
        <v>33</v>
      </c>
      <c r="D16" s="4" t="s">
        <v>34</v>
      </c>
      <c r="E16" s="4">
        <v>3</v>
      </c>
      <c r="F16" s="4" t="s">
        <v>28</v>
      </c>
      <c r="G16" s="4">
        <v>3</v>
      </c>
      <c r="H16" s="4">
        <v>5000</v>
      </c>
      <c r="I16" s="4">
        <v>8000</v>
      </c>
      <c r="J16" s="4">
        <v>24</v>
      </c>
      <c r="K16" s="4">
        <f>IFERROR(VLOOKUP(L16,[1]technique!$E$5:$F$40,2,FALSE),0)</f>
        <v>11</v>
      </c>
      <c r="L16" s="4" t="s">
        <v>31</v>
      </c>
      <c r="M16" s="4"/>
      <c r="N16" s="4"/>
      <c r="P16" s="4"/>
      <c r="Q16" s="4"/>
      <c r="R16" s="4"/>
      <c r="T16" s="4"/>
    </row>
    <row r="17" spans="2:20" x14ac:dyDescent="0.15">
      <c r="B17" s="4">
        <v>13</v>
      </c>
      <c r="C17" s="4" t="s">
        <v>35</v>
      </c>
      <c r="D17" s="4" t="s">
        <v>36</v>
      </c>
      <c r="E17" s="4">
        <v>4</v>
      </c>
      <c r="F17" s="4" t="s">
        <v>37</v>
      </c>
      <c r="G17" s="4">
        <v>0</v>
      </c>
      <c r="H17" s="4">
        <v>1000</v>
      </c>
      <c r="I17" s="4">
        <v>2000</v>
      </c>
      <c r="J17" s="4">
        <v>6</v>
      </c>
      <c r="K17" s="4">
        <f>IFERROR(VLOOKUP(L17,[1]technique!$E$5:$F$40,2,FALSE),0)</f>
        <v>0</v>
      </c>
      <c r="L17" s="4"/>
      <c r="M17" s="4"/>
      <c r="N17" s="4"/>
      <c r="P17" s="4"/>
      <c r="Q17" s="4"/>
      <c r="R17" s="4"/>
      <c r="T17" s="4"/>
    </row>
    <row r="18" spans="2:20" x14ac:dyDescent="0.15">
      <c r="B18" s="4">
        <v>14</v>
      </c>
      <c r="C18" s="4" t="s">
        <v>38</v>
      </c>
      <c r="D18" s="4" t="s">
        <v>39</v>
      </c>
      <c r="E18" s="4">
        <v>4</v>
      </c>
      <c r="F18" s="4" t="s">
        <v>37</v>
      </c>
      <c r="G18" s="4">
        <v>1</v>
      </c>
      <c r="H18" s="4">
        <v>2000</v>
      </c>
      <c r="I18" s="4">
        <v>3000</v>
      </c>
      <c r="J18" s="4">
        <v>9</v>
      </c>
      <c r="K18" s="4">
        <f>IFERROR(VLOOKUP(L18,[1]technique!$E$5:$F$40,2,FALSE),0)</f>
        <v>13</v>
      </c>
      <c r="L18" s="4" t="s">
        <v>35</v>
      </c>
      <c r="M18" s="4"/>
      <c r="N18" s="4"/>
      <c r="P18" s="4"/>
      <c r="Q18" s="4"/>
      <c r="R18" s="4"/>
      <c r="T18" s="4"/>
    </row>
    <row r="19" spans="2:20" x14ac:dyDescent="0.15">
      <c r="B19" s="4">
        <v>15</v>
      </c>
      <c r="C19" s="4" t="s">
        <v>40</v>
      </c>
      <c r="D19" s="4" t="s">
        <v>41</v>
      </c>
      <c r="E19" s="4">
        <v>4</v>
      </c>
      <c r="F19" s="4" t="s">
        <v>37</v>
      </c>
      <c r="G19" s="4">
        <v>2</v>
      </c>
      <c r="H19" s="4">
        <v>3000</v>
      </c>
      <c r="I19" s="4">
        <v>5000</v>
      </c>
      <c r="J19" s="4">
        <v>15</v>
      </c>
      <c r="K19" s="4">
        <f>IFERROR(VLOOKUP(L19,[1]technique!$E$5:$F$40,2,FALSE),0)</f>
        <v>14</v>
      </c>
      <c r="L19" s="4" t="s">
        <v>38</v>
      </c>
      <c r="M19" s="4"/>
      <c r="N19" s="4"/>
      <c r="P19" s="4"/>
      <c r="Q19" s="4"/>
      <c r="R19" s="4"/>
      <c r="T19" s="4"/>
    </row>
    <row r="20" spans="2:20" x14ac:dyDescent="0.15">
      <c r="B20" s="4">
        <v>16</v>
      </c>
      <c r="C20" s="4" t="s">
        <v>42</v>
      </c>
      <c r="D20" s="4" t="s">
        <v>43</v>
      </c>
      <c r="E20" s="4">
        <v>4</v>
      </c>
      <c r="F20" s="4" t="s">
        <v>37</v>
      </c>
      <c r="G20" s="4">
        <v>3</v>
      </c>
      <c r="H20" s="4">
        <v>5000</v>
      </c>
      <c r="I20" s="4">
        <v>8000</v>
      </c>
      <c r="J20" s="4">
        <v>24</v>
      </c>
      <c r="K20" s="4">
        <f>IFERROR(VLOOKUP(L20,[1]technique!$E$5:$F$40,2,FALSE),0)</f>
        <v>15</v>
      </c>
      <c r="L20" s="4" t="s">
        <v>40</v>
      </c>
      <c r="M20" s="4"/>
      <c r="N20" s="4"/>
      <c r="P20" s="4"/>
      <c r="Q20" s="4"/>
      <c r="R20" s="4"/>
      <c r="T20" s="4"/>
    </row>
    <row r="21" spans="2:20" x14ac:dyDescent="0.15">
      <c r="B21" s="4">
        <v>17</v>
      </c>
      <c r="C21" s="4" t="s">
        <v>44</v>
      </c>
      <c r="D21" s="4" t="s">
        <v>45</v>
      </c>
      <c r="E21" s="4">
        <v>5</v>
      </c>
      <c r="F21" s="4" t="s">
        <v>46</v>
      </c>
      <c r="G21" s="4">
        <v>0</v>
      </c>
      <c r="H21" s="4">
        <v>1000</v>
      </c>
      <c r="I21" s="4">
        <v>2000</v>
      </c>
      <c r="J21" s="4">
        <v>6</v>
      </c>
      <c r="K21" s="4">
        <f>IFERROR(VLOOKUP(L21,[1]technique!$E$5:$F$40,2,FALSE),0)</f>
        <v>0</v>
      </c>
      <c r="L21" s="4"/>
      <c r="M21" s="4"/>
      <c r="N21" s="4"/>
      <c r="P21" s="4"/>
      <c r="Q21" s="4"/>
      <c r="R21" s="4"/>
      <c r="T21" s="4"/>
    </row>
    <row r="22" spans="2:20" x14ac:dyDescent="0.15">
      <c r="B22" s="4">
        <v>18</v>
      </c>
      <c r="C22" s="4" t="s">
        <v>47</v>
      </c>
      <c r="D22" s="4" t="s">
        <v>106</v>
      </c>
      <c r="E22" s="4">
        <v>5</v>
      </c>
      <c r="F22" s="4" t="s">
        <v>46</v>
      </c>
      <c r="G22" s="4">
        <v>1</v>
      </c>
      <c r="H22" s="4">
        <v>2000</v>
      </c>
      <c r="I22" s="4">
        <v>3000</v>
      </c>
      <c r="J22" s="4">
        <v>10</v>
      </c>
      <c r="K22" s="4">
        <f>IFERROR(VLOOKUP(L22,[1]technique!$E$5:$F$40,2,FALSE),0)</f>
        <v>17</v>
      </c>
      <c r="L22" s="4" t="s">
        <v>44</v>
      </c>
      <c r="M22" s="4"/>
      <c r="N22" s="4"/>
      <c r="P22" s="4"/>
      <c r="Q22" s="4"/>
      <c r="R22" s="4"/>
      <c r="T22" s="4"/>
    </row>
    <row r="23" spans="2:20" x14ac:dyDescent="0.15">
      <c r="B23" s="4">
        <v>19</v>
      </c>
      <c r="C23" s="4" t="s">
        <v>48</v>
      </c>
      <c r="D23" s="4" t="s">
        <v>49</v>
      </c>
      <c r="E23" s="4">
        <v>5</v>
      </c>
      <c r="F23" s="4" t="s">
        <v>46</v>
      </c>
      <c r="G23" s="4">
        <v>2</v>
      </c>
      <c r="H23" s="4">
        <v>3000</v>
      </c>
      <c r="I23" s="4">
        <v>5000</v>
      </c>
      <c r="J23" s="4">
        <v>15</v>
      </c>
      <c r="K23" s="4">
        <f>IFERROR(VLOOKUP(L23,[1]technique!$E$5:$F$40,2,FALSE),0)</f>
        <v>18</v>
      </c>
      <c r="L23" s="4" t="s">
        <v>47</v>
      </c>
      <c r="M23" s="4"/>
      <c r="N23" s="4"/>
      <c r="P23" s="4"/>
      <c r="Q23" s="4"/>
      <c r="R23" s="4"/>
      <c r="T23" s="4"/>
    </row>
    <row r="24" spans="2:20" x14ac:dyDescent="0.15">
      <c r="B24" s="4">
        <v>20</v>
      </c>
      <c r="C24" s="4" t="s">
        <v>50</v>
      </c>
      <c r="D24" s="4" t="s">
        <v>51</v>
      </c>
      <c r="E24" s="4">
        <v>5</v>
      </c>
      <c r="F24" s="4" t="s">
        <v>46</v>
      </c>
      <c r="G24" s="4">
        <v>3</v>
      </c>
      <c r="H24" s="4">
        <v>5000</v>
      </c>
      <c r="I24" s="4">
        <v>8000</v>
      </c>
      <c r="J24" s="4">
        <v>24</v>
      </c>
      <c r="K24" s="4">
        <f>IFERROR(VLOOKUP(L24,[1]technique!$E$5:$F$40,2,FALSE),0)</f>
        <v>19</v>
      </c>
      <c r="L24" s="4" t="s">
        <v>48</v>
      </c>
      <c r="M24" s="4"/>
      <c r="N24" s="4"/>
      <c r="P24" s="4"/>
      <c r="Q24" s="4"/>
      <c r="R24" s="4"/>
      <c r="T24" s="4"/>
    </row>
    <row r="25" spans="2:20" x14ac:dyDescent="0.15">
      <c r="B25" s="4">
        <v>21</v>
      </c>
      <c r="C25" s="4" t="s">
        <v>52</v>
      </c>
      <c r="D25" s="4" t="s">
        <v>53</v>
      </c>
      <c r="E25" s="4">
        <v>6</v>
      </c>
      <c r="F25" s="4" t="s">
        <v>54</v>
      </c>
      <c r="G25" s="4">
        <v>0</v>
      </c>
      <c r="H25" s="4">
        <v>1000</v>
      </c>
      <c r="I25" s="4">
        <v>2000</v>
      </c>
      <c r="J25" s="4">
        <v>6</v>
      </c>
      <c r="K25" s="4">
        <f>IFERROR(VLOOKUP(L25,[1]technique!$E$5:$F$40,2,FALSE),0)</f>
        <v>0</v>
      </c>
      <c r="L25" s="4"/>
      <c r="M25" s="4"/>
      <c r="N25" s="4"/>
      <c r="P25" s="4"/>
      <c r="Q25" s="4"/>
      <c r="R25" s="4"/>
      <c r="T25" s="4"/>
    </row>
    <row r="26" spans="2:20" x14ac:dyDescent="0.15">
      <c r="B26" s="4">
        <v>22</v>
      </c>
      <c r="C26" s="4" t="s">
        <v>55</v>
      </c>
      <c r="D26" s="4" t="s">
        <v>56</v>
      </c>
      <c r="E26" s="4">
        <v>6</v>
      </c>
      <c r="F26" s="4" t="s">
        <v>54</v>
      </c>
      <c r="G26" s="4">
        <v>1</v>
      </c>
      <c r="H26" s="4">
        <v>2000</v>
      </c>
      <c r="I26" s="4">
        <v>3000</v>
      </c>
      <c r="J26" s="4">
        <v>9</v>
      </c>
      <c r="K26" s="4">
        <f>IFERROR(VLOOKUP(L26,[1]technique!$E$5:$F$40,2,FALSE),0)</f>
        <v>21</v>
      </c>
      <c r="L26" s="4" t="s">
        <v>52</v>
      </c>
      <c r="M26" s="4"/>
      <c r="N26" s="4"/>
      <c r="P26" s="4"/>
      <c r="Q26" s="4"/>
      <c r="R26" s="4"/>
      <c r="T26" s="4"/>
    </row>
    <row r="27" spans="2:20" x14ac:dyDescent="0.15">
      <c r="B27" s="4">
        <v>23</v>
      </c>
      <c r="C27" s="4" t="s">
        <v>57</v>
      </c>
      <c r="D27" s="4" t="s">
        <v>58</v>
      </c>
      <c r="E27" s="4">
        <v>6</v>
      </c>
      <c r="F27" s="4" t="s">
        <v>54</v>
      </c>
      <c r="G27" s="4">
        <v>2</v>
      </c>
      <c r="H27" s="4">
        <v>3000</v>
      </c>
      <c r="I27" s="4">
        <v>5000</v>
      </c>
      <c r="J27" s="4">
        <v>15</v>
      </c>
      <c r="K27" s="4">
        <f>IFERROR(VLOOKUP(L27,[1]technique!$E$5:$F$40,2,FALSE),0)</f>
        <v>22</v>
      </c>
      <c r="L27" s="4" t="s">
        <v>55</v>
      </c>
      <c r="M27" s="4"/>
      <c r="N27" s="4"/>
      <c r="P27" s="4"/>
      <c r="Q27" s="4"/>
      <c r="R27" s="4"/>
      <c r="T27" s="4"/>
    </row>
    <row r="28" spans="2:20" x14ac:dyDescent="0.15">
      <c r="B28" s="4">
        <v>24</v>
      </c>
      <c r="C28" s="4" t="s">
        <v>59</v>
      </c>
      <c r="D28" s="4" t="s">
        <v>60</v>
      </c>
      <c r="E28" s="4">
        <v>6</v>
      </c>
      <c r="F28" s="4" t="s">
        <v>54</v>
      </c>
      <c r="G28" s="4">
        <v>3</v>
      </c>
      <c r="H28" s="4">
        <v>5000</v>
      </c>
      <c r="I28" s="4">
        <v>8000</v>
      </c>
      <c r="J28" s="4">
        <v>24</v>
      </c>
      <c r="K28" s="4">
        <f>IFERROR(VLOOKUP(L28,[1]technique!$E$5:$F$40,2,FALSE),0)</f>
        <v>23</v>
      </c>
      <c r="L28" s="4" t="s">
        <v>57</v>
      </c>
      <c r="M28" s="4"/>
      <c r="N28" s="4"/>
      <c r="P28" s="4"/>
      <c r="Q28" s="4"/>
      <c r="R28" s="4"/>
      <c r="T28" s="4"/>
    </row>
    <row r="29" spans="2:20" x14ac:dyDescent="0.15">
      <c r="B29" s="4">
        <v>25</v>
      </c>
      <c r="C29" s="4" t="s">
        <v>61</v>
      </c>
      <c r="D29" s="4" t="s">
        <v>62</v>
      </c>
      <c r="E29" s="4">
        <v>7</v>
      </c>
      <c r="F29" s="4" t="s">
        <v>63</v>
      </c>
      <c r="G29" s="4">
        <v>0</v>
      </c>
      <c r="H29" s="4">
        <v>1000</v>
      </c>
      <c r="I29" s="4">
        <v>2000</v>
      </c>
      <c r="J29" s="4">
        <v>6</v>
      </c>
      <c r="K29" s="4">
        <f>IFERROR(VLOOKUP(L29,[1]technique!$E$5:$F$40,2,FALSE),0)</f>
        <v>0</v>
      </c>
      <c r="L29" s="4"/>
      <c r="M29" s="4"/>
      <c r="N29" s="4"/>
      <c r="P29" s="4"/>
      <c r="Q29" s="4"/>
      <c r="R29" s="4"/>
      <c r="T29" s="4"/>
    </row>
    <row r="30" spans="2:20" x14ac:dyDescent="0.15">
      <c r="B30" s="4">
        <v>26</v>
      </c>
      <c r="C30" s="4" t="s">
        <v>64</v>
      </c>
      <c r="D30" s="4" t="s">
        <v>65</v>
      </c>
      <c r="E30" s="4">
        <v>7</v>
      </c>
      <c r="F30" s="4" t="s">
        <v>63</v>
      </c>
      <c r="G30" s="4">
        <v>1</v>
      </c>
      <c r="H30" s="4">
        <v>2000</v>
      </c>
      <c r="I30" s="4">
        <v>3000</v>
      </c>
      <c r="J30" s="4">
        <v>9</v>
      </c>
      <c r="K30" s="4">
        <f>IFERROR(VLOOKUP(L30,[1]technique!$E$5:$F$40,2,FALSE),0)</f>
        <v>25</v>
      </c>
      <c r="L30" s="4" t="s">
        <v>61</v>
      </c>
      <c r="M30" s="4"/>
      <c r="N30" s="4"/>
      <c r="P30" s="4"/>
      <c r="Q30" s="4"/>
      <c r="R30" s="4"/>
      <c r="T30" s="4"/>
    </row>
    <row r="31" spans="2:20" x14ac:dyDescent="0.15">
      <c r="B31" s="4">
        <v>27</v>
      </c>
      <c r="C31" s="4" t="s">
        <v>66</v>
      </c>
      <c r="D31" s="4" t="s">
        <v>67</v>
      </c>
      <c r="E31" s="4">
        <v>7</v>
      </c>
      <c r="F31" s="4" t="s">
        <v>63</v>
      </c>
      <c r="G31" s="4">
        <v>2</v>
      </c>
      <c r="H31" s="4">
        <v>3000</v>
      </c>
      <c r="I31" s="4">
        <v>5000</v>
      </c>
      <c r="J31" s="4">
        <v>15</v>
      </c>
      <c r="K31" s="4">
        <f>IFERROR(VLOOKUP(L31,[1]technique!$E$5:$F$40,2,FALSE),0)</f>
        <v>26</v>
      </c>
      <c r="L31" s="4" t="s">
        <v>64</v>
      </c>
      <c r="M31" s="4"/>
      <c r="N31" s="4"/>
      <c r="P31" s="4"/>
      <c r="Q31" s="4"/>
      <c r="R31" s="4"/>
      <c r="T31" s="4"/>
    </row>
    <row r="32" spans="2:20" x14ac:dyDescent="0.15">
      <c r="B32" s="4">
        <v>28</v>
      </c>
      <c r="C32" s="4" t="s">
        <v>68</v>
      </c>
      <c r="D32" s="4" t="s">
        <v>69</v>
      </c>
      <c r="E32" s="4">
        <v>7</v>
      </c>
      <c r="F32" s="4" t="s">
        <v>63</v>
      </c>
      <c r="G32" s="4">
        <v>3</v>
      </c>
      <c r="H32" s="4">
        <v>5000</v>
      </c>
      <c r="I32" s="4">
        <v>8000</v>
      </c>
      <c r="J32" s="4">
        <v>24</v>
      </c>
      <c r="K32" s="4">
        <f>IFERROR(VLOOKUP(L32,[1]technique!$E$5:$F$40,2,FALSE),0)</f>
        <v>27</v>
      </c>
      <c r="L32" s="4" t="s">
        <v>66</v>
      </c>
      <c r="M32" s="4"/>
      <c r="N32" s="4"/>
      <c r="P32" s="4"/>
      <c r="Q32" s="4"/>
      <c r="R32" s="4"/>
      <c r="T32" s="4"/>
    </row>
    <row r="33" spans="2:20" x14ac:dyDescent="0.15">
      <c r="B33" s="4">
        <v>29</v>
      </c>
      <c r="C33" s="4" t="s">
        <v>70</v>
      </c>
      <c r="D33" s="4" t="s">
        <v>71</v>
      </c>
      <c r="E33" s="4">
        <v>8</v>
      </c>
      <c r="F33" s="4" t="s">
        <v>72</v>
      </c>
      <c r="G33" s="4">
        <v>0</v>
      </c>
      <c r="H33" s="4">
        <v>1000</v>
      </c>
      <c r="I33" s="4">
        <v>2000</v>
      </c>
      <c r="J33" s="4">
        <v>6</v>
      </c>
      <c r="K33" s="4">
        <f>IFERROR(VLOOKUP(L33,[1]technique!$E$5:$F$40,2,FALSE),0)</f>
        <v>0</v>
      </c>
      <c r="L33" s="4"/>
      <c r="M33" s="4"/>
      <c r="N33" s="4"/>
      <c r="P33" s="4"/>
      <c r="Q33" s="4"/>
      <c r="R33" s="4"/>
      <c r="T33" s="4"/>
    </row>
    <row r="34" spans="2:20" x14ac:dyDescent="0.15">
      <c r="B34" s="4">
        <v>30</v>
      </c>
      <c r="C34" s="4" t="s">
        <v>73</v>
      </c>
      <c r="D34" s="4" t="s">
        <v>74</v>
      </c>
      <c r="E34" s="4">
        <v>8</v>
      </c>
      <c r="F34" s="4" t="s">
        <v>72</v>
      </c>
      <c r="G34" s="4">
        <v>1</v>
      </c>
      <c r="H34" s="4">
        <v>2000</v>
      </c>
      <c r="I34" s="4">
        <v>3000</v>
      </c>
      <c r="J34" s="4">
        <v>9</v>
      </c>
      <c r="K34" s="4">
        <f>IFERROR(VLOOKUP(L34,[1]technique!$E$5:$F$40,2,FALSE),0)</f>
        <v>29</v>
      </c>
      <c r="L34" s="4" t="s">
        <v>70</v>
      </c>
      <c r="M34" s="4"/>
      <c r="N34" s="4"/>
      <c r="P34" s="4"/>
      <c r="Q34" s="4"/>
      <c r="R34" s="4"/>
      <c r="T34" s="4"/>
    </row>
    <row r="35" spans="2:20" x14ac:dyDescent="0.15">
      <c r="B35" s="4">
        <v>31</v>
      </c>
      <c r="C35" s="4" t="s">
        <v>75</v>
      </c>
      <c r="D35" s="4" t="s">
        <v>76</v>
      </c>
      <c r="E35" s="4">
        <v>8</v>
      </c>
      <c r="F35" s="4" t="s">
        <v>72</v>
      </c>
      <c r="G35" s="4">
        <v>2</v>
      </c>
      <c r="H35" s="4">
        <v>3000</v>
      </c>
      <c r="I35" s="4">
        <v>5000</v>
      </c>
      <c r="J35" s="4">
        <v>15</v>
      </c>
      <c r="K35" s="4">
        <f>IFERROR(VLOOKUP(L35,[1]technique!$E$5:$F$40,2,FALSE),0)</f>
        <v>30</v>
      </c>
      <c r="L35" s="4" t="s">
        <v>73</v>
      </c>
      <c r="M35" s="4"/>
      <c r="N35" s="4"/>
      <c r="P35" s="4"/>
      <c r="Q35" s="4"/>
      <c r="R35" s="4"/>
      <c r="T35" s="4"/>
    </row>
    <row r="36" spans="2:20" x14ac:dyDescent="0.15">
      <c r="B36" s="4">
        <v>32</v>
      </c>
      <c r="C36" s="4" t="s">
        <v>77</v>
      </c>
      <c r="D36" s="4" t="s">
        <v>78</v>
      </c>
      <c r="E36" s="4">
        <v>8</v>
      </c>
      <c r="F36" s="4" t="s">
        <v>72</v>
      </c>
      <c r="G36" s="4">
        <v>3</v>
      </c>
      <c r="H36" s="4">
        <v>5000</v>
      </c>
      <c r="I36" s="4">
        <v>8000</v>
      </c>
      <c r="J36" s="4">
        <v>24</v>
      </c>
      <c r="K36" s="4">
        <f>IFERROR(VLOOKUP(L36,[1]technique!$E$5:$F$40,2,FALSE),0)</f>
        <v>31</v>
      </c>
      <c r="L36" s="4" t="s">
        <v>75</v>
      </c>
      <c r="M36" s="4"/>
      <c r="N36" s="4"/>
      <c r="P36" s="4"/>
      <c r="Q36" s="4"/>
      <c r="R36" s="4"/>
      <c r="T36" s="4"/>
    </row>
    <row r="37" spans="2:20" x14ac:dyDescent="0.15">
      <c r="B37" s="4">
        <v>33</v>
      </c>
      <c r="C37" s="4" t="s">
        <v>79</v>
      </c>
      <c r="D37" s="4" t="s">
        <v>80</v>
      </c>
      <c r="E37" s="4">
        <v>9</v>
      </c>
      <c r="F37" s="4" t="s">
        <v>81</v>
      </c>
      <c r="G37" s="4">
        <v>0</v>
      </c>
      <c r="H37" s="4">
        <v>1000</v>
      </c>
      <c r="I37" s="4">
        <v>2000</v>
      </c>
      <c r="J37" s="4">
        <v>6</v>
      </c>
      <c r="K37" s="4">
        <f>IFERROR(VLOOKUP(L37,[1]technique!$E$5:$F$40,2,FALSE),0)</f>
        <v>0</v>
      </c>
      <c r="L37" s="4"/>
      <c r="M37" s="4"/>
      <c r="N37" s="4"/>
      <c r="P37" s="4"/>
      <c r="Q37" s="4"/>
      <c r="R37" s="4"/>
      <c r="T37" s="4"/>
    </row>
    <row r="38" spans="2:20" x14ac:dyDescent="0.15">
      <c r="B38" s="4">
        <v>34</v>
      </c>
      <c r="C38" s="4" t="s">
        <v>82</v>
      </c>
      <c r="D38" s="4" t="s">
        <v>83</v>
      </c>
      <c r="E38" s="4">
        <v>9</v>
      </c>
      <c r="F38" s="4" t="s">
        <v>81</v>
      </c>
      <c r="G38" s="4">
        <v>1</v>
      </c>
      <c r="H38" s="4">
        <v>2000</v>
      </c>
      <c r="I38" s="4">
        <v>3000</v>
      </c>
      <c r="J38" s="4">
        <v>9</v>
      </c>
      <c r="K38" s="4">
        <f>IFERROR(VLOOKUP(L38,[1]technique!$E$5:$F$40,2,FALSE),0)</f>
        <v>33</v>
      </c>
      <c r="L38" s="4" t="s">
        <v>79</v>
      </c>
      <c r="M38" s="4"/>
      <c r="N38" s="4"/>
      <c r="P38" s="4"/>
      <c r="Q38" s="4"/>
      <c r="R38" s="4"/>
      <c r="T38" s="4"/>
    </row>
    <row r="39" spans="2:20" x14ac:dyDescent="0.15">
      <c r="B39" s="4">
        <v>35</v>
      </c>
      <c r="C39" s="4" t="s">
        <v>84</v>
      </c>
      <c r="D39" s="4" t="s">
        <v>85</v>
      </c>
      <c r="E39" s="4">
        <v>9</v>
      </c>
      <c r="F39" s="4" t="s">
        <v>81</v>
      </c>
      <c r="G39" s="4">
        <v>2</v>
      </c>
      <c r="H39" s="4">
        <v>3000</v>
      </c>
      <c r="I39" s="4">
        <v>5000</v>
      </c>
      <c r="J39" s="4">
        <v>15</v>
      </c>
      <c r="K39" s="4">
        <f>IFERROR(VLOOKUP(L39,[1]technique!$E$5:$F$40,2,FALSE),0)</f>
        <v>34</v>
      </c>
      <c r="L39" s="4" t="s">
        <v>82</v>
      </c>
      <c r="M39" s="4"/>
      <c r="N39" s="4"/>
      <c r="P39" s="4"/>
      <c r="Q39" s="4"/>
      <c r="R39" s="4"/>
      <c r="T39" s="4"/>
    </row>
    <row r="40" spans="2:20" x14ac:dyDescent="0.15">
      <c r="B40" s="4">
        <v>36</v>
      </c>
      <c r="C40" s="4" t="s">
        <v>86</v>
      </c>
      <c r="D40" s="4" t="s">
        <v>87</v>
      </c>
      <c r="E40" s="4">
        <v>9</v>
      </c>
      <c r="F40" s="4" t="s">
        <v>81</v>
      </c>
      <c r="G40" s="4">
        <v>3</v>
      </c>
      <c r="H40" s="4">
        <v>5000</v>
      </c>
      <c r="I40" s="4">
        <v>8000</v>
      </c>
      <c r="J40" s="4">
        <v>24</v>
      </c>
      <c r="K40" s="4">
        <f>IFERROR(VLOOKUP(L40,[1]technique!$E$5:$F$40,2,FALSE),0)</f>
        <v>35</v>
      </c>
      <c r="L40" s="4" t="s">
        <v>84</v>
      </c>
      <c r="M40" s="4"/>
      <c r="N40" s="4"/>
      <c r="P40" s="4"/>
      <c r="Q40" s="4"/>
      <c r="R40" s="4"/>
      <c r="T40" s="4"/>
    </row>
    <row r="41" spans="2:20" x14ac:dyDescent="0.15">
      <c r="D41" s="4"/>
      <c r="E41" s="4"/>
      <c r="I41" s="6"/>
      <c r="J41" s="4"/>
      <c r="K41" s="4"/>
      <c r="L41" s="4"/>
      <c r="M41" s="4"/>
      <c r="N41" s="4"/>
      <c r="P41" s="4"/>
      <c r="Q41" s="4"/>
      <c r="R41" s="4"/>
      <c r="T41" s="4"/>
    </row>
    <row r="42" spans="2:20" x14ac:dyDescent="0.15">
      <c r="D42" s="4"/>
      <c r="E42" s="4"/>
      <c r="I42" s="6"/>
      <c r="J42" s="4"/>
      <c r="K42" s="4"/>
      <c r="L42" s="4"/>
      <c r="M42" s="4"/>
      <c r="N42" s="4"/>
      <c r="P42" s="4"/>
      <c r="Q42" s="4"/>
      <c r="R42" s="4"/>
      <c r="T42" s="4"/>
    </row>
    <row r="43" spans="2:20" x14ac:dyDescent="0.15">
      <c r="D43" s="4"/>
      <c r="E43" s="4"/>
      <c r="I43" s="6"/>
      <c r="J43" s="4"/>
      <c r="K43" s="4"/>
      <c r="L43" s="4"/>
      <c r="M43" s="4"/>
      <c r="N43" s="4"/>
      <c r="P43" s="4"/>
      <c r="Q43" s="4"/>
      <c r="R43" s="4"/>
      <c r="T43" s="4"/>
    </row>
    <row r="44" spans="2:20" x14ac:dyDescent="0.15">
      <c r="D44" s="4"/>
      <c r="E44" s="4"/>
      <c r="I44" s="6"/>
      <c r="J44" s="4"/>
      <c r="K44" s="4"/>
      <c r="L44" s="4"/>
      <c r="M44" s="4"/>
      <c r="N44" s="4"/>
      <c r="P44" s="4"/>
      <c r="Q44" s="4"/>
      <c r="R44" s="4"/>
      <c r="T44" s="4"/>
    </row>
    <row r="45" spans="2:20" x14ac:dyDescent="0.15">
      <c r="D45" s="4"/>
      <c r="E45" s="4"/>
      <c r="I45" s="6"/>
      <c r="J45" s="4"/>
      <c r="K45" s="4"/>
      <c r="L45" s="4"/>
      <c r="M45" s="4"/>
      <c r="N45" s="4"/>
      <c r="P45" s="4"/>
      <c r="Q45" s="4"/>
      <c r="R45" s="4"/>
      <c r="T45" s="4"/>
    </row>
    <row r="46" spans="2:20" x14ac:dyDescent="0.15">
      <c r="D46" s="4"/>
      <c r="E46" s="4"/>
      <c r="I46" s="6"/>
      <c r="J46" s="4"/>
      <c r="K46" s="4"/>
      <c r="L46" s="4"/>
      <c r="M46" s="4"/>
      <c r="N46" s="4"/>
      <c r="P46" s="4"/>
      <c r="R46" s="4"/>
      <c r="T46" s="4"/>
    </row>
    <row r="47" spans="2:20" x14ac:dyDescent="0.15">
      <c r="D47" s="4"/>
      <c r="E47" s="4"/>
      <c r="J47" s="4"/>
      <c r="K47" s="4"/>
      <c r="L47" s="4"/>
      <c r="M47" s="4"/>
    </row>
    <row r="48" spans="2:20" x14ac:dyDescent="0.15">
      <c r="D48" s="4"/>
      <c r="E48" s="4"/>
      <c r="J48" s="4"/>
      <c r="K48" s="4"/>
      <c r="L48" s="4"/>
      <c r="M48" s="4"/>
    </row>
    <row r="49" spans="4:13" x14ac:dyDescent="0.15">
      <c r="D49" s="4"/>
      <c r="E49" s="4"/>
      <c r="J49" s="4"/>
      <c r="K49" s="4"/>
      <c r="L49" s="4"/>
      <c r="M49" s="4"/>
    </row>
    <row r="50" spans="4:13" x14ac:dyDescent="0.15">
      <c r="D50" s="4"/>
      <c r="E50" s="4"/>
      <c r="J50" s="4"/>
      <c r="K50" s="4"/>
      <c r="L50" s="4"/>
      <c r="M50" s="4"/>
    </row>
    <row r="51" spans="4:13" x14ac:dyDescent="0.15">
      <c r="D51" s="4"/>
      <c r="E51" s="4"/>
      <c r="J51" s="4"/>
      <c r="K51" s="4"/>
      <c r="L51" s="4"/>
      <c r="M51" s="4"/>
    </row>
    <row r="52" spans="4:13" x14ac:dyDescent="0.15">
      <c r="D52" s="4"/>
      <c r="E52" s="4"/>
      <c r="J52" s="4"/>
      <c r="K52" s="4"/>
      <c r="L52" s="4"/>
      <c r="M52" s="4"/>
    </row>
    <row r="53" spans="4:13" x14ac:dyDescent="0.15">
      <c r="D53" s="4"/>
      <c r="E53" s="4"/>
      <c r="J53" s="4"/>
      <c r="K53" s="4"/>
      <c r="L53" s="4"/>
      <c r="M53" s="4"/>
    </row>
    <row r="54" spans="4:13" x14ac:dyDescent="0.15">
      <c r="D54" s="4"/>
      <c r="E54" s="4"/>
      <c r="J54" s="4"/>
      <c r="K54" s="4"/>
      <c r="L54" s="4"/>
      <c r="M54" s="4"/>
    </row>
    <row r="55" spans="4:13" x14ac:dyDescent="0.15">
      <c r="D55" s="4"/>
      <c r="E55" s="4"/>
      <c r="J55" s="4"/>
      <c r="K55" s="4"/>
      <c r="L55" s="4"/>
      <c r="M55" s="4"/>
    </row>
    <row r="56" spans="4:13" x14ac:dyDescent="0.15">
      <c r="D56" s="4"/>
      <c r="E56" s="4"/>
      <c r="J56" s="4"/>
      <c r="K56" s="4"/>
      <c r="L56" s="4"/>
      <c r="M56" s="4"/>
    </row>
    <row r="57" spans="4:13" x14ac:dyDescent="0.15">
      <c r="D57" s="4"/>
      <c r="E57" s="4"/>
      <c r="J57" s="4"/>
      <c r="K57" s="4"/>
      <c r="L57" s="4"/>
      <c r="M57" s="4"/>
    </row>
    <row r="58" spans="4:13" x14ac:dyDescent="0.15">
      <c r="D58" s="4"/>
      <c r="E58" s="4"/>
      <c r="J58" s="4"/>
      <c r="K58" s="4"/>
      <c r="L58" s="4"/>
      <c r="M58" s="4"/>
    </row>
    <row r="59" spans="4:13" x14ac:dyDescent="0.15">
      <c r="D59" s="4"/>
      <c r="E59" s="4"/>
      <c r="J59" s="4"/>
      <c r="K59" s="4"/>
      <c r="L59" s="4"/>
      <c r="M59" s="4"/>
    </row>
    <row r="60" spans="4:13" x14ac:dyDescent="0.15">
      <c r="D60" s="4"/>
      <c r="E60" s="4"/>
      <c r="J60" s="4"/>
      <c r="K60" s="4"/>
      <c r="L60" s="4"/>
      <c r="M60" s="4"/>
    </row>
    <row r="61" spans="4:13" x14ac:dyDescent="0.15">
      <c r="D61" s="4"/>
      <c r="E61" s="4"/>
      <c r="J61" s="4"/>
      <c r="K61" s="4"/>
      <c r="L61" s="4"/>
      <c r="M61" s="4"/>
    </row>
    <row r="62" spans="4:13" x14ac:dyDescent="0.15">
      <c r="D62" s="4"/>
      <c r="E62" s="4"/>
      <c r="J62" s="4"/>
      <c r="K62" s="4"/>
      <c r="L62" s="4"/>
      <c r="M62" s="4"/>
    </row>
    <row r="63" spans="4:13" x14ac:dyDescent="0.15">
      <c r="D63" s="4"/>
      <c r="E63" s="4"/>
      <c r="J63" s="4"/>
      <c r="K63" s="4"/>
      <c r="L63" s="4"/>
      <c r="M63" s="4"/>
    </row>
    <row r="64" spans="4:13" x14ac:dyDescent="0.15">
      <c r="D64" s="4"/>
      <c r="E64" s="4"/>
      <c r="J64" s="4"/>
      <c r="K64" s="4"/>
      <c r="L64" s="4"/>
      <c r="M64" s="4"/>
    </row>
    <row r="65" spans="4:13" x14ac:dyDescent="0.15">
      <c r="D65" s="4"/>
      <c r="E65" s="4"/>
      <c r="J65" s="4"/>
      <c r="K65" s="4"/>
      <c r="L65" s="4"/>
      <c r="M65" s="4"/>
    </row>
    <row r="66" spans="4:13" x14ac:dyDescent="0.15">
      <c r="D66" s="4"/>
      <c r="E66" s="4"/>
      <c r="J66" s="4"/>
      <c r="K66" s="4"/>
      <c r="L66" s="4"/>
      <c r="M66" s="4"/>
    </row>
    <row r="67" spans="4:13" x14ac:dyDescent="0.15">
      <c r="D67" s="4"/>
      <c r="E67" s="4"/>
      <c r="J67" s="4"/>
      <c r="K67" s="4"/>
      <c r="L67" s="4"/>
      <c r="M67" s="4"/>
    </row>
    <row r="68" spans="4:13" x14ac:dyDescent="0.15">
      <c r="D68" s="4"/>
      <c r="E68" s="4"/>
      <c r="J68" s="4"/>
      <c r="K68" s="4"/>
      <c r="L68" s="4"/>
      <c r="M6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2025-12-25T10:23:49Z</dcterms:modified>
</cp:coreProperties>
</file>