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sango_infinity\Data\Export\Common\"/>
    </mc:Choice>
  </mc:AlternateContent>
  <xr:revisionPtr revIDLastSave="0" documentId="13_ncr:1_{34709166-495C-4C20-8FF9-091D9675A653}" xr6:coauthVersionLast="47" xr6:coauthVersionMax="47" xr10:uidLastSave="{00000000-0000-0000-0000-000000000000}"/>
  <bookViews>
    <workbookView xWindow="12" yWindow="12" windowWidth="30696" windowHeight="16656" tabRatio="923" xr2:uid="{00000000-000D-0000-FFFF-FFFF00000000}"/>
  </bookViews>
  <sheets>
    <sheet name="Techniques" sheetId="36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0" i="36" l="1"/>
  <c r="O39" i="36"/>
  <c r="O38" i="36"/>
  <c r="O36" i="36"/>
  <c r="O35" i="36"/>
  <c r="O34" i="36"/>
  <c r="O32" i="36"/>
  <c r="O31" i="36"/>
  <c r="O30" i="36"/>
  <c r="O28" i="36"/>
  <c r="O27" i="36"/>
  <c r="O26" i="36"/>
  <c r="O24" i="36"/>
  <c r="O23" i="36"/>
  <c r="O22" i="36"/>
  <c r="O20" i="36"/>
  <c r="O19" i="36"/>
  <c r="O18" i="36"/>
  <c r="O16" i="36"/>
  <c r="O15" i="36"/>
  <c r="O14" i="36"/>
  <c r="O12" i="36"/>
  <c r="O11" i="36"/>
  <c r="O10" i="36"/>
  <c r="O8" i="36"/>
  <c r="O7" i="36"/>
  <c r="O6" i="36"/>
</calcChain>
</file>

<file path=xl/sharedStrings.xml><?xml version="1.0" encoding="utf-8"?>
<sst xmlns="http://schemas.openxmlformats.org/spreadsheetml/2006/main" count="221" uniqueCount="129">
  <si>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</si>
  <si>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</si>
  <si>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</si>
  <si>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</si>
  <si>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</si>
  <si>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</si>
  <si>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</si>
  <si>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</si>
  <si>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锻炼枪兵</t>
    <phoneticPr fontId="1" type="noConversion"/>
  </si>
  <si>
    <t>增加枪兵战法的威力</t>
  </si>
  <si>
    <t>枪兵</t>
  </si>
  <si>
    <t>袭击兵粮</t>
  </si>
  <si>
    <t>以枪兵攻击时，夺取敌方部队的兵粮</t>
  </si>
  <si>
    <t>奇袭</t>
  </si>
  <si>
    <t>枪兵于森林中攻击时，不会遭到反击</t>
    <phoneticPr fontId="1" type="noConversion"/>
  </si>
  <si>
    <t>精锐枪兵</t>
  </si>
  <si>
    <t>强化枪兵的攻击力、防御力、移动力</t>
    <phoneticPr fontId="1" type="noConversion"/>
  </si>
  <si>
    <t>锻炼戟兵</t>
    <phoneticPr fontId="1" type="noConversion"/>
  </si>
  <si>
    <t>增加戟兵战法的威力</t>
  </si>
  <si>
    <t>戟兵</t>
  </si>
  <si>
    <t>箭盾</t>
  </si>
  <si>
    <t>以30％的机率来防御弓箭攻击</t>
    <phoneticPr fontId="1" type="noConversion"/>
  </si>
  <si>
    <t>大盾</t>
  </si>
  <si>
    <t>以30％的机率来防御一般攻击</t>
    <phoneticPr fontId="1" type="noConversion"/>
  </si>
  <si>
    <t>精锐戟兵</t>
  </si>
  <si>
    <t>强化戟兵的攻击力、防御力、移动力</t>
    <phoneticPr fontId="1" type="noConversion"/>
  </si>
  <si>
    <t>锻炼弩兵</t>
    <phoneticPr fontId="1" type="noConversion"/>
  </si>
  <si>
    <t>增加弩兵战法的威力</t>
  </si>
  <si>
    <t>弩兵</t>
  </si>
  <si>
    <t>还射</t>
  </si>
  <si>
    <t>弩兵遭受弓箭攻击时会自动反击</t>
  </si>
  <si>
    <t>强弩</t>
  </si>
  <si>
    <t>弩兵的射程增加１区格</t>
  </si>
  <si>
    <t>精锐弩兵</t>
  </si>
  <si>
    <t>强化弩兵的攻击力、防御力、移动力</t>
    <phoneticPr fontId="1" type="noConversion"/>
  </si>
  <si>
    <t>锻炼骑兵</t>
    <phoneticPr fontId="1" type="noConversion"/>
  </si>
  <si>
    <t>增加骑兵战法的威力</t>
  </si>
  <si>
    <t>骑兵</t>
  </si>
  <si>
    <t>出产良马</t>
  </si>
  <si>
    <t>增加骑兵的移动力</t>
  </si>
  <si>
    <t>骑射</t>
  </si>
  <si>
    <t>骑兵可执行弓箭攻击</t>
  </si>
  <si>
    <t>精锐骑兵</t>
  </si>
  <si>
    <t>强化骑兵的攻击力、防御力、移动力</t>
    <phoneticPr fontId="1" type="noConversion"/>
  </si>
  <si>
    <t>熟练兵</t>
  </si>
  <si>
    <t>士兵的气力上限增加20</t>
  </si>
  <si>
    <t>錬兵</t>
  </si>
  <si>
    <t>难所行军</t>
  </si>
  <si>
    <t>军制改革</t>
  </si>
  <si>
    <t>部队士兵上限增加3000</t>
  </si>
  <si>
    <t>云梯</t>
    <phoneticPr fontId="1" type="noConversion"/>
  </si>
  <si>
    <t>增加部队的据点攻击力</t>
  </si>
  <si>
    <t>强化车轴</t>
  </si>
  <si>
    <t>增加兵器的移动力</t>
  </si>
  <si>
    <t>发明</t>
  </si>
  <si>
    <t>石造建筑</t>
    <phoneticPr fontId="1" type="noConversion"/>
  </si>
  <si>
    <t>可使用障害物「石墙」、设施「石兵八阵」</t>
  </si>
  <si>
    <t>开发投石</t>
  </si>
  <si>
    <t>可使用兵装「投石、斗舰」、设施「投石台」</t>
    <phoneticPr fontId="1" type="noConversion"/>
  </si>
  <si>
    <t>霹雳</t>
  </si>
  <si>
    <t>执行投石攻击时，同时攻击周围１区格</t>
  </si>
  <si>
    <t>培训工兵</t>
  </si>
  <si>
    <t>增加每回合的耐久回复量</t>
    <phoneticPr fontId="1" type="noConversion"/>
  </si>
  <si>
    <t>防卫</t>
  </si>
  <si>
    <t>强化设施</t>
  </si>
  <si>
    <t>可使用设施「砦、连弩楼」</t>
  </si>
  <si>
    <t>强化城墙</t>
  </si>
  <si>
    <t>可使用设施「城塞」、增加据点的耐久</t>
  </si>
  <si>
    <t>强化防卫</t>
  </si>
  <si>
    <t>强化据点的反击力</t>
  </si>
  <si>
    <t>开发木兽</t>
  </si>
  <si>
    <t>可使用兵装「木兽」</t>
  </si>
  <si>
    <t>火攻</t>
  </si>
  <si>
    <t>神火计</t>
  </si>
  <si>
    <t>可于３区格范围内执行火计</t>
    <phoneticPr fontId="1" type="noConversion"/>
  </si>
  <si>
    <t>炼成火药</t>
    <phoneticPr fontId="1" type="noConversion"/>
  </si>
  <si>
    <t>可使用陷阱「火焰种、火焰球」</t>
    <phoneticPr fontId="1" type="noConversion"/>
  </si>
  <si>
    <t>炼成炸药</t>
    <phoneticPr fontId="1" type="noConversion"/>
  </si>
  <si>
    <t>可使用陷阱「业火种、业火球」，增强火势</t>
    <phoneticPr fontId="1" type="noConversion"/>
  </si>
  <si>
    <t>开通官道</t>
  </si>
  <si>
    <t>提升输送队的移动力</t>
    <phoneticPr fontId="1" type="noConversion"/>
  </si>
  <si>
    <t>内政</t>
  </si>
  <si>
    <t>扩展港关</t>
  </si>
  <si>
    <t>提升关所、港的最大资金、兵粮、士兵、兵装</t>
    <phoneticPr fontId="1" type="noConversion"/>
  </si>
  <si>
    <t>整备政令</t>
  </si>
  <si>
    <t>治安变得不容易下降</t>
  </si>
  <si>
    <t>掌握人心</t>
  </si>
  <si>
    <t>麾下武将的忠诚变得不容易下降</t>
  </si>
  <si>
    <t>desc</t>
    <phoneticPr fontId="1" type="noConversion"/>
  </si>
  <si>
    <t>kind</t>
    <phoneticPr fontId="1" type="noConversion"/>
  </si>
  <si>
    <t>level</t>
    <phoneticPr fontId="1" type="noConversion"/>
  </si>
  <si>
    <t>goldCost</t>
    <phoneticPr fontId="1" type="noConversion"/>
  </si>
  <si>
    <t>techPointCost</t>
    <phoneticPr fontId="1" type="noConversion"/>
  </si>
  <si>
    <t>counter</t>
    <phoneticPr fontId="1" type="noConversion"/>
  </si>
  <si>
    <t>u8</t>
    <phoneticPr fontId="1" type="noConversion"/>
  </si>
  <si>
    <t>effects</t>
    <phoneticPr fontId="1" type="noConversion"/>
  </si>
  <si>
    <t>ai32</t>
    <phoneticPr fontId="1" type="noConversion"/>
  </si>
  <si>
    <t>说明</t>
    <phoneticPr fontId="1" type="noConversion"/>
  </si>
  <si>
    <t>类型</t>
    <phoneticPr fontId="1" type="noConversion"/>
  </si>
  <si>
    <t>等级</t>
    <phoneticPr fontId="1" type="noConversion"/>
  </si>
  <si>
    <t>花费金钱</t>
    <phoneticPr fontId="1" type="noConversion"/>
  </si>
  <si>
    <t>花费技巧点</t>
    <phoneticPr fontId="1" type="noConversion"/>
  </si>
  <si>
    <t>研究回合</t>
    <phoneticPr fontId="1" type="noConversion"/>
  </si>
  <si>
    <t>前置技术</t>
    <phoneticPr fontId="1" type="noConversion"/>
  </si>
  <si>
    <t>needTechs</t>
    <phoneticPr fontId="1" type="noConversion"/>
  </si>
  <si>
    <t>效果集</t>
    <phoneticPr fontId="1" type="noConversion"/>
  </si>
  <si>
    <t>可通行间道与浅滩，通行栈道时不会受到损伤</t>
    <phoneticPr fontId="1" type="noConversion"/>
  </si>
  <si>
    <t>aobj</t>
    <phoneticPr fontId="1" type="noConversion"/>
  </si>
  <si>
    <t>u16</t>
    <phoneticPr fontId="1" type="noConversion"/>
  </si>
  <si>
    <t>col</t>
    <phoneticPr fontId="1" type="noConversion"/>
  </si>
  <si>
    <t>row</t>
    <phoneticPr fontId="1" type="noConversion"/>
  </si>
  <si>
    <t>位置</t>
    <phoneticPr fontId="1" type="noConversion"/>
  </si>
  <si>
    <t>研究所需属性</t>
    <phoneticPr fontId="1" type="noConversion"/>
  </si>
  <si>
    <t>needAttr</t>
    <phoneticPr fontId="1" type="noConversion"/>
  </si>
  <si>
    <t>tabColor</t>
    <phoneticPr fontId="1" type="noConversion"/>
  </si>
  <si>
    <t>标签页颜色</t>
    <phoneticPr fontId="1" type="noConversion"/>
  </si>
  <si>
    <t>au8</t>
  </si>
  <si>
    <t>255,100,100</t>
    <phoneticPr fontId="1" type="noConversion"/>
  </si>
  <si>
    <t>100,100,255</t>
    <phoneticPr fontId="1" type="noConversion"/>
  </si>
  <si>
    <t>100,255,100</t>
    <phoneticPr fontId="1" type="noConversion"/>
  </si>
  <si>
    <t>150,100,100</t>
    <phoneticPr fontId="1" type="noConversion"/>
  </si>
  <si>
    <t>255,255,100</t>
    <phoneticPr fontId="1" type="noConversion"/>
  </si>
  <si>
    <t>100,255,200</t>
    <phoneticPr fontId="1" type="noConversion"/>
  </si>
  <si>
    <t>200,100,200</t>
    <phoneticPr fontId="1" type="noConversion"/>
  </si>
  <si>
    <t>100,255,255</t>
    <phoneticPr fontId="1" type="noConversion"/>
  </si>
  <si>
    <t>255,150,100</t>
    <phoneticPr fontId="1" type="noConversion"/>
  </si>
  <si>
    <t>[{class:“ForceCityMaxMorale", value:20}]</t>
    <phoneticPr fontId="1" type="noConversion"/>
  </si>
  <si>
    <t>[{class:“ForceTroopMaxTroop", value:3000}]</t>
    <phoneticPr fontId="1" type="noConversion"/>
  </si>
  <si>
    <t>[{class:“TroopChangeTroops",value:20,kinds:[2],checkLand:0,isAttacker:1}]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</si>
</sst>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6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newSango\Data\Export\_old\Scenario_3.0.xlsm" TargetMode="External"/><Relationship Id="rId1" Type="http://schemas.openxmlformats.org/officeDocument/2006/relationships/externalLinkPath" Target="file:///K:\newSango\Data\Export\_old\Scenario_3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force"/>
      <sheetName val="corps"/>
      <sheetName val="city"/>
      <sheetName val="gate"/>
      <sheetName val="port"/>
      <sheetName val="person"/>
      <sheetName val="treasure"/>
      <sheetName val="troops"/>
      <sheetName val="troops_type"/>
      <sheetName val="troops_animation"/>
      <sheetName val="cell"/>
      <sheetName val="building"/>
      <sheetName val="building_type"/>
      <sheetName val="technique"/>
      <sheetName val="terrain_type"/>
      <sheetName val="features"/>
      <sheetName val="skill"/>
      <sheetName val="area"/>
      <sheetName val="enum"/>
      <sheetName val="official"/>
      <sheetName val="state"/>
      <sheetName val="learning"/>
      <sheetName val="duke"/>
      <sheetName val="country"/>
      <sheetName val="first_na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5">
          <cell r="E5" t="str">
            <v>锻炼枪兵</v>
          </cell>
          <cell r="F5">
            <v>1</v>
          </cell>
        </row>
        <row r="6">
          <cell r="E6" t="str">
            <v>袭击兵粮</v>
          </cell>
          <cell r="F6">
            <v>2</v>
          </cell>
        </row>
        <row r="7">
          <cell r="E7" t="str">
            <v>奇袭</v>
          </cell>
          <cell r="F7">
            <v>3</v>
          </cell>
        </row>
        <row r="8">
          <cell r="E8" t="str">
            <v>精锐枪兵</v>
          </cell>
          <cell r="F8">
            <v>4</v>
          </cell>
        </row>
        <row r="9">
          <cell r="E9" t="str">
            <v>锻炼戟兵</v>
          </cell>
          <cell r="F9">
            <v>5</v>
          </cell>
        </row>
        <row r="10">
          <cell r="E10" t="str">
            <v>箭盾</v>
          </cell>
          <cell r="F10">
            <v>6</v>
          </cell>
        </row>
        <row r="11">
          <cell r="E11" t="str">
            <v>大盾</v>
          </cell>
          <cell r="F11">
            <v>7</v>
          </cell>
        </row>
        <row r="12">
          <cell r="E12" t="str">
            <v>精锐戟兵</v>
          </cell>
          <cell r="F12">
            <v>8</v>
          </cell>
        </row>
        <row r="13">
          <cell r="E13" t="str">
            <v>锻炼弩兵</v>
          </cell>
          <cell r="F13">
            <v>9</v>
          </cell>
        </row>
        <row r="14">
          <cell r="E14" t="str">
            <v>还射</v>
          </cell>
          <cell r="F14">
            <v>10</v>
          </cell>
        </row>
        <row r="15">
          <cell r="E15" t="str">
            <v>强弩</v>
          </cell>
          <cell r="F15">
            <v>11</v>
          </cell>
        </row>
        <row r="16">
          <cell r="E16" t="str">
            <v>精锐弩兵</v>
          </cell>
          <cell r="F16">
            <v>12</v>
          </cell>
        </row>
        <row r="17">
          <cell r="E17" t="str">
            <v>锻炼骑兵</v>
          </cell>
          <cell r="F17">
            <v>13</v>
          </cell>
        </row>
        <row r="18">
          <cell r="E18" t="str">
            <v>出产良马</v>
          </cell>
          <cell r="F18">
            <v>14</v>
          </cell>
        </row>
        <row r="19">
          <cell r="E19" t="str">
            <v>骑射</v>
          </cell>
          <cell r="F19">
            <v>15</v>
          </cell>
        </row>
        <row r="20">
          <cell r="E20" t="str">
            <v>精锐骑兵</v>
          </cell>
          <cell r="F20">
            <v>16</v>
          </cell>
        </row>
        <row r="21">
          <cell r="E21" t="str">
            <v>熟练兵</v>
          </cell>
          <cell r="F21">
            <v>17</v>
          </cell>
        </row>
        <row r="22">
          <cell r="E22" t="str">
            <v>难所行军</v>
          </cell>
          <cell r="F22">
            <v>18</v>
          </cell>
        </row>
        <row r="23">
          <cell r="E23" t="str">
            <v>军制改革</v>
          </cell>
          <cell r="F23">
            <v>19</v>
          </cell>
        </row>
        <row r="24">
          <cell r="E24" t="str">
            <v>云梯</v>
          </cell>
          <cell r="F24">
            <v>20</v>
          </cell>
        </row>
        <row r="25">
          <cell r="E25" t="str">
            <v>强化车轴</v>
          </cell>
          <cell r="F25">
            <v>21</v>
          </cell>
        </row>
        <row r="26">
          <cell r="E26" t="str">
            <v>石造建筑</v>
          </cell>
          <cell r="F26">
            <v>22</v>
          </cell>
        </row>
        <row r="27">
          <cell r="E27" t="str">
            <v>开发投石</v>
          </cell>
          <cell r="F27">
            <v>23</v>
          </cell>
        </row>
        <row r="28">
          <cell r="E28" t="str">
            <v>霹雳</v>
          </cell>
          <cell r="F28">
            <v>24</v>
          </cell>
        </row>
        <row r="29">
          <cell r="E29" t="str">
            <v>培训工兵</v>
          </cell>
          <cell r="F29">
            <v>25</v>
          </cell>
        </row>
        <row r="30">
          <cell r="E30" t="str">
            <v>强化设施</v>
          </cell>
          <cell r="F30">
            <v>26</v>
          </cell>
        </row>
        <row r="31">
          <cell r="E31" t="str">
            <v>强化城墙</v>
          </cell>
          <cell r="F31">
            <v>27</v>
          </cell>
        </row>
        <row r="32">
          <cell r="E32" t="str">
            <v>强化防卫</v>
          </cell>
          <cell r="F32">
            <v>28</v>
          </cell>
        </row>
        <row r="33">
          <cell r="E33" t="str">
            <v>开发木兽</v>
          </cell>
          <cell r="F33">
            <v>29</v>
          </cell>
        </row>
        <row r="34">
          <cell r="E34" t="str">
            <v>神火计</v>
          </cell>
          <cell r="F34">
            <v>30</v>
          </cell>
        </row>
        <row r="35">
          <cell r="E35" t="str">
            <v>炼成火药</v>
          </cell>
          <cell r="F35">
            <v>31</v>
          </cell>
        </row>
        <row r="36">
          <cell r="E36" t="str">
            <v>炼成炸药</v>
          </cell>
          <cell r="F36">
            <v>32</v>
          </cell>
        </row>
        <row r="37">
          <cell r="E37" t="str">
            <v>开通官道</v>
          </cell>
          <cell r="F37">
            <v>33</v>
          </cell>
        </row>
        <row r="38">
          <cell r="E38" t="str">
            <v>扩展港关</v>
          </cell>
          <cell r="F38">
            <v>34</v>
          </cell>
        </row>
        <row r="39">
          <cell r="E39" t="str">
            <v>整备政令</v>
          </cell>
          <cell r="F39">
            <v>35</v>
          </cell>
        </row>
        <row r="40">
          <cell r="E40" t="str">
            <v>掌握人心</v>
          </cell>
          <cell r="F40">
            <v>36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Y68"/>
  <sheetViews>
    <sheetView tabSelected="1" zoomScale="82" zoomScaleNormal="82" workbookViewId="0">
      <pane xSplit="4" ySplit="4" topLeftCell="F5" activePane="bottomRight" state="frozen"/>
      <selection pane="topRight" activeCell="E1" sqref="E1"/>
      <selection pane="bottomLeft" activeCell="A5" sqref="A5"/>
      <selection pane="bottomRight" activeCell="Q5" sqref="Q5"/>
    </sheetView>
  </sheetViews>
  <sheetFormatPr defaultColWidth="9" defaultRowHeight="14.4" x14ac:dyDescent="0.25"/>
  <cols>
    <col min="1" max="1" width="6.77734375" style="2" bestFit="1" customWidth="1"/>
    <col min="2" max="2" width="5.77734375" style="2" bestFit="1" customWidth="1"/>
    <col min="3" max="3" width="9.109375" style="2" bestFit="1" customWidth="1"/>
    <col min="4" max="4" width="42.6640625" style="2" bestFit="1" customWidth="1"/>
    <col min="5" max="5" width="6.21875" style="2" bestFit="1" customWidth="1"/>
    <col min="6" max="6" width="5.77734375" style="2" bestFit="1" customWidth="1"/>
    <col min="7" max="7" width="7.33203125" style="2" bestFit="1" customWidth="1"/>
    <col min="8" max="9" width="7.33203125" style="2" customWidth="1"/>
    <col min="10" max="10" width="14.21875" style="2" customWidth="1"/>
    <col min="11" max="11" width="10.77734375" style="2" bestFit="1" customWidth="1"/>
    <col min="12" max="12" width="12.77734375" style="2" bestFit="1" customWidth="1"/>
    <col min="13" max="13" width="17" style="2" bestFit="1" customWidth="1"/>
    <col min="14" max="14" width="10.44140625" style="2" bestFit="1" customWidth="1"/>
    <col min="15" max="15" width="12" style="2" bestFit="1" customWidth="1"/>
    <col min="16" max="16" width="9.77734375" style="2" bestFit="1" customWidth="1"/>
    <col min="17" max="17" width="97.6640625" style="2" customWidth="1"/>
    <col min="18" max="16384" width="9" style="2"/>
  </cols>
  <sheetData>
    <row r="1" spans="1:25" s="10" customFormat="1" ht="59.25" customHeight="1" x14ac:dyDescent="0.25">
      <c r="A1" s="12"/>
      <c r="B1" s="9" t="s">
        <v>0</v>
      </c>
      <c r="C1" s="9" t="s">
        <v>1</v>
      </c>
      <c r="D1" s="14" t="s">
        <v>97</v>
      </c>
      <c r="E1" s="14"/>
      <c r="F1" s="9" t="s">
        <v>98</v>
      </c>
      <c r="G1" s="9" t="s">
        <v>99</v>
      </c>
      <c r="H1" s="9" t="s">
        <v>111</v>
      </c>
      <c r="I1" s="9" t="s">
        <v>111</v>
      </c>
      <c r="J1" s="9" t="s">
        <v>112</v>
      </c>
      <c r="K1" s="8" t="s">
        <v>100</v>
      </c>
      <c r="L1" s="8" t="s">
        <v>115</v>
      </c>
      <c r="M1" s="9" t="s">
        <v>101</v>
      </c>
      <c r="N1" s="14" t="s">
        <v>102</v>
      </c>
      <c r="O1" s="14" t="s">
        <v>103</v>
      </c>
      <c r="P1" s="14"/>
      <c r="Q1" s="14" t="s">
        <v>105</v>
      </c>
      <c r="R1" s="9"/>
      <c r="S1" s="7"/>
      <c r="T1" s="9"/>
      <c r="U1" s="7"/>
      <c r="V1" s="9"/>
      <c r="W1" s="7"/>
      <c r="X1" s="9"/>
      <c r="Y1" s="7"/>
    </row>
    <row r="2" spans="1:25" s="1" customFormat="1" ht="25.5" customHeight="1" x14ac:dyDescent="0.25">
      <c r="A2" s="1" t="s">
        <v>2</v>
      </c>
      <c r="B2" s="2"/>
      <c r="C2" s="2"/>
      <c r="D2"/>
      <c r="E2"/>
      <c r="F2" s="2"/>
      <c r="G2" s="2"/>
      <c r="H2" s="2"/>
      <c r="I2" s="2"/>
      <c r="J2" s="2"/>
      <c r="K2" s="2"/>
      <c r="L2" s="2"/>
      <c r="M2" s="2"/>
      <c r="N2"/>
      <c r="O2"/>
      <c r="P2"/>
      <c r="Q2"/>
      <c r="R2" s="2"/>
      <c r="S2" s="2"/>
      <c r="T2" s="2"/>
      <c r="U2" s="2"/>
      <c r="V2" s="2"/>
      <c r="W2" s="2"/>
      <c r="X2" s="2"/>
      <c r="Y2" s="2"/>
    </row>
    <row r="3" spans="1:25" s="5" customFormat="1" ht="33" customHeight="1" x14ac:dyDescent="0.25">
      <c r="A3" s="5" t="s">
        <v>4</v>
      </c>
      <c r="B3" s="8" t="s">
        <v>6</v>
      </c>
      <c r="C3" s="8" t="s">
        <v>7</v>
      </c>
      <c r="D3" s="8" t="s">
        <v>88</v>
      </c>
      <c r="E3" s="13" t="s">
        <v>89</v>
      </c>
      <c r="G3" s="8" t="s">
        <v>90</v>
      </c>
      <c r="H3" s="8" t="s">
        <v>109</v>
      </c>
      <c r="I3" s="8" t="s">
        <v>110</v>
      </c>
      <c r="J3" s="8" t="s">
        <v>113</v>
      </c>
      <c r="K3" s="8" t="s">
        <v>91</v>
      </c>
      <c r="L3" s="8" t="s">
        <v>114</v>
      </c>
      <c r="M3" s="8" t="s">
        <v>92</v>
      </c>
      <c r="N3" s="8" t="s">
        <v>93</v>
      </c>
      <c r="O3" s="8" t="s">
        <v>104</v>
      </c>
      <c r="P3" s="8"/>
      <c r="Q3" s="8" t="s">
        <v>95</v>
      </c>
      <c r="R3" s="8"/>
      <c r="S3" s="8"/>
      <c r="T3" s="8"/>
      <c r="U3" s="8"/>
      <c r="V3" s="8"/>
      <c r="W3" s="8"/>
      <c r="X3" s="8"/>
      <c r="Y3" s="8"/>
    </row>
    <row r="4" spans="1:25" s="11" customFormat="1" ht="15.75" customHeight="1" x14ac:dyDescent="0.25">
      <c r="A4" s="5" t="s">
        <v>4</v>
      </c>
      <c r="B4" s="11" t="s">
        <v>5</v>
      </c>
      <c r="C4" s="11" t="s">
        <v>3</v>
      </c>
      <c r="D4" s="15" t="s">
        <v>3</v>
      </c>
      <c r="E4" s="11" t="s">
        <v>108</v>
      </c>
      <c r="F4" s="11" t="s">
        <v>4</v>
      </c>
      <c r="G4" s="11" t="s">
        <v>94</v>
      </c>
      <c r="H4" s="11" t="s">
        <v>108</v>
      </c>
      <c r="I4" s="11" t="s">
        <v>108</v>
      </c>
      <c r="J4" s="11" t="s">
        <v>108</v>
      </c>
      <c r="K4" s="11" t="s">
        <v>5</v>
      </c>
      <c r="L4" s="11" t="s">
        <v>116</v>
      </c>
      <c r="M4" s="11" t="s">
        <v>5</v>
      </c>
      <c r="N4" s="15" t="s">
        <v>94</v>
      </c>
      <c r="O4" s="15" t="s">
        <v>96</v>
      </c>
      <c r="P4" s="15" t="s">
        <v>4</v>
      </c>
      <c r="Q4" s="15" t="s">
        <v>107</v>
      </c>
    </row>
    <row r="5" spans="1:25" x14ac:dyDescent="0.25">
      <c r="B5" s="4">
        <v>1</v>
      </c>
      <c r="C5" s="4" t="s">
        <v>8</v>
      </c>
      <c r="D5" s="4" t="s">
        <v>9</v>
      </c>
      <c r="E5" s="4">
        <v>1</v>
      </c>
      <c r="F5" s="4" t="s">
        <v>10</v>
      </c>
      <c r="G5" s="4">
        <v>0</v>
      </c>
      <c r="H5" s="4">
        <v>0</v>
      </c>
      <c r="I5" s="4">
        <v>0</v>
      </c>
      <c r="J5" s="4">
        <v>1</v>
      </c>
      <c r="K5" s="4">
        <v>1000</v>
      </c>
      <c r="L5" s="2" t="s">
        <v>117</v>
      </c>
      <c r="M5" s="4">
        <v>2000</v>
      </c>
      <c r="N5" s="4">
        <v>3</v>
      </c>
      <c r="O5" s="4"/>
      <c r="P5" s="4"/>
      <c r="Q5" s="4" t="s">
        <v>128</v>
      </c>
      <c r="R5" s="4"/>
      <c r="T5" s="4"/>
      <c r="U5" s="4"/>
      <c r="V5" s="4"/>
      <c r="X5" s="4"/>
    </row>
    <row r="6" spans="1:25" x14ac:dyDescent="0.25">
      <c r="A6" s="3"/>
      <c r="B6" s="4">
        <v>2</v>
      </c>
      <c r="C6" s="4" t="s">
        <v>11</v>
      </c>
      <c r="D6" s="4" t="s">
        <v>12</v>
      </c>
      <c r="E6" s="4">
        <v>1</v>
      </c>
      <c r="F6" s="4" t="s">
        <v>10</v>
      </c>
      <c r="G6" s="4">
        <v>1</v>
      </c>
      <c r="H6" s="4">
        <v>1</v>
      </c>
      <c r="I6" s="4">
        <v>0</v>
      </c>
      <c r="J6" s="4">
        <v>1</v>
      </c>
      <c r="K6" s="4">
        <v>2000</v>
      </c>
      <c r="L6" s="2" t="s">
        <v>117</v>
      </c>
      <c r="M6" s="4">
        <v>3000</v>
      </c>
      <c r="N6" s="4">
        <v>4</v>
      </c>
      <c r="O6" s="4">
        <f>IFERROR(VLOOKUP(P6,[1]technique!$E$5:$F$40,2,FALSE),0)</f>
        <v>1</v>
      </c>
      <c r="P6" s="4" t="s">
        <v>8</v>
      </c>
      <c r="Q6" s="4"/>
      <c r="R6" s="4"/>
      <c r="T6" s="4"/>
      <c r="U6" s="4"/>
      <c r="V6" s="4"/>
      <c r="X6" s="4"/>
    </row>
    <row r="7" spans="1:25" x14ac:dyDescent="0.25">
      <c r="B7" s="4">
        <v>3</v>
      </c>
      <c r="C7" s="4" t="s">
        <v>13</v>
      </c>
      <c r="D7" s="4" t="s">
        <v>14</v>
      </c>
      <c r="E7" s="4">
        <v>1</v>
      </c>
      <c r="F7" s="4" t="s">
        <v>10</v>
      </c>
      <c r="G7" s="4">
        <v>2</v>
      </c>
      <c r="H7" s="4">
        <v>2</v>
      </c>
      <c r="I7" s="4">
        <v>0</v>
      </c>
      <c r="J7" s="4">
        <v>1</v>
      </c>
      <c r="K7" s="4">
        <v>3000</v>
      </c>
      <c r="L7" s="2" t="s">
        <v>117</v>
      </c>
      <c r="M7" s="4">
        <v>5000</v>
      </c>
      <c r="N7" s="4">
        <v>6</v>
      </c>
      <c r="O7" s="4">
        <f>IFERROR(VLOOKUP(P7,[1]technique!$E$5:$F$40,2,FALSE),0)</f>
        <v>2</v>
      </c>
      <c r="P7" s="4" t="s">
        <v>11</v>
      </c>
      <c r="Q7" s="4"/>
      <c r="R7" s="4"/>
      <c r="T7" s="4"/>
      <c r="U7" s="4"/>
      <c r="V7" s="4"/>
      <c r="X7" s="4"/>
    </row>
    <row r="8" spans="1:25" x14ac:dyDescent="0.25">
      <c r="B8" s="4">
        <v>4</v>
      </c>
      <c r="C8" s="4" t="s">
        <v>15</v>
      </c>
      <c r="D8" s="4" t="s">
        <v>16</v>
      </c>
      <c r="E8" s="4">
        <v>1</v>
      </c>
      <c r="F8" s="4" t="s">
        <v>10</v>
      </c>
      <c r="G8" s="4">
        <v>3</v>
      </c>
      <c r="H8" s="4">
        <v>3</v>
      </c>
      <c r="I8" s="4">
        <v>0</v>
      </c>
      <c r="J8" s="4">
        <v>1</v>
      </c>
      <c r="K8" s="4">
        <v>5000</v>
      </c>
      <c r="L8" s="2" t="s">
        <v>117</v>
      </c>
      <c r="M8" s="4">
        <v>8000</v>
      </c>
      <c r="N8" s="4">
        <v>9</v>
      </c>
      <c r="O8" s="4">
        <f>IFERROR(VLOOKUP(P8,[1]technique!$E$5:$F$40,2,FALSE),0)</f>
        <v>3</v>
      </c>
      <c r="P8" s="4" t="s">
        <v>13</v>
      </c>
      <c r="Q8" s="4"/>
      <c r="R8" s="4"/>
      <c r="T8" s="4"/>
      <c r="U8" s="4"/>
      <c r="V8" s="4"/>
      <c r="X8" s="4"/>
    </row>
    <row r="9" spans="1:25" x14ac:dyDescent="0.25">
      <c r="B9" s="4">
        <v>5</v>
      </c>
      <c r="C9" s="4" t="s">
        <v>17</v>
      </c>
      <c r="D9" s="4" t="s">
        <v>18</v>
      </c>
      <c r="E9" s="4">
        <v>2</v>
      </c>
      <c r="F9" s="4" t="s">
        <v>19</v>
      </c>
      <c r="G9" s="4">
        <v>0</v>
      </c>
      <c r="H9" s="4">
        <v>0</v>
      </c>
      <c r="I9" s="4">
        <v>1</v>
      </c>
      <c r="J9" s="4">
        <v>1</v>
      </c>
      <c r="K9" s="4">
        <v>1000</v>
      </c>
      <c r="L9" s="2" t="s">
        <v>118</v>
      </c>
      <c r="M9" s="4">
        <v>2000</v>
      </c>
      <c r="N9" s="4">
        <v>3</v>
      </c>
      <c r="O9" s="4"/>
      <c r="P9" s="4"/>
      <c r="Q9" s="4"/>
      <c r="R9" s="4"/>
      <c r="T9" s="4"/>
      <c r="U9" s="4"/>
      <c r="V9" s="4"/>
      <c r="X9" s="4"/>
    </row>
    <row r="10" spans="1:25" x14ac:dyDescent="0.25">
      <c r="B10" s="4">
        <v>6</v>
      </c>
      <c r="C10" s="4" t="s">
        <v>20</v>
      </c>
      <c r="D10" s="4" t="s">
        <v>21</v>
      </c>
      <c r="E10" s="4">
        <v>2</v>
      </c>
      <c r="F10" s="4" t="s">
        <v>19</v>
      </c>
      <c r="G10" s="4">
        <v>1</v>
      </c>
      <c r="H10" s="4">
        <v>1</v>
      </c>
      <c r="I10" s="4">
        <v>1</v>
      </c>
      <c r="J10" s="4">
        <v>1</v>
      </c>
      <c r="K10" s="4">
        <v>2000</v>
      </c>
      <c r="L10" s="2" t="s">
        <v>118</v>
      </c>
      <c r="M10" s="4">
        <v>3000</v>
      </c>
      <c r="N10" s="4">
        <v>4</v>
      </c>
      <c r="O10" s="4">
        <f>IFERROR(VLOOKUP(P10,[1]technique!$E$5:$F$40,2,FALSE),0)</f>
        <v>5</v>
      </c>
      <c r="P10" s="4" t="s">
        <v>17</v>
      </c>
      <c r="Q10" s="4"/>
      <c r="R10" s="4"/>
      <c r="T10" s="4"/>
      <c r="U10" s="4"/>
      <c r="V10" s="4"/>
      <c r="X10" s="4"/>
    </row>
    <row r="11" spans="1:25" x14ac:dyDescent="0.25">
      <c r="B11" s="4">
        <v>7</v>
      </c>
      <c r="C11" s="4" t="s">
        <v>22</v>
      </c>
      <c r="D11" s="4" t="s">
        <v>23</v>
      </c>
      <c r="E11" s="4">
        <v>2</v>
      </c>
      <c r="F11" s="4" t="s">
        <v>19</v>
      </c>
      <c r="G11" s="4">
        <v>2</v>
      </c>
      <c r="H11" s="4">
        <v>2</v>
      </c>
      <c r="I11" s="4">
        <v>1</v>
      </c>
      <c r="J11" s="4">
        <v>1</v>
      </c>
      <c r="K11" s="4">
        <v>3000</v>
      </c>
      <c r="L11" s="2" t="s">
        <v>118</v>
      </c>
      <c r="M11" s="4">
        <v>5000</v>
      </c>
      <c r="N11" s="4">
        <v>6</v>
      </c>
      <c r="O11" s="4">
        <f>IFERROR(VLOOKUP(P11,[1]technique!$E$5:$F$40,2,FALSE),0)</f>
        <v>6</v>
      </c>
      <c r="P11" s="4" t="s">
        <v>20</v>
      </c>
      <c r="Q11" s="4"/>
      <c r="R11" s="4"/>
      <c r="T11" s="4"/>
      <c r="U11" s="4"/>
      <c r="V11" s="4"/>
      <c r="X11" s="4"/>
    </row>
    <row r="12" spans="1:25" x14ac:dyDescent="0.25">
      <c r="B12" s="4">
        <v>8</v>
      </c>
      <c r="C12" s="4" t="s">
        <v>24</v>
      </c>
      <c r="D12" s="4" t="s">
        <v>25</v>
      </c>
      <c r="E12" s="4">
        <v>2</v>
      </c>
      <c r="F12" s="4" t="s">
        <v>19</v>
      </c>
      <c r="G12" s="4">
        <v>3</v>
      </c>
      <c r="H12" s="4">
        <v>3</v>
      </c>
      <c r="I12" s="4">
        <v>1</v>
      </c>
      <c r="J12" s="4">
        <v>1</v>
      </c>
      <c r="K12" s="4">
        <v>5000</v>
      </c>
      <c r="L12" s="2" t="s">
        <v>118</v>
      </c>
      <c r="M12" s="4">
        <v>8000</v>
      </c>
      <c r="N12" s="4">
        <v>9</v>
      </c>
      <c r="O12" s="4">
        <f>IFERROR(VLOOKUP(P12,[1]technique!$E$5:$F$40,2,FALSE),0)</f>
        <v>7</v>
      </c>
      <c r="P12" s="4" t="s">
        <v>22</v>
      </c>
      <c r="Q12" s="4"/>
      <c r="R12" s="4"/>
      <c r="T12" s="4"/>
      <c r="U12" s="4"/>
      <c r="V12" s="4"/>
      <c r="X12" s="4"/>
    </row>
    <row r="13" spans="1:25" x14ac:dyDescent="0.25">
      <c r="B13" s="4">
        <v>9</v>
      </c>
      <c r="C13" s="4" t="s">
        <v>26</v>
      </c>
      <c r="D13" s="4" t="s">
        <v>27</v>
      </c>
      <c r="E13" s="4">
        <v>3</v>
      </c>
      <c r="F13" s="4" t="s">
        <v>28</v>
      </c>
      <c r="G13" s="4">
        <v>0</v>
      </c>
      <c r="H13" s="4">
        <v>0</v>
      </c>
      <c r="I13" s="4">
        <v>2</v>
      </c>
      <c r="J13" s="4">
        <v>1</v>
      </c>
      <c r="K13" s="4">
        <v>1000</v>
      </c>
      <c r="L13" s="2" t="s">
        <v>119</v>
      </c>
      <c r="M13" s="4">
        <v>2000</v>
      </c>
      <c r="N13" s="4">
        <v>3</v>
      </c>
      <c r="O13" s="4"/>
      <c r="P13" s="4"/>
      <c r="Q13" s="4"/>
      <c r="R13" s="4"/>
      <c r="T13" s="4"/>
      <c r="U13" s="4"/>
      <c r="V13" s="4"/>
      <c r="X13" s="4"/>
    </row>
    <row r="14" spans="1:25" x14ac:dyDescent="0.25">
      <c r="B14" s="4">
        <v>10</v>
      </c>
      <c r="C14" s="4" t="s">
        <v>29</v>
      </c>
      <c r="D14" s="4" t="s">
        <v>30</v>
      </c>
      <c r="E14" s="4">
        <v>3</v>
      </c>
      <c r="F14" s="4" t="s">
        <v>28</v>
      </c>
      <c r="G14" s="4">
        <v>1</v>
      </c>
      <c r="H14" s="4">
        <v>1</v>
      </c>
      <c r="I14" s="4">
        <v>2</v>
      </c>
      <c r="J14" s="4">
        <v>1</v>
      </c>
      <c r="K14" s="4">
        <v>2000</v>
      </c>
      <c r="L14" s="2" t="s">
        <v>119</v>
      </c>
      <c r="M14" s="4">
        <v>3000</v>
      </c>
      <c r="N14" s="4">
        <v>4</v>
      </c>
      <c r="O14" s="4">
        <f>IFERROR(VLOOKUP(P14,[1]technique!$E$5:$F$40,2,FALSE),0)</f>
        <v>9</v>
      </c>
      <c r="P14" s="4" t="s">
        <v>26</v>
      </c>
      <c r="Q14" s="4"/>
      <c r="R14" s="4"/>
      <c r="T14" s="4"/>
      <c r="U14" s="4"/>
      <c r="V14" s="4"/>
      <c r="X14" s="4"/>
    </row>
    <row r="15" spans="1:25" x14ac:dyDescent="0.25">
      <c r="B15" s="4">
        <v>11</v>
      </c>
      <c r="C15" s="4" t="s">
        <v>31</v>
      </c>
      <c r="D15" s="4" t="s">
        <v>32</v>
      </c>
      <c r="E15" s="4">
        <v>3</v>
      </c>
      <c r="F15" s="4" t="s">
        <v>28</v>
      </c>
      <c r="G15" s="4">
        <v>2</v>
      </c>
      <c r="H15" s="4">
        <v>2</v>
      </c>
      <c r="I15" s="4">
        <v>2</v>
      </c>
      <c r="J15" s="4">
        <v>1</v>
      </c>
      <c r="K15" s="4">
        <v>3000</v>
      </c>
      <c r="L15" s="2" t="s">
        <v>119</v>
      </c>
      <c r="M15" s="4">
        <v>5000</v>
      </c>
      <c r="N15" s="4">
        <v>6</v>
      </c>
      <c r="O15" s="4">
        <f>IFERROR(VLOOKUP(P15,[1]technique!$E$5:$F$40,2,FALSE),0)</f>
        <v>10</v>
      </c>
      <c r="P15" s="4" t="s">
        <v>29</v>
      </c>
      <c r="Q15" s="4"/>
      <c r="R15" s="4"/>
      <c r="T15" s="4"/>
      <c r="U15" s="4"/>
      <c r="V15" s="4"/>
      <c r="X15" s="4"/>
    </row>
    <row r="16" spans="1:25" x14ac:dyDescent="0.25">
      <c r="B16" s="4">
        <v>12</v>
      </c>
      <c r="C16" s="4" t="s">
        <v>33</v>
      </c>
      <c r="D16" s="4" t="s">
        <v>34</v>
      </c>
      <c r="E16" s="4">
        <v>3</v>
      </c>
      <c r="F16" s="4" t="s">
        <v>28</v>
      </c>
      <c r="G16" s="4">
        <v>3</v>
      </c>
      <c r="H16" s="4">
        <v>3</v>
      </c>
      <c r="I16" s="4">
        <v>2</v>
      </c>
      <c r="J16" s="4">
        <v>1</v>
      </c>
      <c r="K16" s="4">
        <v>5000</v>
      </c>
      <c r="L16" s="2" t="s">
        <v>119</v>
      </c>
      <c r="M16" s="4">
        <v>8000</v>
      </c>
      <c r="N16" s="4">
        <v>9</v>
      </c>
      <c r="O16" s="4">
        <f>IFERROR(VLOOKUP(P16,[1]technique!$E$5:$F$40,2,FALSE),0)</f>
        <v>11</v>
      </c>
      <c r="P16" s="4" t="s">
        <v>31</v>
      </c>
      <c r="Q16" s="4"/>
      <c r="R16" s="4"/>
      <c r="T16" s="4"/>
      <c r="U16" s="4"/>
      <c r="V16" s="4"/>
      <c r="X16" s="4"/>
    </row>
    <row r="17" spans="2:24" x14ac:dyDescent="0.25">
      <c r="B17" s="4">
        <v>13</v>
      </c>
      <c r="C17" s="4" t="s">
        <v>35</v>
      </c>
      <c r="D17" s="4" t="s">
        <v>36</v>
      </c>
      <c r="E17" s="4">
        <v>4</v>
      </c>
      <c r="F17" s="4" t="s">
        <v>37</v>
      </c>
      <c r="G17" s="4">
        <v>0</v>
      </c>
      <c r="H17" s="4">
        <v>0</v>
      </c>
      <c r="I17" s="4">
        <v>3</v>
      </c>
      <c r="J17" s="4">
        <v>1</v>
      </c>
      <c r="K17" s="4">
        <v>1000</v>
      </c>
      <c r="L17" s="2" t="s">
        <v>120</v>
      </c>
      <c r="M17" s="4">
        <v>2000</v>
      </c>
      <c r="N17" s="4">
        <v>3</v>
      </c>
      <c r="O17" s="4"/>
      <c r="P17" s="4"/>
      <c r="Q17" s="4"/>
      <c r="R17" s="4"/>
      <c r="T17" s="4"/>
      <c r="U17" s="4"/>
      <c r="V17" s="4"/>
      <c r="X17" s="4"/>
    </row>
    <row r="18" spans="2:24" x14ac:dyDescent="0.25">
      <c r="B18" s="4">
        <v>14</v>
      </c>
      <c r="C18" s="4" t="s">
        <v>38</v>
      </c>
      <c r="D18" s="4" t="s">
        <v>39</v>
      </c>
      <c r="E18" s="4">
        <v>4</v>
      </c>
      <c r="F18" s="4" t="s">
        <v>37</v>
      </c>
      <c r="G18" s="4">
        <v>1</v>
      </c>
      <c r="H18" s="4">
        <v>1</v>
      </c>
      <c r="I18" s="4">
        <v>3</v>
      </c>
      <c r="J18" s="4">
        <v>1</v>
      </c>
      <c r="K18" s="4">
        <v>2000</v>
      </c>
      <c r="L18" s="2" t="s">
        <v>120</v>
      </c>
      <c r="M18" s="4">
        <v>3000</v>
      </c>
      <c r="N18" s="4">
        <v>4</v>
      </c>
      <c r="O18" s="4">
        <f>IFERROR(VLOOKUP(P18,[1]technique!$E$5:$F$40,2,FALSE),0)</f>
        <v>13</v>
      </c>
      <c r="P18" s="4" t="s">
        <v>35</v>
      </c>
      <c r="Q18" s="4"/>
      <c r="R18" s="4"/>
      <c r="T18" s="4"/>
      <c r="U18" s="4"/>
      <c r="V18" s="4"/>
      <c r="X18" s="4"/>
    </row>
    <row r="19" spans="2:24" x14ac:dyDescent="0.25">
      <c r="B19" s="4">
        <v>15</v>
      </c>
      <c r="C19" s="4" t="s">
        <v>40</v>
      </c>
      <c r="D19" s="4" t="s">
        <v>41</v>
      </c>
      <c r="E19" s="4">
        <v>4</v>
      </c>
      <c r="F19" s="4" t="s">
        <v>37</v>
      </c>
      <c r="G19" s="4">
        <v>2</v>
      </c>
      <c r="H19" s="4">
        <v>2</v>
      </c>
      <c r="I19" s="4">
        <v>3</v>
      </c>
      <c r="J19" s="4">
        <v>1</v>
      </c>
      <c r="K19" s="4">
        <v>3000</v>
      </c>
      <c r="L19" s="2" t="s">
        <v>120</v>
      </c>
      <c r="M19" s="4">
        <v>5000</v>
      </c>
      <c r="N19" s="4">
        <v>6</v>
      </c>
      <c r="O19" s="4">
        <f>IFERROR(VLOOKUP(P19,[1]technique!$E$5:$F$40,2,FALSE),0)</f>
        <v>14</v>
      </c>
      <c r="P19" s="4" t="s">
        <v>38</v>
      </c>
      <c r="Q19" s="4"/>
      <c r="R19" s="4"/>
      <c r="T19" s="4"/>
      <c r="U19" s="4"/>
      <c r="V19" s="4"/>
      <c r="X19" s="4"/>
    </row>
    <row r="20" spans="2:24" x14ac:dyDescent="0.25">
      <c r="B20" s="4">
        <v>16</v>
      </c>
      <c r="C20" s="4" t="s">
        <v>42</v>
      </c>
      <c r="D20" s="4" t="s">
        <v>43</v>
      </c>
      <c r="E20" s="4">
        <v>4</v>
      </c>
      <c r="F20" s="4" t="s">
        <v>37</v>
      </c>
      <c r="G20" s="4">
        <v>3</v>
      </c>
      <c r="H20" s="4">
        <v>3</v>
      </c>
      <c r="I20" s="4">
        <v>3</v>
      </c>
      <c r="J20" s="4">
        <v>1</v>
      </c>
      <c r="K20" s="4">
        <v>5000</v>
      </c>
      <c r="L20" s="2" t="s">
        <v>120</v>
      </c>
      <c r="M20" s="4">
        <v>8000</v>
      </c>
      <c r="N20" s="4">
        <v>9</v>
      </c>
      <c r="O20" s="4">
        <f>IFERROR(VLOOKUP(P20,[1]technique!$E$5:$F$40,2,FALSE),0)</f>
        <v>15</v>
      </c>
      <c r="P20" s="4" t="s">
        <v>40</v>
      </c>
      <c r="Q20" s="4"/>
      <c r="R20" s="4"/>
      <c r="T20" s="4"/>
      <c r="U20" s="4"/>
      <c r="V20" s="4"/>
      <c r="X20" s="4"/>
    </row>
    <row r="21" spans="2:24" x14ac:dyDescent="0.25">
      <c r="B21" s="4">
        <v>17</v>
      </c>
      <c r="C21" s="4" t="s">
        <v>44</v>
      </c>
      <c r="D21" s="4" t="s">
        <v>45</v>
      </c>
      <c r="E21" s="4">
        <v>5</v>
      </c>
      <c r="F21" s="4" t="s">
        <v>46</v>
      </c>
      <c r="G21" s="4">
        <v>0</v>
      </c>
      <c r="H21" s="4">
        <v>0</v>
      </c>
      <c r="I21" s="4">
        <v>4</v>
      </c>
      <c r="J21" s="4">
        <v>0</v>
      </c>
      <c r="K21" s="4">
        <v>1000</v>
      </c>
      <c r="L21" s="2" t="s">
        <v>121</v>
      </c>
      <c r="M21" s="4">
        <v>2000</v>
      </c>
      <c r="N21" s="4">
        <v>3</v>
      </c>
      <c r="O21" s="4"/>
      <c r="P21" s="4"/>
      <c r="Q21" s="4" t="s">
        <v>126</v>
      </c>
      <c r="R21" s="4"/>
      <c r="T21" s="4"/>
      <c r="U21" s="4"/>
      <c r="V21" s="4"/>
      <c r="X21" s="4"/>
    </row>
    <row r="22" spans="2:24" x14ac:dyDescent="0.25">
      <c r="B22" s="4">
        <v>18</v>
      </c>
      <c r="C22" s="4" t="s">
        <v>47</v>
      </c>
      <c r="D22" s="4" t="s">
        <v>106</v>
      </c>
      <c r="E22" s="4">
        <v>5</v>
      </c>
      <c r="F22" s="4" t="s">
        <v>46</v>
      </c>
      <c r="G22" s="4">
        <v>1</v>
      </c>
      <c r="H22" s="4">
        <v>1</v>
      </c>
      <c r="I22" s="4">
        <v>4</v>
      </c>
      <c r="J22" s="4">
        <v>0</v>
      </c>
      <c r="K22" s="4">
        <v>2000</v>
      </c>
      <c r="L22" s="2" t="s">
        <v>121</v>
      </c>
      <c r="M22" s="4">
        <v>3000</v>
      </c>
      <c r="N22" s="4">
        <v>4</v>
      </c>
      <c r="O22" s="4">
        <f>IFERROR(VLOOKUP(P22,[1]technique!$E$5:$F$40,2,FALSE),0)</f>
        <v>17</v>
      </c>
      <c r="P22" s="4" t="s">
        <v>44</v>
      </c>
      <c r="Q22" s="4"/>
      <c r="R22" s="4"/>
      <c r="T22" s="4"/>
      <c r="U22" s="4"/>
      <c r="V22" s="4"/>
      <c r="X22" s="4"/>
    </row>
    <row r="23" spans="2:24" x14ac:dyDescent="0.25">
      <c r="B23" s="4">
        <v>19</v>
      </c>
      <c r="C23" s="4" t="s">
        <v>48</v>
      </c>
      <c r="D23" s="4" t="s">
        <v>49</v>
      </c>
      <c r="E23" s="4">
        <v>5</v>
      </c>
      <c r="F23" s="4" t="s">
        <v>46</v>
      </c>
      <c r="G23" s="4">
        <v>2</v>
      </c>
      <c r="H23" s="4">
        <v>2</v>
      </c>
      <c r="I23" s="4">
        <v>4</v>
      </c>
      <c r="J23" s="4">
        <v>0</v>
      </c>
      <c r="K23" s="4">
        <v>3000</v>
      </c>
      <c r="L23" s="2" t="s">
        <v>121</v>
      </c>
      <c r="M23" s="4">
        <v>5000</v>
      </c>
      <c r="N23" s="4">
        <v>6</v>
      </c>
      <c r="O23" s="4">
        <f>IFERROR(VLOOKUP(P23,[1]technique!$E$5:$F$40,2,FALSE),0)</f>
        <v>18</v>
      </c>
      <c r="P23" s="4" t="s">
        <v>47</v>
      </c>
      <c r="Q23" s="4"/>
      <c r="R23" s="4"/>
      <c r="T23" s="4"/>
      <c r="U23" s="4"/>
      <c r="V23" s="4"/>
      <c r="X23" s="4"/>
    </row>
    <row r="24" spans="2:24" x14ac:dyDescent="0.25">
      <c r="B24" s="4">
        <v>20</v>
      </c>
      <c r="C24" s="4" t="s">
        <v>50</v>
      </c>
      <c r="D24" s="4" t="s">
        <v>51</v>
      </c>
      <c r="E24" s="4">
        <v>5</v>
      </c>
      <c r="F24" s="4" t="s">
        <v>46</v>
      </c>
      <c r="G24" s="4">
        <v>3</v>
      </c>
      <c r="H24" s="4">
        <v>3</v>
      </c>
      <c r="I24" s="4">
        <v>4</v>
      </c>
      <c r="J24" s="4">
        <v>0</v>
      </c>
      <c r="K24" s="4">
        <v>5000</v>
      </c>
      <c r="L24" s="2" t="s">
        <v>121</v>
      </c>
      <c r="M24" s="4">
        <v>8000</v>
      </c>
      <c r="N24" s="4">
        <v>9</v>
      </c>
      <c r="O24" s="4">
        <f>IFERROR(VLOOKUP(P24,[1]technique!$E$5:$F$40,2,FALSE),0)</f>
        <v>19</v>
      </c>
      <c r="P24" s="4" t="s">
        <v>48</v>
      </c>
      <c r="Q24" s="4" t="s">
        <v>127</v>
      </c>
      <c r="R24" s="4"/>
      <c r="T24" s="4"/>
      <c r="U24" s="4"/>
      <c r="V24" s="4"/>
      <c r="X24" s="4"/>
    </row>
    <row r="25" spans="2:24" x14ac:dyDescent="0.25">
      <c r="B25" s="4">
        <v>21</v>
      </c>
      <c r="C25" s="4" t="s">
        <v>52</v>
      </c>
      <c r="D25" s="4" t="s">
        <v>53</v>
      </c>
      <c r="E25" s="4">
        <v>6</v>
      </c>
      <c r="F25" s="4" t="s">
        <v>54</v>
      </c>
      <c r="G25" s="4">
        <v>0</v>
      </c>
      <c r="H25" s="4">
        <v>0</v>
      </c>
      <c r="I25" s="4">
        <v>5</v>
      </c>
      <c r="J25" s="4">
        <v>2</v>
      </c>
      <c r="K25" s="4">
        <v>1000</v>
      </c>
      <c r="L25" s="2" t="s">
        <v>122</v>
      </c>
      <c r="M25" s="4">
        <v>2000</v>
      </c>
      <c r="N25" s="4">
        <v>3</v>
      </c>
      <c r="O25" s="4"/>
      <c r="P25" s="4"/>
      <c r="Q25" s="4"/>
      <c r="R25" s="4"/>
      <c r="T25" s="4"/>
      <c r="U25" s="4"/>
      <c r="V25" s="4"/>
      <c r="X25" s="4"/>
    </row>
    <row r="26" spans="2:24" x14ac:dyDescent="0.25">
      <c r="B26" s="4">
        <v>22</v>
      </c>
      <c r="C26" s="4" t="s">
        <v>55</v>
      </c>
      <c r="D26" s="4" t="s">
        <v>56</v>
      </c>
      <c r="E26" s="4">
        <v>6</v>
      </c>
      <c r="F26" s="4" t="s">
        <v>54</v>
      </c>
      <c r="G26" s="4">
        <v>1</v>
      </c>
      <c r="H26" s="4">
        <v>1</v>
      </c>
      <c r="I26" s="4">
        <v>5</v>
      </c>
      <c r="J26" s="4">
        <v>2</v>
      </c>
      <c r="K26" s="4">
        <v>2000</v>
      </c>
      <c r="L26" s="2" t="s">
        <v>122</v>
      </c>
      <c r="M26" s="4">
        <v>3000</v>
      </c>
      <c r="N26" s="4">
        <v>4</v>
      </c>
      <c r="O26" s="4">
        <f>IFERROR(VLOOKUP(P26,[1]technique!$E$5:$F$40,2,FALSE),0)</f>
        <v>21</v>
      </c>
      <c r="P26" s="4" t="s">
        <v>52</v>
      </c>
      <c r="Q26" s="4"/>
      <c r="R26" s="4"/>
      <c r="T26" s="4"/>
      <c r="U26" s="4"/>
      <c r="V26" s="4"/>
      <c r="X26" s="4"/>
    </row>
    <row r="27" spans="2:24" x14ac:dyDescent="0.25">
      <c r="B27" s="4">
        <v>23</v>
      </c>
      <c r="C27" s="4" t="s">
        <v>57</v>
      </c>
      <c r="D27" s="4" t="s">
        <v>58</v>
      </c>
      <c r="E27" s="4">
        <v>6</v>
      </c>
      <c r="F27" s="4" t="s">
        <v>54</v>
      </c>
      <c r="G27" s="4">
        <v>2</v>
      </c>
      <c r="H27" s="4">
        <v>2</v>
      </c>
      <c r="I27" s="4">
        <v>5</v>
      </c>
      <c r="J27" s="4">
        <v>2</v>
      </c>
      <c r="K27" s="4">
        <v>3000</v>
      </c>
      <c r="L27" s="2" t="s">
        <v>122</v>
      </c>
      <c r="M27" s="4">
        <v>5000</v>
      </c>
      <c r="N27" s="4">
        <v>6</v>
      </c>
      <c r="O27" s="4">
        <f>IFERROR(VLOOKUP(P27,[1]technique!$E$5:$F$40,2,FALSE),0)</f>
        <v>22</v>
      </c>
      <c r="P27" s="4" t="s">
        <v>55</v>
      </c>
      <c r="Q27" s="4"/>
      <c r="R27" s="4"/>
      <c r="T27" s="4"/>
      <c r="U27" s="4"/>
      <c r="V27" s="4"/>
      <c r="X27" s="4"/>
    </row>
    <row r="28" spans="2:24" x14ac:dyDescent="0.25">
      <c r="B28" s="4">
        <v>24</v>
      </c>
      <c r="C28" s="4" t="s">
        <v>59</v>
      </c>
      <c r="D28" s="4" t="s">
        <v>60</v>
      </c>
      <c r="E28" s="4">
        <v>6</v>
      </c>
      <c r="F28" s="4" t="s">
        <v>54</v>
      </c>
      <c r="G28" s="4">
        <v>3</v>
      </c>
      <c r="H28" s="4">
        <v>3</v>
      </c>
      <c r="I28" s="4">
        <v>5</v>
      </c>
      <c r="J28" s="4">
        <v>2</v>
      </c>
      <c r="K28" s="4">
        <v>5000</v>
      </c>
      <c r="L28" s="2" t="s">
        <v>122</v>
      </c>
      <c r="M28" s="4">
        <v>8000</v>
      </c>
      <c r="N28" s="4">
        <v>9</v>
      </c>
      <c r="O28" s="4">
        <f>IFERROR(VLOOKUP(P28,[1]technique!$E$5:$F$40,2,FALSE),0)</f>
        <v>23</v>
      </c>
      <c r="P28" s="4" t="s">
        <v>57</v>
      </c>
      <c r="Q28" s="4"/>
      <c r="R28" s="4"/>
      <c r="T28" s="4"/>
      <c r="U28" s="4"/>
      <c r="V28" s="4"/>
      <c r="X28" s="4"/>
    </row>
    <row r="29" spans="2:24" x14ac:dyDescent="0.25">
      <c r="B29" s="4">
        <v>25</v>
      </c>
      <c r="C29" s="4" t="s">
        <v>61</v>
      </c>
      <c r="D29" s="4" t="s">
        <v>62</v>
      </c>
      <c r="E29" s="4">
        <v>7</v>
      </c>
      <c r="F29" s="4" t="s">
        <v>63</v>
      </c>
      <c r="G29" s="4">
        <v>0</v>
      </c>
      <c r="H29" s="4">
        <v>0</v>
      </c>
      <c r="I29" s="4">
        <v>6</v>
      </c>
      <c r="J29" s="4">
        <v>0</v>
      </c>
      <c r="K29" s="4">
        <v>1000</v>
      </c>
      <c r="L29" s="2" t="s">
        <v>123</v>
      </c>
      <c r="M29" s="4">
        <v>2000</v>
      </c>
      <c r="N29" s="4">
        <v>4</v>
      </c>
      <c r="O29" s="4"/>
      <c r="P29" s="4"/>
      <c r="Q29" s="4"/>
      <c r="R29" s="4"/>
      <c r="T29" s="4"/>
      <c r="U29" s="4"/>
      <c r="V29" s="4"/>
      <c r="X29" s="4"/>
    </row>
    <row r="30" spans="2:24" x14ac:dyDescent="0.25">
      <c r="B30" s="4">
        <v>26</v>
      </c>
      <c r="C30" s="4" t="s">
        <v>64</v>
      </c>
      <c r="D30" s="4" t="s">
        <v>65</v>
      </c>
      <c r="E30" s="4">
        <v>7</v>
      </c>
      <c r="F30" s="4" t="s">
        <v>63</v>
      </c>
      <c r="G30" s="4">
        <v>1</v>
      </c>
      <c r="H30" s="4">
        <v>1</v>
      </c>
      <c r="I30" s="4">
        <v>6</v>
      </c>
      <c r="J30" s="4">
        <v>0</v>
      </c>
      <c r="K30" s="4">
        <v>2000</v>
      </c>
      <c r="L30" s="2" t="s">
        <v>123</v>
      </c>
      <c r="M30" s="4">
        <v>3000</v>
      </c>
      <c r="N30" s="4">
        <v>5</v>
      </c>
      <c r="O30" s="4">
        <f>IFERROR(VLOOKUP(P30,[1]technique!$E$5:$F$40,2,FALSE),0)</f>
        <v>25</v>
      </c>
      <c r="P30" s="4" t="s">
        <v>61</v>
      </c>
      <c r="Q30" s="4"/>
      <c r="R30" s="4"/>
      <c r="T30" s="4"/>
      <c r="U30" s="4"/>
      <c r="V30" s="4"/>
      <c r="X30" s="4"/>
    </row>
    <row r="31" spans="2:24" x14ac:dyDescent="0.25">
      <c r="B31" s="4">
        <v>27</v>
      </c>
      <c r="C31" s="4" t="s">
        <v>66</v>
      </c>
      <c r="D31" s="4" t="s">
        <v>67</v>
      </c>
      <c r="E31" s="4">
        <v>7</v>
      </c>
      <c r="F31" s="4" t="s">
        <v>63</v>
      </c>
      <c r="G31" s="4">
        <v>2</v>
      </c>
      <c r="H31" s="4">
        <v>2</v>
      </c>
      <c r="I31" s="4">
        <v>6</v>
      </c>
      <c r="J31" s="4">
        <v>0</v>
      </c>
      <c r="K31" s="4">
        <v>3000</v>
      </c>
      <c r="L31" s="2" t="s">
        <v>123</v>
      </c>
      <c r="M31" s="4">
        <v>5000</v>
      </c>
      <c r="N31" s="4">
        <v>7</v>
      </c>
      <c r="O31" s="4">
        <f>IFERROR(VLOOKUP(P31,[1]technique!$E$5:$F$40,2,FALSE),0)</f>
        <v>26</v>
      </c>
      <c r="P31" s="4" t="s">
        <v>64</v>
      </c>
      <c r="Q31" s="4"/>
      <c r="R31" s="4"/>
      <c r="T31" s="4"/>
      <c r="U31" s="4"/>
      <c r="V31" s="4"/>
      <c r="X31" s="4"/>
    </row>
    <row r="32" spans="2:24" x14ac:dyDescent="0.25">
      <c r="B32" s="4">
        <v>28</v>
      </c>
      <c r="C32" s="4" t="s">
        <v>68</v>
      </c>
      <c r="D32" s="4" t="s">
        <v>69</v>
      </c>
      <c r="E32" s="4">
        <v>7</v>
      </c>
      <c r="F32" s="4" t="s">
        <v>63</v>
      </c>
      <c r="G32" s="4">
        <v>3</v>
      </c>
      <c r="H32" s="4">
        <v>3</v>
      </c>
      <c r="I32" s="4">
        <v>6</v>
      </c>
      <c r="J32" s="4">
        <v>0</v>
      </c>
      <c r="K32" s="4">
        <v>5000</v>
      </c>
      <c r="L32" s="2" t="s">
        <v>123</v>
      </c>
      <c r="M32" s="4">
        <v>8000</v>
      </c>
      <c r="N32" s="4">
        <v>10</v>
      </c>
      <c r="O32" s="4">
        <f>IFERROR(VLOOKUP(P32,[1]technique!$E$5:$F$40,2,FALSE),0)</f>
        <v>27</v>
      </c>
      <c r="P32" s="4" t="s">
        <v>66</v>
      </c>
      <c r="Q32" s="4"/>
      <c r="R32" s="4"/>
      <c r="T32" s="4"/>
      <c r="U32" s="4"/>
      <c r="V32" s="4"/>
      <c r="X32" s="4"/>
    </row>
    <row r="33" spans="2:24" x14ac:dyDescent="0.25">
      <c r="B33" s="4">
        <v>29</v>
      </c>
      <c r="C33" s="4" t="s">
        <v>70</v>
      </c>
      <c r="D33" s="4" t="s">
        <v>71</v>
      </c>
      <c r="E33" s="4">
        <v>8</v>
      </c>
      <c r="F33" s="4" t="s">
        <v>72</v>
      </c>
      <c r="G33" s="4">
        <v>0</v>
      </c>
      <c r="H33" s="4">
        <v>0</v>
      </c>
      <c r="I33" s="4">
        <v>7</v>
      </c>
      <c r="J33" s="4">
        <v>2</v>
      </c>
      <c r="K33" s="4">
        <v>1000</v>
      </c>
      <c r="L33" s="2" t="s">
        <v>124</v>
      </c>
      <c r="M33" s="4">
        <v>2000</v>
      </c>
      <c r="N33" s="4">
        <v>3</v>
      </c>
      <c r="O33" s="4"/>
      <c r="P33" s="4"/>
      <c r="Q33" s="4"/>
      <c r="R33" s="4"/>
      <c r="T33" s="4"/>
      <c r="U33" s="4"/>
      <c r="V33" s="4"/>
      <c r="X33" s="4"/>
    </row>
    <row r="34" spans="2:24" x14ac:dyDescent="0.25">
      <c r="B34" s="4">
        <v>30</v>
      </c>
      <c r="C34" s="4" t="s">
        <v>73</v>
      </c>
      <c r="D34" s="4" t="s">
        <v>74</v>
      </c>
      <c r="E34" s="4">
        <v>8</v>
      </c>
      <c r="F34" s="4" t="s">
        <v>72</v>
      </c>
      <c r="G34" s="4">
        <v>1</v>
      </c>
      <c r="H34" s="4">
        <v>1</v>
      </c>
      <c r="I34" s="4">
        <v>7</v>
      </c>
      <c r="J34" s="4">
        <v>2</v>
      </c>
      <c r="K34" s="4">
        <v>2000</v>
      </c>
      <c r="L34" s="2" t="s">
        <v>124</v>
      </c>
      <c r="M34" s="4">
        <v>3000</v>
      </c>
      <c r="N34" s="4">
        <v>4</v>
      </c>
      <c r="O34" s="4">
        <f>IFERROR(VLOOKUP(P34,[1]technique!$E$5:$F$40,2,FALSE),0)</f>
        <v>29</v>
      </c>
      <c r="P34" s="4" t="s">
        <v>70</v>
      </c>
      <c r="Q34" s="4"/>
      <c r="R34" s="4"/>
      <c r="T34" s="4"/>
      <c r="U34" s="4"/>
      <c r="V34" s="4"/>
      <c r="X34" s="4"/>
    </row>
    <row r="35" spans="2:24" x14ac:dyDescent="0.25">
      <c r="B35" s="4">
        <v>31</v>
      </c>
      <c r="C35" s="4" t="s">
        <v>75</v>
      </c>
      <c r="D35" s="4" t="s">
        <v>76</v>
      </c>
      <c r="E35" s="4">
        <v>8</v>
      </c>
      <c r="F35" s="4" t="s">
        <v>72</v>
      </c>
      <c r="G35" s="4">
        <v>2</v>
      </c>
      <c r="H35" s="4">
        <v>2</v>
      </c>
      <c r="I35" s="4">
        <v>7</v>
      </c>
      <c r="J35" s="4">
        <v>2</v>
      </c>
      <c r="K35" s="4">
        <v>3000</v>
      </c>
      <c r="L35" s="2" t="s">
        <v>124</v>
      </c>
      <c r="M35" s="4">
        <v>5000</v>
      </c>
      <c r="N35" s="4">
        <v>6</v>
      </c>
      <c r="O35" s="4">
        <f>IFERROR(VLOOKUP(P35,[1]technique!$E$5:$F$40,2,FALSE),0)</f>
        <v>30</v>
      </c>
      <c r="P35" s="4" t="s">
        <v>73</v>
      </c>
      <c r="Q35" s="4"/>
      <c r="R35" s="4"/>
      <c r="T35" s="4"/>
      <c r="U35" s="4"/>
      <c r="V35" s="4"/>
      <c r="X35" s="4"/>
    </row>
    <row r="36" spans="2:24" x14ac:dyDescent="0.25">
      <c r="B36" s="4">
        <v>32</v>
      </c>
      <c r="C36" s="4" t="s">
        <v>77</v>
      </c>
      <c r="D36" s="4" t="s">
        <v>78</v>
      </c>
      <c r="E36" s="4">
        <v>8</v>
      </c>
      <c r="F36" s="4" t="s">
        <v>72</v>
      </c>
      <c r="G36" s="4">
        <v>3</v>
      </c>
      <c r="H36" s="4">
        <v>3</v>
      </c>
      <c r="I36" s="4">
        <v>7</v>
      </c>
      <c r="J36" s="4">
        <v>2</v>
      </c>
      <c r="K36" s="4">
        <v>5000</v>
      </c>
      <c r="L36" s="2" t="s">
        <v>124</v>
      </c>
      <c r="M36" s="4">
        <v>8000</v>
      </c>
      <c r="N36" s="4">
        <v>9</v>
      </c>
      <c r="O36" s="4">
        <f>IFERROR(VLOOKUP(P36,[1]technique!$E$5:$F$40,2,FALSE),0)</f>
        <v>31</v>
      </c>
      <c r="P36" s="4" t="s">
        <v>75</v>
      </c>
      <c r="Q36" s="4"/>
      <c r="R36" s="4"/>
      <c r="T36" s="4"/>
      <c r="U36" s="4"/>
      <c r="V36" s="4"/>
      <c r="X36" s="4"/>
    </row>
    <row r="37" spans="2:24" x14ac:dyDescent="0.25">
      <c r="B37" s="4">
        <v>33</v>
      </c>
      <c r="C37" s="4" t="s">
        <v>79</v>
      </c>
      <c r="D37" s="4" t="s">
        <v>80</v>
      </c>
      <c r="E37" s="4">
        <v>9</v>
      </c>
      <c r="F37" s="4" t="s">
        <v>81</v>
      </c>
      <c r="G37" s="4">
        <v>0</v>
      </c>
      <c r="H37" s="4">
        <v>0</v>
      </c>
      <c r="I37" s="4">
        <v>8</v>
      </c>
      <c r="J37" s="4">
        <v>3</v>
      </c>
      <c r="K37" s="4">
        <v>1000</v>
      </c>
      <c r="L37" s="2" t="s">
        <v>125</v>
      </c>
      <c r="M37" s="4">
        <v>2000</v>
      </c>
      <c r="N37" s="4">
        <v>4</v>
      </c>
      <c r="O37" s="4"/>
      <c r="P37" s="4"/>
      <c r="Q37" s="4"/>
      <c r="R37" s="4"/>
      <c r="T37" s="4"/>
      <c r="U37" s="4"/>
      <c r="V37" s="4"/>
      <c r="X37" s="4"/>
    </row>
    <row r="38" spans="2:24" x14ac:dyDescent="0.25">
      <c r="B38" s="4">
        <v>34</v>
      </c>
      <c r="C38" s="4" t="s">
        <v>82</v>
      </c>
      <c r="D38" s="4" t="s">
        <v>83</v>
      </c>
      <c r="E38" s="4">
        <v>9</v>
      </c>
      <c r="F38" s="4" t="s">
        <v>81</v>
      </c>
      <c r="G38" s="4">
        <v>1</v>
      </c>
      <c r="H38" s="4">
        <v>1</v>
      </c>
      <c r="I38" s="4">
        <v>8</v>
      </c>
      <c r="J38" s="4">
        <v>3</v>
      </c>
      <c r="K38" s="4">
        <v>2000</v>
      </c>
      <c r="L38" s="2" t="s">
        <v>125</v>
      </c>
      <c r="M38" s="4">
        <v>3000</v>
      </c>
      <c r="N38" s="4">
        <v>5</v>
      </c>
      <c r="O38" s="4">
        <f>IFERROR(VLOOKUP(P38,[1]technique!$E$5:$F$40,2,FALSE),0)</f>
        <v>33</v>
      </c>
      <c r="P38" s="4" t="s">
        <v>79</v>
      </c>
      <c r="Q38" s="4"/>
      <c r="R38" s="4"/>
      <c r="T38" s="4"/>
      <c r="U38" s="4"/>
      <c r="V38" s="4"/>
      <c r="X38" s="4"/>
    </row>
    <row r="39" spans="2:24" x14ac:dyDescent="0.25">
      <c r="B39" s="4">
        <v>35</v>
      </c>
      <c r="C39" s="4" t="s">
        <v>84</v>
      </c>
      <c r="D39" s="4" t="s">
        <v>85</v>
      </c>
      <c r="E39" s="4">
        <v>9</v>
      </c>
      <c r="F39" s="4" t="s">
        <v>81</v>
      </c>
      <c r="G39" s="4">
        <v>2</v>
      </c>
      <c r="H39" s="4">
        <v>2</v>
      </c>
      <c r="I39" s="4">
        <v>8</v>
      </c>
      <c r="J39" s="4">
        <v>3</v>
      </c>
      <c r="K39" s="4">
        <v>3000</v>
      </c>
      <c r="L39" s="2" t="s">
        <v>125</v>
      </c>
      <c r="M39" s="4">
        <v>5000</v>
      </c>
      <c r="N39" s="4">
        <v>7</v>
      </c>
      <c r="O39" s="4">
        <f>IFERROR(VLOOKUP(P39,[1]technique!$E$5:$F$40,2,FALSE),0)</f>
        <v>34</v>
      </c>
      <c r="P39" s="4" t="s">
        <v>82</v>
      </c>
      <c r="Q39" s="4"/>
      <c r="R39" s="4"/>
      <c r="T39" s="4"/>
      <c r="U39" s="4"/>
      <c r="V39" s="4"/>
      <c r="X39" s="4"/>
    </row>
    <row r="40" spans="2:24" x14ac:dyDescent="0.25">
      <c r="B40" s="4">
        <v>36</v>
      </c>
      <c r="C40" s="4" t="s">
        <v>86</v>
      </c>
      <c r="D40" s="4" t="s">
        <v>87</v>
      </c>
      <c r="E40" s="4">
        <v>9</v>
      </c>
      <c r="F40" s="4" t="s">
        <v>81</v>
      </c>
      <c r="G40" s="4">
        <v>3</v>
      </c>
      <c r="H40" s="4">
        <v>3</v>
      </c>
      <c r="I40" s="4">
        <v>8</v>
      </c>
      <c r="J40" s="4">
        <v>3</v>
      </c>
      <c r="K40" s="4">
        <v>5000</v>
      </c>
      <c r="L40" s="2" t="s">
        <v>125</v>
      </c>
      <c r="M40" s="4">
        <v>8000</v>
      </c>
      <c r="N40" s="4">
        <v>10</v>
      </c>
      <c r="O40" s="4">
        <f>IFERROR(VLOOKUP(P40,[1]technique!$E$5:$F$40,2,FALSE),0)</f>
        <v>35</v>
      </c>
      <c r="P40" s="4" t="s">
        <v>84</v>
      </c>
      <c r="Q40" s="4"/>
      <c r="R40" s="4"/>
      <c r="T40" s="4"/>
      <c r="U40" s="4"/>
      <c r="V40" s="4"/>
      <c r="X40" s="4"/>
    </row>
    <row r="41" spans="2:24" x14ac:dyDescent="0.25">
      <c r="D41" s="4"/>
      <c r="E41" s="4"/>
      <c r="M41" s="6"/>
      <c r="N41" s="4"/>
      <c r="O41" s="4"/>
      <c r="P41" s="4"/>
      <c r="Q41" s="4"/>
      <c r="R41" s="4"/>
      <c r="T41" s="4"/>
      <c r="U41" s="4"/>
      <c r="V41" s="4"/>
      <c r="X41" s="4"/>
    </row>
    <row r="42" spans="2:24" x14ac:dyDescent="0.25">
      <c r="D42" s="4"/>
      <c r="E42" s="4"/>
      <c r="M42" s="6"/>
      <c r="N42" s="4"/>
      <c r="O42" s="4"/>
      <c r="P42" s="4"/>
      <c r="Q42" s="4"/>
      <c r="R42" s="4"/>
      <c r="T42" s="4"/>
      <c r="U42" s="4"/>
      <c r="V42" s="4"/>
      <c r="X42" s="4"/>
    </row>
    <row r="43" spans="2:24" x14ac:dyDescent="0.25">
      <c r="D43" s="4"/>
      <c r="E43" s="4"/>
      <c r="M43" s="6"/>
      <c r="N43" s="4"/>
      <c r="O43" s="4"/>
      <c r="P43" s="4"/>
      <c r="Q43" s="4"/>
      <c r="R43" s="4"/>
      <c r="T43" s="4"/>
      <c r="U43" s="4"/>
      <c r="V43" s="4"/>
      <c r="X43" s="4"/>
    </row>
    <row r="44" spans="2:24" x14ac:dyDescent="0.25">
      <c r="D44" s="4"/>
      <c r="E44" s="4"/>
      <c r="M44" s="6"/>
      <c r="N44" s="4"/>
      <c r="O44" s="4"/>
      <c r="P44" s="4"/>
      <c r="Q44" s="4"/>
      <c r="R44" s="4"/>
      <c r="T44" s="4"/>
      <c r="U44" s="4"/>
      <c r="V44" s="4"/>
      <c r="X44" s="4"/>
    </row>
    <row r="45" spans="2:24" x14ac:dyDescent="0.25">
      <c r="D45" s="4"/>
      <c r="E45" s="4"/>
      <c r="M45" s="6"/>
      <c r="N45" s="4"/>
      <c r="O45" s="4"/>
      <c r="P45" s="4"/>
      <c r="Q45" s="4"/>
      <c r="R45" s="4"/>
      <c r="T45" s="4"/>
      <c r="U45" s="4"/>
      <c r="V45" s="4"/>
      <c r="X45" s="4"/>
    </row>
    <row r="46" spans="2:24" x14ac:dyDescent="0.25">
      <c r="D46" s="4"/>
      <c r="E46" s="4"/>
      <c r="M46" s="6"/>
      <c r="N46" s="4"/>
      <c r="O46" s="4"/>
      <c r="P46" s="4"/>
      <c r="Q46" s="4"/>
      <c r="R46" s="4"/>
      <c r="T46" s="4"/>
      <c r="V46" s="4"/>
      <c r="X46" s="4"/>
    </row>
    <row r="47" spans="2:24" x14ac:dyDescent="0.25">
      <c r="D47" s="4"/>
      <c r="E47" s="4"/>
      <c r="N47" s="4"/>
      <c r="O47" s="4"/>
      <c r="P47" s="4"/>
      <c r="Q47" s="4"/>
    </row>
    <row r="48" spans="2:24" x14ac:dyDescent="0.25">
      <c r="D48" s="4"/>
      <c r="E48" s="4"/>
      <c r="N48" s="4"/>
      <c r="O48" s="4"/>
      <c r="P48" s="4"/>
      <c r="Q48" s="4"/>
    </row>
    <row r="49" spans="4:17" x14ac:dyDescent="0.25">
      <c r="D49" s="4"/>
      <c r="E49" s="4"/>
      <c r="N49" s="4"/>
      <c r="O49" s="4"/>
      <c r="P49" s="4"/>
      <c r="Q49" s="4"/>
    </row>
    <row r="50" spans="4:17" x14ac:dyDescent="0.25">
      <c r="D50" s="4"/>
      <c r="E50" s="4"/>
      <c r="N50" s="4"/>
      <c r="O50" s="4"/>
      <c r="P50" s="4"/>
      <c r="Q50" s="4"/>
    </row>
    <row r="51" spans="4:17" x14ac:dyDescent="0.25">
      <c r="D51" s="4"/>
      <c r="E51" s="4"/>
      <c r="N51" s="4"/>
      <c r="O51" s="4"/>
      <c r="P51" s="4"/>
      <c r="Q51" s="4"/>
    </row>
    <row r="52" spans="4:17" x14ac:dyDescent="0.25">
      <c r="D52" s="4"/>
      <c r="E52" s="4"/>
      <c r="N52" s="4"/>
      <c r="O52" s="4"/>
      <c r="P52" s="4"/>
      <c r="Q52" s="4"/>
    </row>
    <row r="53" spans="4:17" x14ac:dyDescent="0.25">
      <c r="D53" s="4"/>
      <c r="E53" s="4"/>
      <c r="N53" s="4"/>
      <c r="O53" s="4"/>
      <c r="P53" s="4"/>
      <c r="Q53" s="4"/>
    </row>
    <row r="54" spans="4:17" x14ac:dyDescent="0.25">
      <c r="D54" s="4"/>
      <c r="E54" s="4"/>
      <c r="N54" s="4"/>
      <c r="O54" s="4"/>
      <c r="P54" s="4"/>
      <c r="Q54" s="4"/>
    </row>
    <row r="55" spans="4:17" x14ac:dyDescent="0.25">
      <c r="D55" s="4"/>
      <c r="E55" s="4"/>
      <c r="N55" s="4"/>
      <c r="O55" s="4"/>
      <c r="P55" s="4"/>
      <c r="Q55" s="4"/>
    </row>
    <row r="56" spans="4:17" x14ac:dyDescent="0.25">
      <c r="D56" s="4"/>
      <c r="E56" s="4"/>
      <c r="N56" s="4"/>
      <c r="O56" s="4"/>
      <c r="P56" s="4"/>
      <c r="Q56" s="4"/>
    </row>
    <row r="57" spans="4:17" x14ac:dyDescent="0.25">
      <c r="D57" s="4"/>
      <c r="E57" s="4"/>
      <c r="N57" s="4"/>
      <c r="O57" s="4"/>
      <c r="P57" s="4"/>
      <c r="Q57" s="4"/>
    </row>
    <row r="58" spans="4:17" x14ac:dyDescent="0.25">
      <c r="D58" s="4"/>
      <c r="E58" s="4"/>
      <c r="N58" s="4"/>
      <c r="O58" s="4"/>
      <c r="P58" s="4"/>
      <c r="Q58" s="4"/>
    </row>
    <row r="59" spans="4:17" x14ac:dyDescent="0.25">
      <c r="D59" s="4"/>
      <c r="E59" s="4"/>
      <c r="N59" s="4"/>
      <c r="O59" s="4"/>
      <c r="P59" s="4"/>
      <c r="Q59" s="4"/>
    </row>
    <row r="60" spans="4:17" x14ac:dyDescent="0.25">
      <c r="D60" s="4"/>
      <c r="E60" s="4"/>
      <c r="N60" s="4"/>
      <c r="O60" s="4"/>
      <c r="P60" s="4"/>
      <c r="Q60" s="4"/>
    </row>
    <row r="61" spans="4:17" x14ac:dyDescent="0.25">
      <c r="D61" s="4"/>
      <c r="E61" s="4"/>
      <c r="N61" s="4"/>
      <c r="O61" s="4"/>
      <c r="P61" s="4"/>
      <c r="Q61" s="4"/>
    </row>
    <row r="62" spans="4:17" x14ac:dyDescent="0.25">
      <c r="D62" s="4"/>
      <c r="E62" s="4"/>
      <c r="N62" s="4"/>
      <c r="O62" s="4"/>
      <c r="P62" s="4"/>
      <c r="Q62" s="4"/>
    </row>
    <row r="63" spans="4:17" x14ac:dyDescent="0.25">
      <c r="D63" s="4"/>
      <c r="E63" s="4"/>
      <c r="N63" s="4"/>
      <c r="O63" s="4"/>
      <c r="P63" s="4"/>
      <c r="Q63" s="4"/>
    </row>
    <row r="64" spans="4:17" x14ac:dyDescent="0.25">
      <c r="D64" s="4"/>
      <c r="E64" s="4"/>
      <c r="N64" s="4"/>
      <c r="O64" s="4"/>
      <c r="P64" s="4"/>
      <c r="Q64" s="4"/>
    </row>
    <row r="65" spans="4:17" x14ac:dyDescent="0.25">
      <c r="D65" s="4"/>
      <c r="E65" s="4"/>
      <c r="N65" s="4"/>
      <c r="O65" s="4"/>
      <c r="P65" s="4"/>
      <c r="Q65" s="4"/>
    </row>
    <row r="66" spans="4:17" x14ac:dyDescent="0.25">
      <c r="D66" s="4"/>
      <c r="E66" s="4"/>
      <c r="N66" s="4"/>
      <c r="O66" s="4"/>
      <c r="P66" s="4"/>
      <c r="Q66" s="4"/>
    </row>
    <row r="67" spans="4:17" x14ac:dyDescent="0.25">
      <c r="D67" s="4"/>
      <c r="E67" s="4"/>
      <c r="N67" s="4"/>
      <c r="O67" s="4"/>
      <c r="P67" s="4"/>
      <c r="Q67" s="4"/>
    </row>
    <row r="68" spans="4:17" x14ac:dyDescent="0.25">
      <c r="D68" s="4"/>
      <c r="E68" s="4"/>
      <c r="N68" s="4"/>
      <c r="O68" s="4"/>
      <c r="P68" s="4"/>
      <c r="Q68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Techniques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坦克</cp:lastModifiedBy>
  <cp:lastPrinted>2019-03-03T03:49:50Z</cp:lastPrinted>
  <dcterms:created xsi:type="dcterms:W3CDTF">2006-09-16T00:00:00Z</dcterms:created>
  <dcterms:modified xsi:type="dcterms:W3CDTF">2025-12-28T14:29:52Z</dcterms:modified>
</cp:coreProperties>
</file>