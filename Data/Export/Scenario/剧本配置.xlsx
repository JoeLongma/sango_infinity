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Scenario\"/>
    </mc:Choice>
  </mc:AlternateContent>
  <xr:revisionPtr revIDLastSave="0" documentId="13_ncr:1_{E68A1719-DD2D-466C-A77F-510705233996}" xr6:coauthVersionLast="47" xr6:coauthVersionMax="47" xr10:uidLastSave="{00000000-0000-0000-0000-000000000000}"/>
  <bookViews>
    <workbookView xWindow="10065" yWindow="150" windowWidth="15540" windowHeight="13320" tabRatio="923" activeTab="5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5" i="7" l="1"/>
  <c r="I25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/>
  <c r="E10" i="7"/>
  <c r="F56" i="10"/>
  <c r="E11" i="7"/>
  <c r="F306" i="10"/>
  <c r="E12" i="7"/>
  <c r="F31" i="10"/>
  <c r="E13" i="7"/>
  <c r="F78" i="10"/>
  <c r="E14" i="7"/>
  <c r="F43" i="10"/>
  <c r="E15" i="7"/>
  <c r="F570" i="10"/>
  <c r="E16" i="7"/>
  <c r="F403" i="10"/>
  <c r="E17" i="7"/>
  <c r="F642" i="10"/>
  <c r="E18" i="7"/>
  <c r="F66" i="10"/>
  <c r="E19" i="7"/>
  <c r="F189" i="10"/>
  <c r="E20" i="7"/>
  <c r="F42" i="10"/>
  <c r="E21" i="7"/>
  <c r="F79" i="10"/>
  <c r="E22" i="7"/>
  <c r="F30" i="10"/>
  <c r="E23" i="7"/>
  <c r="F307" i="10"/>
  <c r="E24" i="7"/>
  <c r="F138" i="10"/>
  <c r="E25" i="7"/>
  <c r="F114" i="10"/>
  <c r="E26" i="7"/>
  <c r="F510" i="10"/>
  <c r="E27" i="7"/>
  <c r="F402" i="10"/>
  <c r="E28" i="7"/>
  <c r="F6" i="10"/>
  <c r="E29" i="7"/>
  <c r="F55" i="10"/>
  <c r="E30" i="7"/>
  <c r="F102" i="10"/>
  <c r="E31" i="7"/>
  <c r="F378" i="10"/>
  <c r="E32" i="7"/>
  <c r="F574" i="10"/>
  <c r="E33" i="7"/>
  <c r="F546" i="10"/>
  <c r="E34" i="7"/>
  <c r="F222" i="10"/>
  <c r="E35" i="7"/>
  <c r="F126" i="10"/>
  <c r="E36" i="7"/>
  <c r="F44" i="10"/>
  <c r="E37" i="7"/>
  <c r="F152" i="10"/>
  <c r="E38" i="7"/>
  <c r="F527" i="10"/>
  <c r="E39" i="7"/>
  <c r="F157" i="10"/>
  <c r="E40" i="7"/>
  <c r="E41" i="7"/>
  <c r="F584" i="10"/>
  <c r="E42" i="7"/>
  <c r="F175" i="10"/>
  <c r="E43" i="7"/>
  <c r="F486" i="10"/>
  <c r="E44" i="7"/>
  <c r="F54" i="10"/>
  <c r="E45" i="7"/>
  <c r="F69" i="10"/>
  <c r="E46" i="7"/>
  <c r="F212" i="10"/>
  <c r="E6" i="7"/>
  <c r="F186" i="10"/>
  <c r="E7" i="7"/>
  <c r="F198" i="10"/>
  <c r="E8" i="7"/>
  <c r="F18" i="10"/>
  <c r="E5" i="7"/>
  <c r="F534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713" i="10"/>
  <c r="F665" i="10"/>
  <c r="F653" i="10"/>
  <c r="F641" i="10"/>
  <c r="F629" i="10"/>
  <c r="F617" i="10"/>
  <c r="F605" i="10"/>
  <c r="F593" i="10"/>
  <c r="F581" i="10"/>
  <c r="F569" i="10"/>
  <c r="F557" i="10"/>
  <c r="F545" i="10"/>
  <c r="F533" i="10"/>
  <c r="F521" i="10"/>
  <c r="F509" i="10"/>
  <c r="F497" i="10"/>
  <c r="F485" i="10"/>
  <c r="F473" i="10"/>
  <c r="F461" i="10"/>
  <c r="F449" i="10"/>
  <c r="F437" i="10"/>
  <c r="F425" i="10"/>
  <c r="F413" i="10"/>
  <c r="F401" i="10"/>
  <c r="F389" i="10"/>
  <c r="F377" i="10"/>
  <c r="F365" i="10"/>
  <c r="F353" i="10"/>
  <c r="F341" i="10"/>
  <c r="F329" i="10"/>
  <c r="F317" i="10"/>
  <c r="F305" i="10"/>
  <c r="F293" i="10"/>
  <c r="F281" i="10"/>
  <c r="F269" i="10"/>
  <c r="F257" i="10"/>
  <c r="F245" i="10"/>
  <c r="F233" i="10"/>
  <c r="F221" i="10"/>
  <c r="F209" i="10"/>
  <c r="F197" i="10"/>
  <c r="F185" i="10"/>
  <c r="F173" i="10"/>
  <c r="F161" i="10"/>
  <c r="F149" i="10"/>
  <c r="F137" i="10"/>
  <c r="F125" i="10"/>
  <c r="F113" i="10"/>
  <c r="F101" i="10"/>
  <c r="F89" i="10"/>
  <c r="F77" i="10"/>
  <c r="F65" i="10"/>
  <c r="F53" i="10"/>
  <c r="F41" i="10"/>
  <c r="F29" i="10"/>
  <c r="F17" i="10"/>
  <c r="F712" i="10"/>
  <c r="F664" i="10"/>
  <c r="F652" i="10"/>
  <c r="F640" i="10"/>
  <c r="F628" i="10"/>
  <c r="F616" i="10"/>
  <c r="F604" i="10"/>
  <c r="F592" i="10"/>
  <c r="F580" i="10"/>
  <c r="F568" i="10"/>
  <c r="F556" i="10"/>
  <c r="F544" i="10"/>
  <c r="F532" i="10"/>
  <c r="F520" i="10"/>
  <c r="F508" i="10"/>
  <c r="F496" i="10"/>
  <c r="F484" i="10"/>
  <c r="F472" i="10"/>
  <c r="F460" i="10"/>
  <c r="F448" i="10"/>
  <c r="F436" i="10"/>
  <c r="F424" i="10"/>
  <c r="F412" i="10"/>
  <c r="F400" i="10"/>
  <c r="F388" i="10"/>
  <c r="F376" i="10"/>
  <c r="F364" i="10"/>
  <c r="F352" i="10"/>
  <c r="F340" i="10"/>
  <c r="F328" i="10"/>
  <c r="F316" i="10"/>
  <c r="F304" i="10"/>
  <c r="F292" i="10"/>
  <c r="F280" i="10"/>
  <c r="F268" i="10"/>
  <c r="F256" i="10"/>
  <c r="F244" i="10"/>
  <c r="F232" i="10"/>
  <c r="F220" i="10"/>
  <c r="F208" i="10"/>
  <c r="F196" i="10"/>
  <c r="F184" i="10"/>
  <c r="F172" i="10"/>
  <c r="F160" i="10"/>
  <c r="F148" i="10"/>
  <c r="F136" i="10"/>
  <c r="F124" i="10"/>
  <c r="F112" i="10"/>
  <c r="F100" i="10"/>
  <c r="F88" i="10"/>
  <c r="F76" i="10"/>
  <c r="F64" i="10"/>
  <c r="F52" i="10"/>
  <c r="F40" i="10"/>
  <c r="F28" i="10"/>
  <c r="F16" i="10"/>
  <c r="F735" i="10"/>
  <c r="F711" i="10"/>
  <c r="F663" i="10"/>
  <c r="F651" i="10"/>
  <c r="F639" i="10"/>
  <c r="F627" i="10"/>
  <c r="F615" i="10"/>
  <c r="F603" i="10"/>
  <c r="F591" i="10"/>
  <c r="F579" i="10"/>
  <c r="F567" i="10"/>
  <c r="F555" i="10"/>
  <c r="F543" i="10"/>
  <c r="F531" i="10"/>
  <c r="F519" i="10"/>
  <c r="F507" i="10"/>
  <c r="F495" i="10"/>
  <c r="F483" i="10"/>
  <c r="F471" i="10"/>
  <c r="F459" i="10"/>
  <c r="F447" i="10"/>
  <c r="F435" i="10"/>
  <c r="F423" i="10"/>
  <c r="F411" i="10"/>
  <c r="F399" i="10"/>
  <c r="F387" i="10"/>
  <c r="F375" i="10"/>
  <c r="F363" i="10"/>
  <c r="F351" i="10"/>
  <c r="F339" i="10"/>
  <c r="F327" i="10"/>
  <c r="F315" i="10"/>
  <c r="F303" i="10"/>
  <c r="F291" i="10"/>
  <c r="F279" i="10"/>
  <c r="F267" i="10"/>
  <c r="F255" i="10"/>
  <c r="F243" i="10"/>
  <c r="F231" i="10"/>
  <c r="F219" i="10"/>
  <c r="F207" i="10"/>
  <c r="F195" i="10"/>
  <c r="F183" i="10"/>
  <c r="F171" i="10"/>
  <c r="F159" i="10"/>
  <c r="F147" i="10"/>
  <c r="F135" i="10"/>
  <c r="F123" i="10"/>
  <c r="F111" i="10"/>
  <c r="F99" i="10"/>
  <c r="F87" i="10"/>
  <c r="F75" i="10"/>
  <c r="F63" i="10"/>
  <c r="F51" i="10"/>
  <c r="F39" i="10"/>
  <c r="F27" i="10"/>
  <c r="F15" i="10"/>
  <c r="F734" i="10"/>
  <c r="F710" i="10"/>
  <c r="F674" i="10"/>
  <c r="F662" i="10"/>
  <c r="F650" i="10"/>
  <c r="F638" i="10"/>
  <c r="F626" i="10"/>
  <c r="F614" i="10"/>
  <c r="F602" i="10"/>
  <c r="F590" i="10"/>
  <c r="F578" i="10"/>
  <c r="F566" i="10"/>
  <c r="F554" i="10"/>
  <c r="F542" i="10"/>
  <c r="F530" i="10"/>
  <c r="F518" i="10"/>
  <c r="F506" i="10"/>
  <c r="F494" i="10"/>
  <c r="F482" i="10"/>
  <c r="F470" i="10"/>
  <c r="F458" i="10"/>
  <c r="F446" i="10"/>
  <c r="F434" i="10"/>
  <c r="F422" i="10"/>
  <c r="F410" i="10"/>
  <c r="F398" i="10"/>
  <c r="F386" i="10"/>
  <c r="F374" i="10"/>
  <c r="F362" i="10"/>
  <c r="F350" i="10"/>
  <c r="F338" i="10"/>
  <c r="F326" i="10"/>
  <c r="F314" i="10"/>
  <c r="F302" i="10"/>
  <c r="F290" i="10"/>
  <c r="F278" i="10"/>
  <c r="F266" i="10"/>
  <c r="F254" i="10"/>
  <c r="F242" i="10"/>
  <c r="F230" i="10"/>
  <c r="F218" i="10"/>
  <c r="F206" i="10"/>
  <c r="F194" i="10"/>
  <c r="F182" i="10"/>
  <c r="F170" i="10"/>
  <c r="F158" i="10"/>
  <c r="F146" i="10"/>
  <c r="F134" i="10"/>
  <c r="F122" i="10"/>
  <c r="F110" i="10"/>
  <c r="F98" i="10"/>
  <c r="F86" i="10"/>
  <c r="F74" i="10"/>
  <c r="F62" i="10"/>
  <c r="F50" i="10"/>
  <c r="F38" i="10"/>
  <c r="F26" i="10"/>
  <c r="F14" i="10"/>
  <c r="F709" i="10"/>
  <c r="F673" i="10"/>
  <c r="F661" i="10"/>
  <c r="F649" i="10"/>
  <c r="F637" i="10"/>
  <c r="F625" i="10"/>
  <c r="F613" i="10"/>
  <c r="F601" i="10"/>
  <c r="F589" i="10"/>
  <c r="F577" i="10"/>
  <c r="F565" i="10"/>
  <c r="F553" i="10"/>
  <c r="F541" i="10"/>
  <c r="F529" i="10"/>
  <c r="F517" i="10"/>
  <c r="F505" i="10"/>
  <c r="F493" i="10"/>
  <c r="F481" i="10"/>
  <c r="F469" i="10"/>
  <c r="F457" i="10"/>
  <c r="F445" i="10"/>
  <c r="F433" i="10"/>
  <c r="F421" i="10"/>
  <c r="F409" i="10"/>
  <c r="F397" i="10"/>
  <c r="F385" i="10"/>
  <c r="F373" i="10"/>
  <c r="F361" i="10"/>
  <c r="F349" i="10"/>
  <c r="F337" i="10"/>
  <c r="F325" i="10"/>
  <c r="F313" i="10"/>
  <c r="F301" i="10"/>
  <c r="F289" i="10"/>
  <c r="F277" i="10"/>
  <c r="F265" i="10"/>
  <c r="F253" i="10"/>
  <c r="F241" i="10"/>
  <c r="F229" i="10"/>
  <c r="F217" i="10"/>
  <c r="F205" i="10"/>
  <c r="F193" i="10"/>
  <c r="F181" i="10"/>
  <c r="F169" i="10"/>
  <c r="F145" i="10"/>
  <c r="F133" i="10"/>
  <c r="F121" i="10"/>
  <c r="F109" i="10"/>
  <c r="F97" i="10"/>
  <c r="F85" i="10"/>
  <c r="F73" i="10"/>
  <c r="F61" i="10"/>
  <c r="F49" i="10"/>
  <c r="F37" i="10"/>
  <c r="F25" i="10"/>
  <c r="F13" i="10"/>
  <c r="F708" i="10"/>
  <c r="F672" i="10"/>
  <c r="F660" i="10"/>
  <c r="F648" i="10"/>
  <c r="F636" i="10"/>
  <c r="F624" i="10"/>
  <c r="F612" i="10"/>
  <c r="F600" i="10"/>
  <c r="F588" i="10"/>
  <c r="F576" i="10"/>
  <c r="F564" i="10"/>
  <c r="F552" i="10"/>
  <c r="F540" i="10"/>
  <c r="F528" i="10"/>
  <c r="F516" i="10"/>
  <c r="F504" i="10"/>
  <c r="F492" i="10"/>
  <c r="F480" i="10"/>
  <c r="F468" i="10"/>
  <c r="F456" i="10"/>
  <c r="F444" i="10"/>
  <c r="F432" i="10"/>
  <c r="F420" i="10"/>
  <c r="F408" i="10"/>
  <c r="F396" i="10"/>
  <c r="F384" i="10"/>
  <c r="F372" i="10"/>
  <c r="F360" i="10"/>
  <c r="F348" i="10"/>
  <c r="F336" i="10"/>
  <c r="F324" i="10"/>
  <c r="F312" i="10"/>
  <c r="F300" i="10"/>
  <c r="F288" i="10"/>
  <c r="F276" i="10"/>
  <c r="F264" i="10"/>
  <c r="F252" i="10"/>
  <c r="F240" i="10"/>
  <c r="F228" i="10"/>
  <c r="F216" i="10"/>
  <c r="F204" i="10"/>
  <c r="F192" i="10"/>
  <c r="F180" i="10"/>
  <c r="F168" i="10"/>
  <c r="F156" i="10"/>
  <c r="F144" i="10"/>
  <c r="F132" i="10"/>
  <c r="F120" i="10"/>
  <c r="F108" i="10"/>
  <c r="F96" i="10"/>
  <c r="F84" i="10"/>
  <c r="F72" i="10"/>
  <c r="F60" i="10"/>
  <c r="F48" i="10"/>
  <c r="F36" i="10"/>
  <c r="F24" i="10"/>
  <c r="F12" i="10"/>
  <c r="F707" i="10"/>
  <c r="F671" i="10"/>
  <c r="F659" i="10"/>
  <c r="F647" i="10"/>
  <c r="F635" i="10"/>
  <c r="F623" i="10"/>
  <c r="F611" i="10"/>
  <c r="F599" i="10"/>
  <c r="F587" i="10"/>
  <c r="F575" i="10"/>
  <c r="F563" i="10"/>
  <c r="F551" i="10"/>
  <c r="F539" i="10"/>
  <c r="F515" i="10"/>
  <c r="F503" i="10"/>
  <c r="F491" i="10"/>
  <c r="F479" i="10"/>
  <c r="F467" i="10"/>
  <c r="F455" i="10"/>
  <c r="F443" i="10"/>
  <c r="F431" i="10"/>
  <c r="F419" i="10"/>
  <c r="F407" i="10"/>
  <c r="F395" i="10"/>
  <c r="F383" i="10"/>
  <c r="F371" i="10"/>
  <c r="F359" i="10"/>
  <c r="F347" i="10"/>
  <c r="F335" i="10"/>
  <c r="F323" i="10"/>
  <c r="F311" i="10"/>
  <c r="F299" i="10"/>
  <c r="F287" i="10"/>
  <c r="F275" i="10"/>
  <c r="F263" i="10"/>
  <c r="F251" i="10"/>
  <c r="F239" i="10"/>
  <c r="F227" i="10"/>
  <c r="F215" i="10"/>
  <c r="F203" i="10"/>
  <c r="F191" i="10"/>
  <c r="F179" i="10"/>
  <c r="F167" i="10"/>
  <c r="F155" i="10"/>
  <c r="F143" i="10"/>
  <c r="F131" i="10"/>
  <c r="F119" i="10"/>
  <c r="F107" i="10"/>
  <c r="F95" i="10"/>
  <c r="F83" i="10"/>
  <c r="F71" i="10"/>
  <c r="F59" i="10"/>
  <c r="F47" i="10"/>
  <c r="F35" i="10"/>
  <c r="F23" i="10"/>
  <c r="F11" i="10"/>
  <c r="F718" i="10"/>
  <c r="F706" i="10"/>
  <c r="F670" i="10"/>
  <c r="F658" i="10"/>
  <c r="F646" i="10"/>
  <c r="F634" i="10"/>
  <c r="F622" i="10"/>
  <c r="F610" i="10"/>
  <c r="F598" i="10"/>
  <c r="F586" i="10"/>
  <c r="F562" i="10"/>
  <c r="F550" i="10"/>
  <c r="F538" i="10"/>
  <c r="F526" i="10"/>
  <c r="F514" i="10"/>
  <c r="F502" i="10"/>
  <c r="F490" i="10"/>
  <c r="F478" i="10"/>
  <c r="F466" i="10"/>
  <c r="F454" i="10"/>
  <c r="F442" i="10"/>
  <c r="F430" i="10"/>
  <c r="F418" i="10"/>
  <c r="F406" i="10"/>
  <c r="F394" i="10"/>
  <c r="F382" i="10"/>
  <c r="F370" i="10"/>
  <c r="F358" i="10"/>
  <c r="F346" i="10"/>
  <c r="F334" i="10"/>
  <c r="F322" i="10"/>
  <c r="F310" i="10"/>
  <c r="F298" i="10"/>
  <c r="F286" i="10"/>
  <c r="F274" i="10"/>
  <c r="F262" i="10"/>
  <c r="F250" i="10"/>
  <c r="F238" i="10"/>
  <c r="F226" i="10"/>
  <c r="F214" i="10"/>
  <c r="F202" i="10"/>
  <c r="F190" i="10"/>
  <c r="F178" i="10"/>
  <c r="F166" i="10"/>
  <c r="F154" i="10"/>
  <c r="F142" i="10"/>
  <c r="F130" i="10"/>
  <c r="F118" i="10"/>
  <c r="F106" i="10"/>
  <c r="F94" i="10"/>
  <c r="F82" i="10"/>
  <c r="F70" i="10"/>
  <c r="F58" i="10"/>
  <c r="F46" i="10"/>
  <c r="F34" i="10"/>
  <c r="F22" i="10"/>
  <c r="F10" i="10"/>
  <c r="F5" i="10"/>
  <c r="F717" i="10"/>
  <c r="F705" i="10"/>
  <c r="F669" i="10"/>
  <c r="F657" i="10"/>
  <c r="F645" i="10"/>
  <c r="F633" i="10"/>
  <c r="F621" i="10"/>
  <c r="F609" i="10"/>
  <c r="F597" i="10"/>
  <c r="F585" i="10"/>
  <c r="F573" i="10"/>
  <c r="F561" i="10"/>
  <c r="F549" i="10"/>
  <c r="F537" i="10"/>
  <c r="F525" i="10"/>
  <c r="F513" i="10"/>
  <c r="F501" i="10"/>
  <c r="F489" i="10"/>
  <c r="F477" i="10"/>
  <c r="F465" i="10"/>
  <c r="F453" i="10"/>
  <c r="F441" i="10"/>
  <c r="F429" i="10"/>
  <c r="F417" i="10"/>
  <c r="F405" i="10"/>
  <c r="F393" i="10"/>
  <c r="F381" i="10"/>
  <c r="F369" i="10"/>
  <c r="F357" i="10"/>
  <c r="F345" i="10"/>
  <c r="F333" i="10"/>
  <c r="F321" i="10"/>
  <c r="F309" i="10"/>
  <c r="F297" i="10"/>
  <c r="F285" i="10"/>
  <c r="F273" i="10"/>
  <c r="F261" i="10"/>
  <c r="F249" i="10"/>
  <c r="F237" i="10"/>
  <c r="F225" i="10"/>
  <c r="F213" i="10"/>
  <c r="F201" i="10"/>
  <c r="F177" i="10"/>
  <c r="F165" i="10"/>
  <c r="F153" i="10"/>
  <c r="F141" i="10"/>
  <c r="F129" i="10"/>
  <c r="F117" i="10"/>
  <c r="F105" i="10"/>
  <c r="F93" i="10"/>
  <c r="F81" i="10"/>
  <c r="F57" i="10"/>
  <c r="F45" i="10"/>
  <c r="F33" i="10"/>
  <c r="F21" i="10"/>
  <c r="F9" i="10"/>
  <c r="F716" i="10"/>
  <c r="F668" i="10"/>
  <c r="F656" i="10"/>
  <c r="F644" i="10"/>
  <c r="F632" i="10"/>
  <c r="F620" i="10"/>
  <c r="F608" i="10"/>
  <c r="F596" i="10"/>
  <c r="F572" i="10"/>
  <c r="F560" i="10"/>
  <c r="F548" i="10"/>
  <c r="F536" i="10"/>
  <c r="F524" i="10"/>
  <c r="F512" i="10"/>
  <c r="F500" i="10"/>
  <c r="F488" i="10"/>
  <c r="F476" i="10"/>
  <c r="F464" i="10"/>
  <c r="F452" i="10"/>
  <c r="F440" i="10"/>
  <c r="F428" i="10"/>
  <c r="F416" i="10"/>
  <c r="F404" i="10"/>
  <c r="F392" i="10"/>
  <c r="F380" i="10"/>
  <c r="F368" i="10"/>
  <c r="F356" i="10"/>
  <c r="F344" i="10"/>
  <c r="F332" i="10"/>
  <c r="F320" i="10"/>
  <c r="F308" i="10"/>
  <c r="F296" i="10"/>
  <c r="F284" i="10"/>
  <c r="F272" i="10"/>
  <c r="F260" i="10"/>
  <c r="F248" i="10"/>
  <c r="F236" i="10"/>
  <c r="F224" i="10"/>
  <c r="F200" i="10"/>
  <c r="F188" i="10"/>
  <c r="F176" i="10"/>
  <c r="F164" i="10"/>
  <c r="F140" i="10"/>
  <c r="F128" i="10"/>
  <c r="F116" i="10"/>
  <c r="F104" i="10"/>
  <c r="F92" i="10"/>
  <c r="F80" i="10"/>
  <c r="F68" i="10"/>
  <c r="F32" i="10"/>
  <c r="F20" i="10"/>
  <c r="F8" i="10"/>
  <c r="F715" i="10"/>
  <c r="F667" i="10"/>
  <c r="F655" i="10"/>
  <c r="F643" i="10"/>
  <c r="F631" i="10"/>
  <c r="F619" i="10"/>
  <c r="F607" i="10"/>
  <c r="F595" i="10"/>
  <c r="F583" i="10"/>
  <c r="F571" i="10"/>
  <c r="F559" i="10"/>
  <c r="F547" i="10"/>
  <c r="F535" i="10"/>
  <c r="F523" i="10"/>
  <c r="F511" i="10"/>
  <c r="F499" i="10"/>
  <c r="F487" i="10"/>
  <c r="F475" i="10"/>
  <c r="F463" i="10"/>
  <c r="F451" i="10"/>
  <c r="F439" i="10"/>
  <c r="F427" i="10"/>
  <c r="F415" i="10"/>
  <c r="F391" i="10"/>
  <c r="F379" i="10"/>
  <c r="F367" i="10"/>
  <c r="F355" i="10"/>
  <c r="F343" i="10"/>
  <c r="F331" i="10"/>
  <c r="F319" i="10"/>
  <c r="F295" i="10"/>
  <c r="F283" i="10"/>
  <c r="F271" i="10"/>
  <c r="F259" i="10"/>
  <c r="F247" i="10"/>
  <c r="F235" i="10"/>
  <c r="F223" i="10"/>
  <c r="F211" i="10"/>
  <c r="F199" i="10"/>
  <c r="F187" i="10"/>
  <c r="F163" i="10"/>
  <c r="F151" i="10"/>
  <c r="F139" i="10"/>
  <c r="F127" i="10"/>
  <c r="F115" i="10"/>
  <c r="F103" i="10"/>
  <c r="F91" i="10"/>
  <c r="F67" i="10"/>
  <c r="F19" i="10"/>
  <c r="F7" i="10"/>
  <c r="F714" i="10"/>
  <c r="F666" i="10"/>
  <c r="F654" i="10"/>
  <c r="F630" i="10"/>
  <c r="F618" i="10"/>
  <c r="F606" i="10"/>
  <c r="F594" i="10"/>
  <c r="F582" i="10"/>
  <c r="F558" i="10"/>
  <c r="F522" i="10"/>
  <c r="F498" i="10"/>
  <c r="F474" i="10"/>
  <c r="F462" i="10"/>
  <c r="F450" i="10"/>
  <c r="F438" i="10"/>
  <c r="F426" i="10"/>
  <c r="F414" i="10"/>
  <c r="F390" i="10"/>
  <c r="F366" i="10"/>
  <c r="F354" i="10"/>
  <c r="F342" i="10"/>
  <c r="F330" i="10"/>
  <c r="F318" i="10"/>
  <c r="F294" i="10"/>
  <c r="F282" i="10"/>
  <c r="F270" i="10"/>
  <c r="F246" i="10"/>
  <c r="F234" i="10"/>
  <c r="F210" i="10"/>
  <c r="F174" i="10"/>
  <c r="F162" i="10"/>
  <c r="F150" i="10"/>
  <c r="F90" i="10"/>
</calcChain>
</file>

<file path=xl/sharedStrings.xml><?xml version="1.0" encoding="utf-8"?>
<sst xmlns="http://schemas.openxmlformats.org/spreadsheetml/2006/main" count="24066" uniqueCount="3340">
  <si>
    <t>序号</t>
  </si>
  <si>
    <t>血缘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</si>
  <si>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</si>
  <si>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</si>
  <si>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</si>
  <si>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</si>
  <si>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</si>
  <si>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</si>
  <si>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</si>
  <si>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</si>
  <si>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</si>
  <si>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</si>
  <si>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</si>
  <si>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</si>
  <si>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</si>
  <si>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</si>
  <si>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</si>
  <si>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</si>
  <si>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</si>
  <si>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</si>
  <si>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</si>
  <si>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</si>
  <si>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</si>
  <si>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</si>
  <si>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</si>
  <si>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</si>
  <si>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</si>
  <si>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</si>
  <si>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</si>
  <si>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</si>
  <si>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</si>
  <si>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</si>
  <si>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</si>
  <si>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</si>
  <si>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</si>
  <si>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</si>
  <si>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</si>
  <si>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</si>
  <si>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</si>
  <si>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</si>
  <si>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</si>
  <si>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</si>
  <si>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</si>
  <si>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</si>
  <si>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</si>
  <si>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</si>
  <si>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</si>
  <si>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</si>
  <si>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</si>
  <si>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</si>
  <si>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</si>
  <si>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</si>
  <si>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</si>
  <si>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</si>
  <si>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</si>
  <si>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</si>
  <si>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</si>
  <si>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</si>
  <si>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</si>
  <si>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</si>
  <si>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</si>
  <si>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</si>
  <si>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</si>
  <si>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</si>
  <si>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</si>
  <si>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</si>
  <si>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</si>
  <si>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</si>
  <si>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</si>
  <si>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</si>
  <si>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</si>
  <si>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</si>
  <si>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</si>
  <si>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</si>
  <si>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</si>
  <si>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</si>
  <si>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</si>
  <si>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</si>
  <si>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</si>
  <si>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</si>
  <si>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</si>
  <si>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</si>
  <si>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</si>
  <si>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</si>
  <si>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</si>
  <si>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</si>
  <si>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</si>
  <si>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</si>
  <si>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</si>
  <si>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</si>
  <si>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</si>
  <si>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</si>
  <si>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</si>
  <si>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</si>
  <si>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</si>
  <si>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</si>
  <si>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</si>
  <si>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</si>
  <si>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</si>
  <si>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</si>
  <si>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</si>
  <si>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</si>
  <si>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</si>
  <si>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</si>
  <si>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</si>
  <si>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</si>
  <si>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</si>
  <si>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</si>
  <si>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</si>
  <si>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</si>
  <si>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</si>
  <si>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</si>
  <si>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</si>
  <si>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</si>
  <si>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</si>
  <si>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</si>
  <si>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</si>
  <si>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</si>
  <si>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</si>
  <si>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</si>
  <si>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</si>
  <si>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</si>
  <si>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</si>
  <si>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</si>
  <si>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</si>
  <si>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</si>
  <si>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</si>
  <si>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</si>
  <si>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</si>
  <si>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</si>
  <si>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</si>
  <si>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</si>
  <si>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</si>
  <si>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</si>
  <si>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</si>
  <si>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</si>
  <si>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</si>
  <si>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</si>
  <si>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</si>
  <si>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</si>
  <si>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</si>
  <si>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</si>
  <si>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</si>
  <si>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</si>
  <si>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</si>
  <si>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</si>
  <si>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</si>
  <si>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</si>
  <si>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</si>
  <si>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</si>
  <si>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</si>
  <si>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</si>
  <si>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</si>
  <si>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</si>
  <si>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</si>
  <si>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</si>
  <si>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</si>
  <si>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</si>
  <si>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</si>
  <si>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</si>
  <si>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</si>
  <si>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</si>
  <si>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</si>
  <si>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</si>
  <si>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</si>
  <si>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</si>
  <si>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</si>
  <si>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</si>
  <si>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</si>
  <si>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</si>
  <si>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</si>
  <si>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</si>
  <si>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</si>
  <si>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</si>
  <si>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</si>
  <si>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</si>
  <si>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</si>
  <si>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</si>
  <si>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</si>
  <si>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</si>
  <si>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</si>
  <si>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</si>
  <si>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</si>
  <si>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</si>
  <si>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</si>
  <si>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</si>
  <si>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</si>
  <si>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</si>
  <si>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</si>
  <si>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</si>
  <si>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</si>
  <si>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</si>
  <si>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</si>
  <si>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</si>
  <si>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</si>
  <si>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</si>
  <si>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</si>
  <si>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</si>
  <si>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</si>
  <si>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</si>
  <si>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</si>
  <si>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</si>
  <si>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</si>
  <si>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</si>
  <si>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</si>
  <si>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</si>
  <si>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</si>
  <si>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</si>
  <si>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</si>
  <si>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</si>
  <si>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</si>
  <si>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</si>
  <si>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</si>
  <si>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</si>
  <si>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</si>
  <si>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</si>
  <si>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</si>
  <si>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</si>
  <si>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</si>
  <si>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</si>
  <si>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</si>
  <si>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</si>
  <si>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</si>
  <si>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</si>
  <si>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</si>
  <si>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</si>
  <si>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</si>
  <si>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</si>
  <si>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</si>
  <si>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</si>
  <si>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</si>
  <si>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</si>
  <si>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</si>
  <si>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</si>
  <si>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</si>
  <si>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</si>
  <si>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</si>
  <si>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</si>
  <si>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</si>
  <si>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</si>
  <si>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</si>
  <si>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</si>
  <si>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</si>
  <si>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</si>
  <si>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</si>
  <si>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</si>
  <si>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</si>
  <si>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</si>
  <si>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</si>
  <si>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</si>
  <si>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</si>
  <si>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</si>
  <si>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</si>
  <si>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</si>
  <si>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</si>
  <si>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</si>
  <si>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</si>
  <si>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</si>
  <si>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</si>
  <si>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</si>
  <si>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</si>
  <si>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</si>
  <si>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</si>
  <si>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</si>
  <si>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</si>
  <si>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</si>
  <si>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</si>
  <si>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</si>
  <si>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</si>
  <si>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</si>
  <si>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</si>
  <si>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</si>
  <si>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</si>
  <si>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</si>
  <si>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</si>
  <si>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</si>
  <si>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</si>
  <si>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</si>
  <si>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</si>
  <si>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</si>
  <si>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</si>
  <si>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</si>
  <si>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</si>
  <si>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</si>
  <si>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</si>
  <si>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</si>
  <si>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</si>
  <si>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</si>
  <si>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</si>
  <si>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</si>
  <si>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</si>
  <si>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</si>
  <si>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</si>
  <si>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</si>
  <si>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</si>
  <si>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</si>
  <si>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</si>
  <si>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</si>
  <si>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</si>
  <si>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</si>
  <si>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</si>
  <si>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</si>
  <si>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</si>
  <si>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</si>
  <si>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</si>
  <si>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</si>
  <si>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</si>
  <si>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</si>
  <si>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</si>
  <si>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</si>
  <si>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</si>
  <si>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</si>
  <si>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</si>
  <si>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</si>
  <si>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</si>
  <si>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</si>
  <si>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</si>
  <si>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</si>
  <si>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</si>
  <si>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</si>
  <si>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</si>
  <si>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</si>
  <si>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</si>
  <si>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</si>
  <si>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</si>
  <si>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</si>
  <si>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</si>
  <si>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</si>
  <si>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</si>
  <si>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</si>
  <si>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</si>
  <si>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</si>
  <si>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</si>
  <si>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</si>
  <si>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</si>
  <si>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</si>
  <si>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</si>
  <si>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</si>
  <si>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</si>
  <si>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</si>
  <si>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</si>
  <si>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</si>
  <si>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</si>
  <si>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</si>
  <si>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</si>
  <si>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</si>
  <si>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</si>
  <si>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</si>
  <si>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</si>
  <si>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</si>
  <si>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</si>
  <si>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</si>
  <si>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</si>
  <si>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</si>
  <si>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</si>
  <si>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</si>
  <si>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</si>
  <si>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</si>
  <si>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</si>
  <si>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</si>
  <si>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</si>
  <si>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</si>
  <si>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</si>
  <si>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</si>
  <si>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</si>
  <si>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</si>
  <si>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</si>
  <si>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</si>
  <si>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</si>
  <si>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</si>
  <si>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</si>
  <si>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</si>
  <si>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</si>
  <si>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</si>
  <si>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</si>
  <si>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</si>
  <si>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</si>
  <si>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</si>
  <si>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</si>
  <si>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</si>
  <si>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</si>
  <si>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</si>
  <si>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</si>
  <si>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</si>
  <si>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</si>
  <si>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</si>
  <si>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</si>
  <si>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</si>
  <si>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</si>
  <si>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</si>
  <si>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</si>
  <si>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</si>
  <si>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</si>
  <si>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</si>
  <si>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</si>
  <si>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</si>
  <si>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</si>
  <si>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</si>
  <si>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</si>
  <si>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</si>
  <si>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</si>
  <si>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</si>
  <si>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</si>
  <si>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</si>
  <si>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</si>
  <si>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</si>
  <si>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</si>
  <si>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</si>
  <si>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</si>
  <si>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</si>
  <si>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</si>
  <si>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</si>
  <si>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</si>
  <si>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</si>
  <si>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</si>
  <si>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</si>
  <si>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</si>
  <si>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</si>
  <si>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</si>
  <si>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</si>
  <si>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</si>
  <si>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</si>
  <si>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</si>
  <si>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</si>
  <si>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</si>
  <si>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</si>
  <si>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</si>
  <si>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</si>
  <si>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</si>
  <si>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</si>
  <si>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</si>
  <si>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</si>
  <si>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</si>
  <si>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</si>
  <si>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</si>
  <si>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</si>
  <si>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</si>
  <si>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</si>
  <si>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</si>
  <si>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</si>
  <si>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</si>
  <si>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</si>
  <si>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</si>
  <si>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</si>
  <si>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</si>
  <si>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</si>
  <si>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</si>
  <si>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</si>
  <si>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</si>
  <si>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</si>
  <si>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</si>
  <si>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</si>
  <si>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</si>
  <si>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</si>
  <si>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</si>
  <si>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</si>
  <si>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</si>
  <si>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</si>
  <si>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</si>
  <si>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</si>
  <si>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</si>
  <si>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</si>
  <si>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</si>
  <si>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</si>
  <si>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</si>
  <si>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</si>
  <si>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</si>
  <si>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</si>
  <si>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</si>
  <si>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</si>
  <si>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</si>
  <si>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</si>
  <si>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</si>
  <si>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</si>
  <si>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</si>
  <si>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</si>
  <si>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</si>
  <si>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</si>
  <si>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</si>
  <si>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</si>
  <si>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</si>
  <si>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</si>
  <si>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</si>
  <si>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</si>
  <si>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</si>
  <si>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</si>
  <si>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</si>
  <si>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</si>
  <si>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</si>
  <si>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</si>
  <si>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</si>
  <si>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</si>
  <si>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</si>
  <si>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</si>
  <si>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</si>
  <si>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</si>
  <si>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</si>
  <si>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</si>
  <si>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</si>
  <si>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</si>
  <si>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</si>
  <si>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</si>
  <si>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</si>
  <si>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</si>
  <si>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</si>
  <si>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</si>
  <si>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</si>
  <si>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</si>
  <si>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</si>
  <si>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</si>
  <si>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</si>
  <si>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</si>
  <si>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</si>
  <si>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</si>
  <si>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</si>
  <si>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</si>
  <si>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</si>
  <si>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</si>
  <si>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</si>
  <si>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</si>
  <si>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</si>
  <si>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</si>
  <si>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</si>
  <si>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</si>
  <si>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</si>
  <si>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</si>
  <si>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</si>
  <si>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</si>
  <si>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</si>
  <si>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</si>
  <si>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</si>
  <si>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</si>
  <si>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</si>
  <si>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</si>
  <si>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</si>
  <si>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</si>
  <si>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</si>
  <si>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</si>
  <si>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</si>
  <si>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</si>
  <si>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</si>
  <si>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</si>
  <si>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</si>
  <si>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</si>
  <si>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</si>
  <si>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</si>
  <si>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</si>
  <si>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</si>
  <si>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</si>
  <si>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</si>
  <si>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</si>
  <si>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</si>
  <si>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</si>
  <si>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</si>
  <si>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</si>
  <si>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</si>
  <si>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</si>
  <si>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</si>
  <si>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</si>
  <si>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</si>
  <si>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</si>
  <si>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</si>
  <si>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</si>
  <si>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</si>
  <si>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</si>
  <si>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</si>
  <si>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</si>
  <si>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</si>
  <si>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</si>
  <si>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</si>
  <si>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</si>
  <si>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</si>
  <si>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</si>
  <si>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</si>
  <si>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</si>
  <si>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</si>
  <si>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</si>
  <si>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</si>
  <si>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</si>
  <si>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</si>
  <si>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</si>
  <si>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</si>
  <si>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</si>
  <si>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</si>
  <si>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</si>
  <si>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</si>
  <si>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</si>
  <si>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</si>
  <si>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</si>
  <si>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</si>
  <si>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</si>
  <si>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</si>
  <si>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</si>
  <si>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</si>
  <si>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</si>
  <si>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</si>
  <si>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</si>
  <si>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</si>
  <si>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</si>
  <si>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</si>
  <si>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</si>
  <si>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</si>
  <si>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</si>
  <si>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</si>
  <si>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</si>
  <si>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</si>
  <si>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</si>
  <si>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</si>
  <si>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</si>
  <si>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</si>
  <si>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</si>
  <si>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</si>
  <si>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</si>
  <si>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</si>
  <si>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</si>
  <si>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</si>
  <si>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</si>
  <si>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</si>
  <si>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</si>
  <si>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</si>
  <si>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</si>
  <si>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</si>
  <si>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</si>
  <si>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</si>
  <si>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</si>
  <si>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</si>
  <si>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</si>
  <si>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</si>
  <si>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</si>
  <si>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</si>
  <si>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</si>
  <si>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</si>
  <si>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</si>
  <si>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</si>
  <si>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</si>
  <si>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</si>
  <si>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</si>
  <si>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</si>
  <si>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</si>
  <si>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</si>
  <si>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</si>
  <si>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</si>
  <si>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</si>
  <si>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</si>
  <si>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</si>
  <si>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</si>
  <si>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</si>
  <si>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</si>
  <si>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</si>
  <si>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</si>
  <si>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</si>
  <si>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</si>
  <si>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</si>
  <si>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</si>
  <si>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</si>
  <si>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</si>
  <si>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</si>
  <si>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</si>
  <si>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</si>
  <si>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</si>
  <si>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</si>
  <si>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</si>
  <si>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</si>
  <si>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</si>
  <si>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</si>
  <si>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</si>
  <si>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</si>
  <si>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</si>
  <si>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</si>
  <si>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</si>
  <si>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</si>
  <si>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</si>
  <si>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</si>
  <si>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</si>
  <si>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</si>
  <si>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</si>
  <si>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</si>
  <si>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</si>
  <si>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</si>
  <si>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</si>
  <si>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</si>
  <si>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</si>
  <si>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</si>
  <si>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</si>
  <si>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</si>
  <si>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</si>
  <si>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</si>
  <si>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</si>
  <si>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</si>
  <si>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</si>
  <si>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</si>
  <si>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</si>
  <si>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</si>
  <si>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</si>
  <si>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</si>
  <si>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</si>
  <si>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</si>
  <si>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</si>
  <si>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</si>
  <si>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</si>
  <si>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</si>
  <si>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</si>
  <si>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</si>
  <si>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</si>
  <si>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</si>
  <si>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</si>
  <si>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</si>
  <si>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</si>
  <si>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</si>
  <si>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</si>
  <si>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</si>
  <si>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</si>
  <si>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</si>
  <si>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</si>
  <si>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</si>
  <si>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</si>
  <si>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</si>
  <si>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</si>
  <si>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</si>
  <si>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</si>
  <si>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</si>
  <si>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</si>
  <si>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</si>
  <si>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</si>
  <si>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</si>
  <si>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</si>
  <si>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</si>
  <si>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</si>
  <si>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</si>
  <si>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</si>
  <si>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</si>
  <si>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</si>
  <si>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</si>
  <si>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</si>
  <si>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</si>
  <si>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</si>
  <si>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</si>
  <si>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</si>
  <si>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</si>
  <si>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</si>
  <si>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</si>
  <si>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</si>
  <si>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</si>
  <si>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</si>
  <si>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</si>
  <si>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</si>
  <si>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</si>
  <si>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</si>
  <si>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</si>
  <si>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</si>
  <si>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</si>
  <si>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</si>
  <si>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</si>
  <si>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</si>
  <si>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</si>
  <si>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</si>
  <si>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</si>
  <si>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</si>
  <si>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</si>
  <si>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</si>
  <si>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</si>
  <si>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</si>
  <si>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</si>
  <si>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</si>
  <si>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</si>
  <si>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</si>
  <si>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</si>
  <si>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</si>
  <si>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</si>
  <si>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</si>
  <si>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</si>
  <si>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</si>
  <si>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</si>
  <si>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</si>
  <si>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</si>
  <si>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</si>
  <si>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</si>
  <si>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</si>
  <si>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</si>
  <si>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</si>
  <si>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</si>
  <si>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</si>
  <si>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</si>
  <si>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</si>
  <si>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</si>
  <si>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</si>
  <si>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</si>
  <si>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</si>
  <si>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</si>
  <si>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</si>
  <si>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</si>
  <si>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</si>
  <si>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</si>
  <si>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</si>
  <si>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</si>
  <si>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</si>
  <si>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</si>
  <si>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</si>
  <si>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</si>
  <si>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</si>
  <si>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</si>
  <si>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</si>
  <si>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</si>
  <si>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</si>
  <si>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</si>
  <si>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</si>
  <si>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</si>
  <si>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</si>
  <si>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</si>
  <si>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</si>
  <si>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</si>
  <si>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</si>
  <si>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</si>
  <si>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</si>
  <si>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</si>
  <si>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</si>
  <si>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</si>
  <si>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</si>
  <si>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</si>
  <si>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</si>
  <si>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</si>
  <si>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</si>
  <si>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</si>
  <si>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</si>
  <si>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</si>
  <si>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</si>
  <si>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</si>
  <si>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</si>
  <si>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</si>
  <si>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</si>
  <si>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</si>
  <si>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</si>
  <si>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</si>
  <si>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</si>
  <si>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</si>
  <si>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</si>
  <si>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</si>
  <si>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</si>
  <si>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</si>
  <si>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</si>
  <si>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</si>
  <si>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</si>
  <si>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</si>
  <si>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</si>
  <si>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</si>
  <si>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</si>
  <si>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</si>
  <si>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</si>
  <si>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</si>
  <si>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</si>
  <si>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</si>
  <si>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</si>
  <si>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</si>
  <si>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</si>
  <si>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</si>
  <si>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</si>
  <si>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</si>
  <si>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</si>
  <si>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</si>
  <si>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</si>
  <si>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</si>
  <si>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</si>
  <si>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</si>
  <si>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</si>
  <si>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</si>
  <si>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</si>
  <si>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</si>
  <si>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</si>
  <si>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</si>
  <si>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</si>
  <si>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</si>
  <si>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</si>
  <si>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</si>
  <si>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</si>
  <si>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</si>
  <si>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</si>
  <si>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</si>
  <si>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</si>
  <si>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</si>
  <si>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</si>
  <si>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</si>
  <si>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</si>
  <si>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</si>
  <si>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</si>
  <si>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</si>
  <si>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</si>
  <si>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</si>
  <si>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</si>
  <si>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</si>
  <si>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</si>
  <si>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</si>
  <si>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</si>
  <si>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</si>
  <si>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</si>
  <si>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</si>
  <si>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</si>
  <si>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</si>
  <si>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</si>
  <si>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</si>
  <si>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</si>
  <si>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</si>
  <si>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</si>
  <si>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</si>
  <si>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</si>
  <si>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</si>
  <si>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</si>
  <si>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</si>
  <si>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</si>
  <si>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</si>
  <si>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</si>
  <si>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</si>
  <si>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</si>
  <si>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</si>
  <si>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</si>
  <si>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</si>
  <si>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</si>
  <si>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</si>
  <si>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</si>
  <si>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</si>
  <si>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</si>
  <si>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</si>
  <si>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</si>
  <si>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</si>
  <si>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</si>
  <si>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</si>
  <si>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</si>
  <si>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</si>
  <si>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</si>
  <si>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</si>
  <si>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</si>
  <si>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</si>
  <si>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</si>
  <si>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</si>
  <si>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</si>
  <si>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</si>
  <si>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</si>
  <si>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</si>
  <si>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</si>
  <si>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</si>
  <si>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</si>
  <si>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</si>
  <si>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</si>
  <si>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</si>
  <si>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</si>
  <si>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</si>
  <si>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</si>
  <si>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</si>
  <si>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</si>
  <si>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</si>
  <si>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</si>
  <si>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</si>
  <si>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</si>
  <si>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</si>
  <si>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</si>
  <si>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</si>
  <si>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</si>
  <si>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</si>
  <si>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</si>
  <si>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</si>
  <si>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</si>
  <si>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</si>
  <si>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</si>
  <si>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</si>
  <si>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</si>
  <si>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</si>
  <si>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</si>
  <si>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</si>
  <si>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</si>
  <si>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</si>
  <si>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</si>
  <si>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</si>
  <si>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</si>
  <si>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</si>
  <si>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</si>
  <si>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</si>
  <si>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</si>
  <si>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</si>
  <si>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</si>
  <si>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</si>
  <si>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</si>
  <si>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</si>
  <si>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</si>
  <si>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</si>
  <si>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</si>
  <si>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</si>
  <si>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</si>
  <si>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</si>
  <si>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</si>
  <si>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</si>
  <si>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</si>
  <si>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</si>
  <si>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</si>
  <si>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</si>
  <si>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</si>
  <si>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</si>
  <si>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</si>
  <si>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</si>
  <si>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</si>
  <si>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</si>
  <si>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</si>
  <si>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</si>
  <si>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</si>
  <si>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</si>
  <si>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</si>
  <si>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</si>
  <si>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</si>
  <si>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</si>
  <si>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</si>
  <si>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</si>
  <si>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</si>
  <si>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</si>
  <si>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</si>
  <si>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</si>
  <si>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</si>
  <si>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</si>
  <si>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</si>
  <si>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</si>
  <si>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</si>
  <si>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</si>
  <si>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</si>
  <si>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</si>
  <si>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</si>
  <si>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</si>
  <si>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</si>
  <si>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</si>
  <si>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</si>
  <si>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</si>
  <si>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</si>
  <si>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</si>
  <si>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</si>
  <si>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</si>
  <si>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</si>
  <si>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</si>
  <si>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</si>
  <si>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</si>
  <si>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</si>
  <si>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</si>
  <si>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</si>
  <si>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</si>
  <si>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</si>
  <si>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</si>
  <si>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</si>
  <si>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</si>
  <si>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</si>
  <si>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</si>
  <si>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</si>
  <si>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</si>
  <si>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</si>
  <si>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</si>
  <si>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</si>
  <si>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</si>
  <si>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</si>
  <si>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</si>
  <si>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</si>
  <si>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</si>
  <si>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</si>
  <si>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</si>
  <si>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</si>
  <si>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</si>
  <si>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</si>
  <si>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</si>
  <si>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</si>
  <si>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</si>
  <si>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</si>
  <si>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</si>
  <si>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</si>
  <si>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</si>
  <si>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</si>
  <si>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</si>
  <si>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</si>
  <si>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</si>
  <si>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</si>
  <si>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</si>
  <si>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</si>
  <si>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</si>
  <si>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</si>
  <si>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</si>
  <si>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</si>
  <si>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</si>
  <si>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</si>
  <si>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</si>
  <si>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</si>
  <si>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</si>
  <si>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</si>
  <si>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</si>
  <si>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</si>
  <si>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</si>
  <si>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</si>
  <si>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</si>
  <si>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</si>
  <si>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</si>
  <si>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</si>
  <si>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</si>
  <si>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</si>
  <si>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</si>
  <si>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</si>
  <si>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</si>
  <si>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</si>
  <si>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</si>
  <si>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</si>
  <si>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</si>
  <si>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</si>
  <si>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</si>
  <si>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</si>
  <si>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</si>
  <si>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</si>
  <si>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</si>
  <si>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</si>
  <si>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</si>
  <si>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</si>
  <si>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</si>
  <si>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</si>
  <si>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</si>
  <si>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</si>
  <si>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</si>
  <si>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</si>
  <si>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</si>
  <si>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</si>
  <si>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</si>
  <si>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</si>
  <si>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</si>
  <si>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</si>
  <si>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</si>
  <si>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</si>
  <si>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</si>
  <si>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</si>
  <si>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</si>
  <si>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</si>
  <si>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</si>
  <si>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</si>
  <si>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</si>
  <si>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</si>
  <si>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</si>
  <si>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</si>
  <si>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</si>
  <si>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</si>
  <si>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</si>
  <si>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</si>
  <si>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</si>
  <si>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</si>
  <si>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</si>
  <si>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</si>
  <si>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</si>
  <si>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</si>
  <si>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</si>
  <si>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</si>
  <si>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</si>
  <si>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</si>
  <si>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</si>
  <si>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</si>
  <si>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</si>
  <si>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</si>
  <si>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</si>
  <si>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</si>
  <si>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</si>
  <si>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</si>
  <si>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</si>
  <si>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</si>
  <si>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</si>
  <si>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</si>
  <si>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</si>
  <si>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</si>
  <si>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</si>
  <si>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</si>
  <si>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</si>
  <si>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</si>
  <si>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</si>
  <si>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</si>
  <si>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</si>
  <si>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</si>
  <si>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</si>
  <si>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</si>
  <si>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</si>
  <si>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</si>
  <si>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</si>
  <si>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</si>
  <si>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</si>
  <si>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</si>
  <si>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</si>
  <si>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</si>
  <si>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</si>
  <si>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</si>
  <si>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</si>
  <si>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</si>
  <si>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</si>
  <si>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</si>
  <si>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</si>
  <si>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</si>
  <si>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</si>
  <si>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</si>
  <si>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</si>
  <si>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</si>
  <si>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</si>
  <si>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</si>
  <si>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</si>
  <si>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</si>
  <si>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</si>
  <si>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</si>
  <si>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</si>
  <si>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</si>
  <si>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</si>
  <si>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</si>
  <si>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</si>
  <si>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</si>
  <si>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</si>
  <si>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</si>
  <si>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</si>
  <si>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</si>
  <si>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</si>
  <si>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</si>
  <si>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</si>
  <si>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</si>
  <si>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</si>
  <si>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</si>
  <si>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</si>
  <si>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</si>
  <si>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</si>
  <si>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</si>
  <si>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</si>
  <si>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</si>
  <si>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</si>
  <si>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</si>
  <si>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</si>
  <si>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</si>
  <si>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</si>
  <si>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</si>
  <si>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</si>
  <si>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</si>
  <si>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</si>
  <si>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</si>
  <si>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</si>
  <si>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</si>
  <si>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</si>
  <si>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</si>
  <si>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</si>
  <si>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</si>
  <si>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</si>
  <si>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</si>
  <si>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</si>
  <si>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</si>
  <si>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</si>
  <si>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</si>
  <si>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</si>
  <si>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</si>
  <si>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</si>
  <si>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</si>
  <si>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</si>
  <si>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</si>
  <si>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</si>
  <si>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</si>
  <si>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</si>
  <si>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</si>
  <si>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</si>
  <si>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</si>
  <si>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</si>
  <si>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</si>
  <si>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</si>
  <si>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</si>
  <si>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</si>
  <si>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</si>
  <si>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</si>
  <si>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</si>
  <si>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</si>
  <si>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</si>
  <si>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</si>
  <si>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</si>
  <si>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</si>
  <si>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</si>
  <si>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</si>
  <si>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</si>
  <si>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</si>
  <si>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</si>
  <si>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</si>
  <si>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</si>
  <si>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</si>
  <si>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</si>
  <si>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</si>
  <si>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</si>
  <si>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</si>
  <si>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</si>
  <si>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</si>
  <si>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</si>
  <si>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</si>
  <si>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</si>
  <si>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</si>
  <si>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</si>
  <si>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</si>
  <si>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</si>
  <si>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</si>
  <si>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</si>
  <si>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</si>
  <si>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</si>
  <si>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</si>
  <si>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</si>
  <si>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</si>
  <si>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</si>
  <si>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</si>
  <si>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</si>
  <si>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</si>
  <si>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</si>
  <si>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</si>
  <si>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</si>
  <si>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</si>
  <si>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</si>
  <si>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</si>
  <si>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</si>
  <si>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</si>
  <si>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</si>
  <si>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</si>
  <si>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</si>
  <si>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</si>
  <si>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</si>
  <si>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</si>
  <si>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</si>
  <si>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</si>
  <si>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</si>
  <si>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</si>
  <si>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</si>
  <si>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</si>
  <si>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</si>
  <si>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</si>
  <si>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</si>
  <si>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</si>
  <si>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</si>
  <si>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</si>
  <si>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</si>
  <si>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</si>
  <si>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</si>
  <si>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</si>
  <si>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</si>
  <si>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</si>
  <si>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</si>
  <si>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</si>
  <si>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</si>
  <si>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</si>
  <si>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</si>
  <si>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</si>
  <si>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</si>
  <si>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</si>
  <si>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</si>
  <si>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</si>
  <si>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</si>
  <si>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</si>
  <si>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</si>
  <si>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</si>
  <si>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</si>
  <si>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</si>
  <si>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</si>
  <si>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</si>
  <si>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</si>
  <si>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</si>
  <si>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</si>
  <si>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</si>
  <si>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</si>
  <si>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</si>
  <si>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</si>
  <si>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</si>
  <si>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</si>
  <si>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</si>
  <si>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</si>
  <si>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</si>
  <si>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</si>
  <si>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</si>
  <si>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</si>
  <si>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</si>
  <si>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</si>
  <si>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</si>
  <si>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</si>
  <si>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</si>
  <si>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</si>
  <si>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</si>
  <si>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</si>
  <si>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</si>
  <si>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</si>
  <si>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</si>
  <si>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</si>
  <si>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</si>
  <si>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</si>
  <si>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</si>
  <si>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</si>
  <si>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</si>
  <si>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</si>
  <si>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</si>
  <si>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</si>
  <si>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</si>
  <si>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</si>
  <si>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</si>
  <si>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</si>
  <si>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</si>
  <si>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</si>
  <si>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</si>
  <si>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</si>
  <si>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</si>
  <si>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</si>
  <si>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</si>
  <si>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</si>
  <si>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</si>
  <si>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</si>
  <si>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</si>
  <si>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</si>
  <si>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</si>
  <si>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</si>
  <si>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</si>
  <si>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</si>
  <si>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</si>
  <si>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</si>
  <si>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</si>
  <si>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</si>
  <si>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</si>
  <si>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</si>
  <si>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</si>
  <si>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</si>
  <si>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</si>
  <si>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</si>
  <si>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</si>
  <si>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</si>
  <si>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</si>
  <si>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</si>
  <si>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</si>
  <si>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</si>
  <si>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</si>
  <si>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</si>
  <si>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</si>
  <si>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</si>
  <si>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</si>
  <si>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</si>
  <si>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</si>
  <si>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</si>
  <si>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</si>
  <si>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</si>
  <si>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</si>
  <si>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</si>
  <si>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</si>
  <si>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</si>
  <si>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</si>
  <si>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</si>
  <si>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</si>
  <si>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</si>
  <si>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</si>
  <si>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</si>
  <si>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</si>
  <si>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</si>
  <si>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</si>
  <si>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</si>
  <si>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</si>
  <si>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</si>
  <si>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</si>
  <si>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</si>
  <si>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</si>
  <si>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</si>
  <si>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</si>
  <si>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</si>
  <si>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</si>
  <si>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</si>
  <si>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</si>
  <si>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</si>
  <si>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</si>
  <si>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</si>
  <si>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</si>
  <si>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</si>
  <si>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</si>
  <si>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</si>
  <si>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</si>
  <si>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</si>
  <si>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</si>
  <si>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</si>
  <si>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</si>
  <si>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</si>
  <si>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</si>
  <si>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</si>
  <si>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</si>
  <si>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</si>
  <si>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</si>
  <si>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</si>
  <si>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</si>
  <si>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</si>
  <si>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</si>
  <si>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</si>
  <si>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</si>
  <si>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</si>
  <si>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</si>
  <si>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</si>
  <si>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</si>
  <si>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</si>
  <si>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</si>
  <si>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</si>
  <si>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</si>
  <si>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</si>
  <si>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</si>
  <si>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</si>
  <si>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</si>
  <si>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</si>
  <si>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</si>
  <si>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</si>
  <si>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</si>
  <si>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</si>
  <si>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</si>
  <si>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</si>
  <si>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</si>
  <si>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</si>
  <si>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</si>
  <si>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</si>
  <si>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</si>
  <si>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</si>
  <si>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</si>
  <si>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</si>
  <si>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</si>
  <si>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</si>
  <si>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</si>
  <si>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</si>
  <si>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</si>
  <si>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</si>
  <si>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</si>
  <si>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</si>
  <si>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</si>
  <si>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</si>
  <si>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</si>
  <si>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</si>
  <si>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</si>
  <si>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</si>
  <si>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</si>
  <si>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</si>
  <si>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</si>
  <si>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</si>
  <si>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</si>
  <si>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</si>
  <si>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</si>
  <si>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</si>
  <si>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</si>
  <si>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</si>
  <si>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</si>
  <si>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</si>
  <si>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</si>
  <si>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</si>
  <si>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</si>
  <si>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</si>
  <si>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</si>
  <si>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</si>
  <si>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</si>
  <si>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</si>
  <si>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</si>
  <si>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</si>
  <si>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</si>
  <si>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</si>
  <si>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</si>
  <si>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</si>
  <si>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</si>
  <si>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</si>
  <si>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</si>
  <si>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</si>
  <si>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</si>
  <si>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</si>
  <si>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</si>
  <si>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</si>
  <si>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</si>
  <si>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</si>
  <si>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</si>
  <si>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</si>
  <si>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</si>
  <si>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</si>
  <si>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</si>
  <si>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</si>
  <si>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</si>
  <si>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</si>
  <si>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</si>
  <si>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</si>
  <si>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</si>
  <si>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</si>
  <si>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</si>
  <si>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</si>
  <si>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</si>
  <si>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</si>
  <si>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</si>
  <si>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</si>
  <si>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</si>
  <si>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</si>
  <si>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</si>
  <si>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</si>
  <si>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</si>
  <si>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</si>
  <si>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</si>
  <si>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</si>
  <si>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</si>
  <si>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</si>
  <si>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</si>
  <si>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</si>
  <si>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</si>
  <si>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</si>
  <si>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</si>
  <si>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</si>
  <si>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</si>
  <si>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</si>
  <si>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</si>
  <si>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</si>
  <si>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</si>
  <si>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</si>
  <si>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</si>
  <si>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</si>
  <si>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</si>
  <si>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</si>
  <si>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</si>
  <si>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</si>
  <si>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</si>
  <si>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</si>
  <si>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</si>
  <si>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</si>
  <si>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</si>
  <si>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</si>
  <si>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</si>
  <si>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</si>
  <si>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</si>
  <si>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</si>
  <si>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</si>
  <si>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</si>
  <si>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</si>
  <si>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</si>
  <si>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</si>
  <si>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</si>
  <si>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</si>
  <si>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</si>
  <si>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</si>
  <si>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</si>
  <si>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</si>
  <si>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</si>
  <si>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</si>
  <si>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</si>
  <si>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</si>
  <si>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</si>
  <si>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</si>
  <si>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</si>
  <si>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</si>
  <si>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</si>
  <si>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</si>
  <si>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</si>
  <si>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</si>
  <si>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</si>
  <si>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</si>
  <si>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</si>
  <si>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</si>
  <si>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</si>
  <si>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</si>
  <si>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</si>
  <si>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</si>
  <si>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</si>
  <si>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</si>
  <si>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</si>
  <si>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</si>
  <si>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</si>
  <si>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</si>
  <si>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</si>
  <si>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</si>
  <si>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</si>
  <si>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</si>
  <si>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</si>
  <si>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</si>
  <si>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</si>
  <si>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</si>
  <si>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</si>
  <si>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</si>
  <si>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</si>
  <si>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</si>
  <si>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</si>
  <si>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</si>
  <si>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</si>
  <si>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</si>
  <si>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</si>
  <si>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</si>
  <si>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</si>
  <si>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</si>
  <si>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</si>
  <si>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</si>
  <si>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</si>
  <si>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</si>
  <si>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</si>
  <si>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</si>
  <si>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</si>
  <si>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</si>
  <si>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</si>
  <si>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</si>
  <si>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</si>
  <si>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</si>
  <si>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</si>
  <si>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</si>
  <si>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</si>
  <si>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</si>
  <si>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</si>
  <si>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</si>
  <si>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</si>
  <si>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</si>
  <si>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</si>
  <si>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</si>
  <si>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</si>
  <si>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</si>
  <si>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</si>
  <si>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</si>
  <si>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</si>
  <si>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</si>
  <si>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</si>
  <si>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</si>
  <si>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</si>
  <si>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</si>
  <si>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</si>
  <si>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</si>
  <si>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</si>
  <si>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</si>
  <si>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</si>
  <si>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</si>
  <si>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</si>
  <si>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</si>
  <si>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</si>
  <si>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</si>
  <si>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</si>
  <si>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</si>
  <si>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</si>
  <si>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</si>
  <si>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</si>
  <si>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</si>
  <si>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</si>
  <si>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</si>
  <si>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</si>
  <si>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</si>
  <si>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</si>
  <si>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</si>
  <si>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</si>
  <si>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</si>
  <si>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</si>
  <si>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</si>
  <si>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</si>
  <si>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</si>
  <si>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</si>
  <si>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</si>
  <si>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</si>
  <si>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</si>
  <si>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</si>
  <si>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</si>
  <si>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</si>
  <si>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</si>
  <si>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</si>
  <si>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</si>
  <si>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</si>
  <si>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</si>
  <si>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</si>
  <si>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</si>
  <si>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</si>
  <si>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</si>
  <si>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</si>
  <si>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</si>
  <si>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</si>
  <si>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</si>
  <si>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</si>
  <si>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</si>
  <si>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</si>
  <si>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</si>
  <si>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</si>
  <si>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</si>
  <si>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</si>
  <si>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</si>
  <si>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</si>
  <si>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</si>
  <si>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</si>
  <si>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</si>
  <si>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</si>
  <si>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</si>
  <si>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</si>
  <si>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</si>
  <si>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</si>
  <si>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</si>
  <si>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</si>
  <si>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</si>
  <si>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</si>
  <si>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</si>
  <si>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</si>
  <si>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</si>
  <si>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</si>
  <si>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</si>
  <si>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</si>
  <si>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</si>
  <si>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</si>
  <si>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</si>
  <si>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</si>
  <si>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</si>
  <si>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</si>
  <si>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</si>
  <si>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</si>
  <si>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</si>
  <si>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</si>
  <si>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</si>
  <si>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</si>
  <si>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</si>
  <si>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</si>
  <si>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</si>
  <si>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</si>
  <si>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</si>
  <si>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</si>
  <si>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</si>
  <si>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</si>
  <si>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</si>
  <si>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</si>
  <si>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</si>
  <si>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</si>
  <si>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</si>
  <si>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</si>
  <si>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</si>
  <si>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</si>
  <si>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</si>
  <si>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</si>
  <si>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</si>
  <si>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</si>
  <si>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</si>
  <si>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</si>
  <si>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</si>
  <si>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</si>
  <si>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</si>
  <si>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</si>
  <si>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</si>
  <si>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</si>
  <si>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</si>
  <si>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</si>
  <si>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</si>
  <si>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</si>
  <si>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</si>
  <si>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</si>
  <si>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</si>
  <si>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</si>
  <si>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</si>
  <si>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</si>
  <si>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</si>
  <si>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</si>
  <si>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</si>
  <si>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</si>
  <si>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</si>
  <si>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</si>
  <si>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</si>
  <si>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</si>
  <si>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</si>
  <si>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</si>
  <si>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</si>
  <si>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</si>
  <si>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</si>
  <si>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</si>
  <si>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</si>
  <si>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</si>
  <si>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</si>
  <si>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</si>
  <si>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</si>
  <si>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</si>
  <si>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</si>
  <si>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</si>
  <si>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</si>
  <si>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</si>
  <si>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</si>
  <si>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</si>
  <si>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</si>
  <si>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</si>
  <si>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</si>
  <si>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</si>
  <si>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</si>
  <si>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</si>
  <si>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</si>
  <si>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</si>
  <si>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</si>
  <si>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</si>
  <si>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</si>
  <si>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</si>
  <si>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</si>
  <si>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</si>
  <si>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</si>
  <si>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</si>
  <si>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</si>
  <si>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</si>
  <si>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</si>
  <si>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</si>
  <si>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</si>
  <si>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</si>
  <si>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</si>
  <si>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</si>
  <si>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</si>
  <si>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</si>
  <si>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</si>
  <si>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</si>
  <si>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</si>
  <si>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</si>
  <si>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</si>
  <si>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</si>
  <si>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</si>
  <si>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</si>
  <si>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</si>
  <si>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</si>
  <si>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</si>
  <si>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</si>
  <si>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</si>
  <si>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</si>
  <si>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</si>
  <si>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</si>
  <si>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</si>
  <si>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</si>
  <si>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</si>
  <si>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</si>
  <si>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</si>
  <si>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</si>
  <si>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</si>
  <si>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</si>
  <si>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</si>
  <si>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</si>
  <si>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</si>
  <si>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</si>
  <si>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</si>
  <si>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</si>
  <si>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</si>
  <si>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</si>
  <si>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</si>
  <si>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</si>
  <si>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</si>
  <si>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</si>
  <si>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</si>
  <si>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</si>
  <si>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</si>
  <si>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</si>
  <si>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</si>
  <si>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</si>
  <si>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</si>
  <si>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</si>
  <si>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</si>
  <si>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</si>
  <si>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</si>
  <si>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</si>
  <si>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</si>
  <si>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</si>
  <si>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</si>
  <si>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</si>
  <si>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</si>
  <si>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</si>
  <si>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</si>
  <si>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</si>
  <si>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</si>
  <si>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</si>
  <si>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</si>
  <si>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</si>
  <si>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</si>
  <si>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</si>
  <si>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</si>
  <si>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</si>
  <si>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</si>
  <si>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</si>
  <si>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</si>
  <si>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</si>
  <si>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</si>
  <si>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</si>
  <si>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</si>
  <si>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</si>
  <si>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</si>
  <si>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</si>
  <si>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</si>
  <si>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</si>
  <si>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</si>
  <si>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</si>
  <si>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</si>
  <si>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</si>
  <si>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</si>
  <si>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</si>
  <si>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</si>
  <si>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</si>
  <si>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</si>
  <si>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</si>
  <si>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</si>
  <si>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</si>
  <si>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</si>
  <si>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</si>
  <si>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</si>
  <si>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</si>
  <si>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</si>
  <si>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</si>
  <si>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</si>
  <si>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</si>
  <si>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</si>
  <si>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</si>
  <si>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</si>
  <si>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</si>
  <si>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</si>
  <si>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</si>
  <si>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</si>
  <si>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</si>
  <si>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</si>
  <si>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</si>
  <si>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</si>
  <si>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</si>
  <si>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</si>
  <si>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</si>
  <si>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</si>
  <si>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</si>
  <si>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</si>
  <si>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</si>
  <si>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</si>
  <si>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</si>
  <si>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</si>
  <si>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</si>
  <si>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</si>
  <si>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</si>
  <si>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</si>
  <si>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</si>
  <si>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</si>
  <si>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</si>
  <si>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</si>
  <si>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</si>
  <si>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</si>
  <si>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</si>
  <si>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</si>
  <si>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</si>
  <si>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</si>
  <si>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</si>
  <si>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</si>
  <si>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</si>
  <si>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</si>
  <si>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</si>
  <si>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</si>
  <si>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</si>
  <si>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</si>
  <si>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</si>
  <si>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</si>
  <si>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</si>
  <si>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</si>
  <si>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</si>
  <si>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</si>
  <si>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</si>
  <si>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</si>
  <si>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</si>
  <si>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</si>
  <si>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</si>
  <si>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</si>
  <si>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</si>
  <si>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</si>
  <si>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</si>
  <si>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</si>
  <si>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</si>
  <si>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</si>
  <si>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</si>
  <si>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</si>
  <si>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</si>
  <si>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</si>
  <si>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</si>
  <si>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</si>
  <si>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</si>
  <si>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</si>
  <si>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</si>
  <si>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</si>
  <si>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</si>
  <si>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</si>
  <si>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</si>
  <si>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</si>
  <si>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</si>
  <si>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</si>
  <si>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</si>
  <si>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</si>
  <si>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</si>
  <si>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</si>
  <si>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</si>
  <si>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</si>
  <si>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</si>
  <si>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</si>
  <si>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</si>
  <si>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</si>
  <si>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</si>
  <si>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</si>
  <si>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</si>
  <si>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</si>
  <si>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</si>
  <si>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</si>
  <si>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</si>
  <si>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</si>
  <si>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</si>
  <si>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</si>
  <si>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</si>
  <si>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</si>
  <si>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</si>
  <si>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</si>
  <si>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</si>
  <si>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</si>
  <si>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</si>
  <si>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</si>
  <si>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</si>
  <si>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</si>
  <si>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</si>
  <si>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</si>
  <si>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</si>
  <si>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</si>
  <si>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</si>
  <si>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</si>
  <si>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</si>
  <si>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</si>
  <si>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</si>
  <si>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</si>
  <si>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</si>
  <si>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</si>
  <si>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</si>
  <si>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</si>
  <si>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</si>
  <si>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</si>
  <si>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</si>
  <si>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</si>
  <si>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</si>
  <si>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</si>
  <si>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</si>
  <si>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</si>
  <si>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</si>
  <si>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</si>
  <si>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</si>
  <si>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</si>
  <si>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</si>
  <si>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</si>
  <si>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</si>
  <si>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</si>
  <si>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</si>
  <si>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</si>
  <si>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</si>
  <si>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</si>
  <si>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</si>
  <si>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</si>
  <si>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</si>
  <si>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</si>
  <si>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</si>
  <si>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</si>
  <si>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</si>
  <si>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</si>
  <si>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</si>
  <si>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</si>
  <si>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</si>
  <si>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</si>
  <si>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</si>
  <si>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</si>
  <si>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</si>
  <si>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</si>
  <si>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</si>
  <si>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</si>
  <si>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</si>
  <si>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</si>
  <si>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</si>
  <si>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</si>
  <si>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</si>
  <si>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</si>
  <si>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</si>
  <si>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</si>
  <si>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</si>
  <si>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</si>
  <si>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</si>
  <si>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</si>
  <si>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</si>
  <si>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</si>
  <si>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</si>
  <si>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</si>
  <si>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</si>
  <si>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</si>
  <si>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</si>
  <si>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</si>
  <si>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</si>
  <si>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</si>
  <si>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</si>
  <si>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</si>
  <si>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</si>
  <si>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</si>
  <si>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</si>
  <si>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</si>
  <si>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</si>
  <si>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</si>
  <si>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</si>
  <si>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</si>
  <si>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</si>
  <si>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</si>
  <si>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</si>
  <si>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</si>
  <si>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</si>
  <si>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</si>
  <si>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</si>
  <si>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</si>
  <si>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</si>
  <si>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</si>
  <si>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</si>
  <si>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</si>
  <si>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</si>
  <si>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</si>
  <si>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</si>
  <si>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</si>
  <si>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</si>
  <si>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</si>
  <si>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</si>
  <si>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</si>
  <si>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</si>
  <si>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</si>
  <si>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</si>
  <si>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</si>
  <si>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</si>
  <si>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</si>
  <si>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</si>
  <si>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</si>
  <si>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</si>
  <si>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</si>
  <si>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</si>
  <si>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</si>
  <si>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</si>
  <si>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</si>
  <si>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</si>
  <si>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</si>
  <si>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</si>
  <si>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</si>
  <si>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</si>
  <si>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</si>
  <si>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</si>
  <si>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</si>
  <si>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</si>
  <si>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</si>
  <si>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</si>
  <si>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</si>
  <si>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</si>
  <si>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</si>
  <si>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</si>
  <si>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</si>
  <si>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</si>
  <si>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</si>
  <si>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</si>
  <si>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</si>
  <si>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</si>
  <si>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</si>
  <si>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</si>
  <si>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</si>
  <si>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</si>
  <si>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</si>
  <si>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</si>
  <si>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</si>
  <si>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</si>
  <si>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</si>
  <si>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</si>
  <si>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</si>
  <si>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</si>
  <si>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</si>
  <si>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</si>
  <si>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</si>
  <si>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</si>
  <si>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</si>
  <si>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</si>
  <si>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</si>
  <si>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</si>
  <si>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</si>
  <si>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</si>
  <si>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</si>
  <si>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</si>
  <si>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</si>
  <si>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</si>
  <si>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</si>
  <si>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</si>
  <si>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</si>
  <si>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</si>
  <si>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</si>
  <si>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</si>
  <si>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</si>
  <si>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</si>
  <si>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</si>
  <si>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</si>
  <si>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</si>
  <si>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</si>
  <si>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</si>
  <si>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</si>
  <si>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</si>
  <si>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</si>
  <si>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</si>
  <si>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</si>
  <si>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</si>
  <si>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</si>
  <si>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</si>
  <si>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</si>
  <si>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</si>
  <si>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</si>
  <si>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</si>
  <si>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</si>
  <si>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</si>
  <si>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</si>
  <si>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</si>
  <si>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</si>
  <si>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</si>
  <si>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</si>
  <si>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</si>
  <si>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</si>
  <si>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</si>
  <si>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</si>
  <si>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</si>
  <si>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</si>
  <si>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</si>
  <si>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</si>
  <si>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</si>
  <si>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</si>
  <si>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</si>
  <si>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</si>
  <si>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</si>
  <si>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</si>
  <si>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</si>
  <si>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</si>
  <si>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</si>
  <si>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</si>
  <si>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</si>
  <si>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</si>
  <si>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</si>
  <si>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</si>
  <si>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</si>
  <si>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</si>
  <si>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</si>
  <si>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</si>
  <si>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</si>
  <si>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</si>
  <si>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</si>
  <si>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</si>
  <si>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</si>
  <si>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</si>
  <si>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</si>
  <si>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</si>
  <si>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</si>
  <si>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</si>
  <si>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</si>
  <si>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</si>
  <si>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</si>
  <si>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</si>
  <si>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</si>
  <si>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</si>
  <si>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</si>
  <si>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</si>
  <si>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</si>
  <si>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</si>
  <si>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</si>
  <si>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</si>
  <si>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</si>
  <si>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</si>
  <si>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</si>
  <si>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</si>
  <si>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</si>
  <si>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</si>
  <si>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</si>
  <si>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</si>
  <si>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</si>
  <si>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</si>
  <si>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</si>
  <si>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</si>
  <si>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</si>
  <si>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</si>
  <si>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</si>
  <si>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</si>
  <si>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</si>
  <si>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</si>
  <si>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</si>
  <si>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</si>
  <si>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</si>
  <si>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</si>
  <si>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</si>
  <si>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</si>
  <si>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</si>
  <si>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</si>
  <si>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</si>
  <si>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</si>
  <si>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</si>
  <si>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</si>
  <si>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</si>
  <si>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</si>
  <si>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</si>
  <si>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</si>
  <si>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</si>
  <si>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</si>
  <si>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</si>
  <si>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</si>
  <si>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</si>
  <si>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</si>
  <si>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</si>
  <si>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</si>
  <si>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</si>
  <si>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</si>
  <si>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</si>
  <si>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</si>
  <si>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</si>
  <si>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</si>
  <si>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</si>
  <si>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</si>
  <si>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</si>
  <si>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</si>
  <si>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</si>
  <si>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</si>
  <si>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</si>
  <si>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</si>
  <si>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</si>
  <si>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</si>
  <si>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</si>
  <si>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</si>
  <si>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</si>
  <si>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</si>
  <si>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</si>
  <si>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</si>
  <si>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</si>
  <si>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</si>
  <si>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</si>
  <si>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</si>
  <si>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</si>
  <si>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</si>
  <si>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</si>
  <si>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</si>
  <si>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</si>
  <si>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</si>
  <si>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</si>
  <si>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</si>
  <si>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</si>
  <si>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</si>
  <si>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</si>
  <si>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</si>
  <si>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</si>
  <si>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</si>
  <si>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</si>
  <si>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</si>
  <si>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</si>
  <si>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</si>
  <si>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</si>
  <si>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</si>
  <si>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</si>
  <si>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</si>
  <si>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</si>
  <si>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</si>
  <si>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</si>
  <si>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</si>
  <si>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</si>
  <si>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</si>
  <si>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</si>
  <si>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</si>
  <si>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</si>
  <si>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</si>
  <si>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</si>
  <si>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</si>
  <si>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</si>
  <si>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</si>
  <si>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</si>
  <si>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</si>
  <si>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</si>
  <si>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</si>
  <si>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</si>
  <si>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</si>
  <si>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</si>
  <si>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</si>
  <si>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</si>
  <si>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</si>
  <si>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</si>
  <si>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</si>
  <si>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</si>
  <si>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</si>
  <si>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</si>
  <si>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</si>
  <si>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</si>
  <si>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</si>
  <si>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</si>
  <si>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</si>
  <si>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</si>
  <si>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</si>
  <si>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</si>
  <si>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</si>
  <si>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</si>
  <si>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</si>
  <si>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</si>
  <si>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</si>
  <si>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</si>
  <si>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</si>
  <si>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</si>
  <si>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</si>
  <si>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</si>
  <si>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</si>
  <si>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</si>
  <si>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</si>
  <si>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</si>
  <si>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</si>
  <si>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</si>
  <si>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</si>
  <si>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</si>
  <si>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</si>
  <si>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</si>
  <si>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</si>
  <si>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</si>
  <si>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</si>
  <si>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</si>
  <si>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</si>
  <si>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</si>
  <si>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</si>
  <si>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</si>
  <si>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</si>
  <si>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</si>
  <si>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</si>
  <si>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</si>
  <si>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</si>
  <si>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</si>
  <si>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</si>
  <si>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</si>
  <si>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</si>
  <si>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</si>
  <si>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</si>
  <si>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</si>
  <si>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</si>
  <si>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</si>
  <si>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</si>
  <si>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</si>
  <si>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</si>
  <si>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</si>
  <si>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</si>
  <si>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</si>
  <si>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</si>
  <si>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</si>
  <si>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</si>
  <si>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</si>
  <si>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</si>
  <si>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</si>
  <si>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</si>
  <si>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</si>
  <si>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</si>
  <si>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</si>
  <si>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</si>
  <si>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</si>
  <si>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</si>
  <si>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</si>
  <si>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</si>
  <si>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</si>
  <si>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</si>
  <si>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</si>
  <si>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</si>
  <si>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</si>
  <si>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</si>
  <si>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</si>
  <si>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</si>
  <si>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</si>
  <si>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</si>
  <si>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</si>
  <si>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</si>
  <si>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</si>
  <si>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</si>
  <si>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</si>
  <si>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</si>
  <si>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</si>
  <si>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</si>
  <si>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</si>
  <si>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</si>
  <si>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</si>
  <si>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</si>
  <si>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</si>
  <si>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</si>
  <si>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</si>
  <si>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</si>
  <si>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</si>
  <si>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</si>
  <si>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</si>
  <si>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</si>
  <si>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</si>
  <si>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</si>
  <si>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</si>
  <si>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</si>
  <si>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</si>
  <si>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</si>
  <si>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</si>
  <si>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</si>
  <si>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</si>
  <si>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</si>
  <si>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</si>
  <si>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</si>
  <si>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</si>
  <si>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</si>
  <si>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</si>
  <si>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</si>
  <si>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</si>
  <si>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</si>
  <si>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</si>
  <si>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</si>
  <si>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</si>
  <si>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</si>
  <si>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</si>
  <si>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</si>
  <si>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</si>
  <si>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</si>
  <si>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</si>
  <si>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</si>
  <si>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</si>
  <si>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</si>
  <si>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</si>
  <si>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</si>
  <si>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</si>
  <si>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</si>
  <si>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</si>
  <si>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</si>
  <si>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</si>
  <si>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</si>
  <si>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</si>
  <si>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</si>
  <si>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</si>
  <si>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</si>
  <si>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</si>
  <si>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</si>
  <si>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</si>
  <si>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</si>
  <si>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</si>
  <si>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</si>
  <si>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</si>
  <si>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</si>
  <si>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</si>
  <si>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</si>
  <si>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</si>
  <si>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</si>
  <si>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</si>
  <si>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</si>
  <si>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</si>
  <si>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</si>
  <si>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</si>
  <si>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</si>
  <si>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</si>
  <si>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</si>
  <si>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</si>
  <si>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</si>
  <si>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</si>
  <si>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</si>
  <si>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</si>
  <si>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</si>
  <si>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</si>
  <si>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</si>
  <si>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</si>
  <si>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</si>
  <si>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</si>
  <si>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</si>
  <si>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</si>
  <si>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</si>
  <si>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</si>
  <si>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</si>
  <si>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</si>
  <si>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</si>
  <si>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</si>
  <si>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</si>
  <si>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</si>
  <si>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</si>
  <si>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</si>
  <si>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</si>
  <si>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</si>
  <si>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</si>
  <si>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</si>
  <si>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</si>
  <si>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</si>
  <si>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</si>
  <si>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</si>
  <si>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</si>
  <si>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</si>
  <si>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</si>
  <si>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</si>
  <si>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</si>
  <si>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</si>
  <si>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</si>
  <si>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</si>
  <si>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</si>
  <si>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</si>
  <si>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</si>
  <si>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</si>
  <si>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</si>
  <si>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</si>
  <si>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</si>
  <si>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</si>
  <si>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</si>
  <si>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</si>
  <si>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</si>
  <si>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</si>
  <si>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</si>
  <si>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</si>
  <si>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</si>
  <si>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</si>
  <si>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</si>
  <si>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</si>
  <si>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</si>
  <si>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</si>
  <si>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</si>
  <si>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</si>
  <si>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</si>
  <si>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</si>
  <si>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</si>
  <si>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</si>
  <si>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</si>
  <si>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</si>
  <si>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</si>
  <si>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</si>
  <si>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</si>
  <si>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</si>
  <si>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</si>
  <si>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</si>
  <si>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</si>
  <si>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</si>
  <si>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</si>
  <si>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</si>
  <si>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</si>
  <si>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</si>
  <si>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</si>
  <si>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</si>
  <si>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</si>
  <si>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</si>
  <si>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</si>
  <si>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</si>
  <si>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</si>
  <si>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</si>
  <si>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</si>
  <si>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</si>
  <si>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</si>
  <si>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</si>
  <si>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</si>
  <si>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</si>
  <si>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</si>
  <si>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</si>
  <si>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</si>
  <si>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</si>
  <si>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</si>
  <si>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</si>
  <si>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</si>
  <si>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</si>
  <si>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</si>
  <si>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</si>
  <si>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</si>
  <si>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</si>
  <si>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</si>
  <si>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</si>
  <si>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</si>
  <si>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</si>
  <si>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</si>
  <si>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</si>
  <si>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</si>
  <si>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</si>
  <si>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</si>
  <si>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</si>
  <si>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</si>
  <si>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</si>
  <si>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</si>
  <si>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</si>
  <si>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</si>
  <si>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</si>
  <si>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</si>
  <si>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</si>
  <si>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</si>
  <si>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</si>
  <si>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</si>
  <si>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</si>
  <si>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</si>
  <si>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</si>
  <si>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</si>
  <si>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</si>
  <si>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</si>
  <si>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</si>
  <si>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</si>
  <si>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</si>
  <si>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</si>
  <si>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</si>
  <si>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</si>
  <si>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</si>
  <si>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</si>
  <si>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</si>
  <si>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</si>
  <si>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</si>
  <si>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</si>
  <si>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</si>
  <si>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</si>
  <si>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</si>
  <si>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</si>
  <si>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</si>
  <si>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</si>
  <si>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</si>
  <si>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</si>
  <si>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</si>
  <si>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</si>
  <si>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</si>
  <si>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</si>
  <si>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</si>
  <si>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</si>
  <si>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</si>
  <si>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</si>
  <si>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</si>
  <si>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</si>
  <si>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</si>
  <si>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</si>
  <si>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</si>
  <si>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</si>
  <si>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</si>
  <si>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</si>
  <si>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</si>
  <si>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</si>
  <si>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</si>
  <si>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</si>
  <si>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</si>
  <si>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</si>
  <si>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</si>
  <si>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</si>
  <si>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</si>
  <si>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</si>
  <si>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</si>
  <si>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</si>
  <si>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</si>
  <si>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</si>
  <si>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</si>
  <si>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</si>
  <si>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</si>
  <si>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</si>
  <si>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</si>
  <si>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</si>
  <si>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</si>
  <si>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</si>
  <si>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</si>
  <si>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</si>
  <si>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</si>
  <si>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</si>
  <si>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</si>
  <si>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</si>
  <si>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</si>
  <si>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</si>
  <si>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</si>
  <si>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</si>
  <si>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</si>
  <si>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</si>
  <si>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</si>
  <si>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</si>
  <si>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</si>
  <si>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</si>
  <si>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</si>
  <si>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</si>
  <si>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</si>
  <si>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</si>
  <si>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</si>
  <si>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</si>
  <si>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</si>
  <si>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</si>
  <si>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</si>
  <si>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</si>
  <si>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</si>
  <si>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</si>
  <si>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</si>
  <si>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</si>
  <si>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</si>
  <si>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</si>
  <si>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</si>
  <si>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</si>
  <si>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</si>
  <si>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</si>
  <si>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</si>
  <si>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</si>
  <si>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</si>
  <si>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</si>
  <si>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</si>
  <si>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</si>
  <si>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</si>
  <si>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</si>
  <si>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</si>
  <si>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</si>
  <si>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</si>
  <si>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</si>
  <si>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</si>
  <si>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</si>
  <si>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关所</t>
  </si>
  <si>
    <t>港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</si>
  <si>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</si>
  <si>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</si>
  <si>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</si>
  <si>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</si>
  <si>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</si>
  <si>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</si>
  <si>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</si>
  <si>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</si>
  <si>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</si>
  <si>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</si>
  <si>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</si>
  <si>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</si>
  <si>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</si>
  <si>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</si>
  <si>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</si>
  <si>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</si>
  <si>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</si>
  <si>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</si>
  <si>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</si>
  <si>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</si>
  <si>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</si>
  <si>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</si>
  <si>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</si>
  <si>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</si>
  <si>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</si>
  <si>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</si>
  <si>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</si>
  <si>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</si>
  <si>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</si>
  <si>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</si>
  <si>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</si>
  <si>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</si>
  <si>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</si>
  <si>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</si>
  <si>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</si>
  <si>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</si>
  <si>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</si>
  <si>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</si>
  <si>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</si>
  <si>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</si>
  <si>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</si>
  <si>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</si>
  <si>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</si>
  <si>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</si>
  <si>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</si>
  <si>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</si>
  <si>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</si>
  <si>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</si>
  <si>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</si>
  <si>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</si>
  <si>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</si>
  <si>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</si>
  <si>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</si>
  <si>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</si>
  <si>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</si>
  <si>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</si>
  <si>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</si>
  <si>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</si>
  <si>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</si>
  <si>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</si>
  <si>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</si>
  <si>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</si>
  <si>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</si>
  <si>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</si>
  <si>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</si>
  <si>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</si>
  <si>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</si>
  <si>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</si>
  <si>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</si>
  <si>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</si>
  <si>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</si>
  <si>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</si>
  <si>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</si>
  <si>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</si>
  <si>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</si>
  <si>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</si>
  <si>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</si>
  <si>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</si>
  <si>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</si>
  <si>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</si>
  <si>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</si>
  <si>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</si>
  <si>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</si>
  <si>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</si>
  <si>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</si>
  <si>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</si>
  <si>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</si>
  <si>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</si>
  <si>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</si>
  <si>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</si>
  <si>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</si>
  <si>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</si>
  <si>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</si>
  <si>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</si>
  <si>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</si>
  <si>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</si>
  <si>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</si>
  <si>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</si>
  <si>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</si>
  <si>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</si>
  <si>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</si>
  <si>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</si>
  <si>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</si>
  <si>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</si>
  <si>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</si>
  <si>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</si>
  <si>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</si>
  <si>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</si>
  <si>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</si>
  <si>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</si>
  <si>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</si>
  <si>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</si>
  <si>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</si>
  <si>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</si>
  <si>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</si>
  <si>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</si>
  <si>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</si>
  <si>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</si>
  <si>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</si>
  <si>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</si>
  <si>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</si>
  <si>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</si>
  <si>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</si>
  <si>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</si>
  <si>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</si>
  <si>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</si>
  <si>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</si>
  <si>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</si>
  <si>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</si>
  <si>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</si>
  <si>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</si>
  <si>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</si>
  <si>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</si>
  <si>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</si>
  <si>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</si>
  <si>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</si>
  <si>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</si>
  <si>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</si>
  <si>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</si>
  <si>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</si>
  <si>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</si>
  <si>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</si>
  <si>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</si>
  <si>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</si>
  <si>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</si>
  <si>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</si>
  <si>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</si>
  <si>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</si>
  <si>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</si>
  <si>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</si>
  <si>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</si>
  <si>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</si>
  <si>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</si>
  <si>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</si>
  <si>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</si>
  <si>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</si>
  <si>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</si>
  <si>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</si>
  <si>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</si>
  <si>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</si>
  <si>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</si>
  <si>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</si>
  <si>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</si>
  <si>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</si>
  <si>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</si>
  <si>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</si>
  <si>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</si>
  <si>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</si>
  <si>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</si>
  <si>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</si>
  <si>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</si>
  <si>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</si>
  <si>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</si>
  <si>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</si>
  <si>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</si>
  <si>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</si>
  <si>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</si>
  <si>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</si>
  <si>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</si>
  <si>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</si>
  <si>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</si>
  <si>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</si>
  <si>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</si>
  <si>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</si>
  <si>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</si>
  <si>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</si>
  <si>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</si>
  <si>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</si>
  <si>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</si>
  <si>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</si>
  <si>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</si>
  <si>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</si>
  <si>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</si>
  <si>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</si>
  <si>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</si>
  <si>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</si>
  <si>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</si>
  <si>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</si>
  <si>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</si>
  <si>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</si>
  <si>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</si>
  <si>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30000</t>
  </si>
  <si>
    <t>30000</t>
    <phoneticPr fontId="1" type="noConversion"/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</si>
  <si>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</si>
  <si>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</si>
  <si>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</si>
  <si>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</si>
  <si>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</si>
  <si>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</si>
  <si>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</si>
  <si>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</si>
  <si>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</si>
  <si>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</si>
  <si>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</si>
  <si>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</si>
  <si>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</si>
  <si>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</si>
  <si>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</si>
  <si>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</si>
  <si>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</si>
  <si>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</si>
  <si>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</si>
  <si>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</si>
  <si>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</si>
  <si>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</si>
  <si>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</si>
  <si>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</si>
  <si>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新丰港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</si>
  <si>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</si>
  <si>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</si>
  <si>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</si>
  <si>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</si>
  <si>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</si>
  <si>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</si>
  <si>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</si>
  <si>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</si>
  <si>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</si>
  <si>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</si>
  <si>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</si>
  <si>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</si>
  <si>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</si>
  <si>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</si>
  <si>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</si>
  <si>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</si>
  <si>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</si>
  <si>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</si>
  <si>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</si>
  <si>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</si>
  <si>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</si>
  <si>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</si>
  <si>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</si>
  <si>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</si>
  <si>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</si>
  <si>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</si>
  <si>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</si>
  <si>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</si>
  <si>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</si>
  <si>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</si>
  <si>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</si>
  <si>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</si>
  <si>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</si>
  <si>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</si>
  <si>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</si>
  <si>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</si>
  <si>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</si>
  <si>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</si>
  <si>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</si>
  <si>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</si>
  <si>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</si>
  <si>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</si>
  <si>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</si>
  <si>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</si>
  <si>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</si>
  <si>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</si>
  <si>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</si>
  <si>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</si>
  <si>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</si>
  <si>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</si>
  <si>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</si>
  <si>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</si>
  <si>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</si>
  <si>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</si>
  <si>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</si>
  <si>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</si>
  <si>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</si>
  <si>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</si>
  <si>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</si>
  <si>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</si>
  <si>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</si>
  <si>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</si>
  <si>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</si>
  <si>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</si>
  <si>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</si>
  <si>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</si>
  <si>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</si>
  <si>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</si>
  <si>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</si>
  <si>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</si>
  <si>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</si>
  <si>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</si>
  <si>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</si>
  <si>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</si>
  <si>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</si>
  <si>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</si>
  <si>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</si>
  <si>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</si>
  <si>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</si>
  <si>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</si>
  <si>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</si>
  <si>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</si>
  <si>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</si>
  <si>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</si>
  <si>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</si>
  <si>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</si>
  <si>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</si>
  <si>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</si>
  <si>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</si>
  <si>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</si>
  <si>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</si>
  <si>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</si>
  <si>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</si>
  <si>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u16</t>
  </si>
  <si>
    <t>s</t>
  </si>
  <si>
    <t>u8</t>
  </si>
  <si>
    <t>b</t>
  </si>
  <si>
    <t>troops</t>
  </si>
  <si>
    <t>gold</t>
  </si>
  <si>
    <t>food</t>
  </si>
  <si>
    <t>business</t>
  </si>
  <si>
    <t>event</t>
  </si>
  <si>
    <t>specialty</t>
  </si>
  <si>
    <t>u32</t>
  </si>
  <si>
    <t>城市</t>
  </si>
  <si>
    <t>人口</t>
  </si>
  <si>
    <t>金收入</t>
  </si>
  <si>
    <t>粮食收入</t>
  </si>
  <si>
    <t>事件</t>
  </si>
  <si>
    <t>特产</t>
  </si>
  <si>
    <t>战斗不可</t>
  </si>
  <si>
    <t>已巡察/商人/训练</t>
  </si>
  <si>
    <t>底座模型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</si>
  <si>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</si>
  <si>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</si>
  <si>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</si>
  <si>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</si>
  <si>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</si>
  <si>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</si>
  <si>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</si>
  <si>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</si>
  <si>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</si>
  <si>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</si>
  <si>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</si>
  <si>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</si>
  <si>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</si>
  <si>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</si>
  <si>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</si>
  <si>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</si>
  <si>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</si>
  <si>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</si>
  <si>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</si>
  <si>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</si>
  <si>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</si>
  <si>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</si>
  <si>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</si>
  <si>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</si>
  <si>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</si>
  <si>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</si>
  <si>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</si>
  <si>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</si>
  <si>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</si>
  <si>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</si>
  <si>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</si>
  <si>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</si>
  <si>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</si>
  <si>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</si>
  <si>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</si>
  <si>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</si>
  <si>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</si>
  <si>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</si>
  <si>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</si>
  <si>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</si>
  <si>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</si>
  <si>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</si>
  <si>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</si>
  <si>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</si>
  <si>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</si>
  <si>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</si>
  <si>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</si>
  <si>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</si>
  <si>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</si>
  <si>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</si>
  <si>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</si>
  <si>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</si>
  <si>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</si>
  <si>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goldIncome</t>
  </si>
  <si>
    <t>foodIncome</t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</si>
  <si>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</si>
  <si>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</si>
  <si>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</si>
  <si>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consanguinity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</si>
  <si>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</si>
  <si>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</si>
  <si>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</si>
  <si>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</si>
  <si>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</si>
  <si>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</si>
  <si>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</si>
  <si>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</si>
  <si>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</si>
  <si>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</si>
  <si>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</si>
  <si>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</si>
  <si>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</si>
  <si>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</si>
  <si>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</si>
  <si>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</si>
  <si>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</si>
  <si>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</si>
  <si>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</si>
  <si>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</si>
  <si>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</si>
  <si>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</si>
  <si>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</si>
  <si>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</si>
  <si>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HorseLv</t>
    <phoneticPr fontId="1" type="noConversion"/>
  </si>
  <si>
    <t>MachineLv</t>
    <phoneticPr fontId="1" type="noConversion"/>
  </si>
  <si>
    <t>FeatureList</t>
    <phoneticPr fontId="1" type="noConversion"/>
  </si>
  <si>
    <t>WaterLv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</si>
  <si>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</si>
  <si>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</si>
  <si>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</si>
  <si>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</si>
  <si>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</si>
  <si>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</si>
  <si>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</si>
  <si>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</si>
  <si>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</si>
  <si>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</si>
  <si>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</si>
  <si>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</si>
  <si>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</si>
  <si>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</si>
  <si>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</si>
  <si>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</si>
  <si>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</si>
  <si>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</si>
  <si>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</si>
  <si>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</si>
  <si>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</si>
  <si>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</si>
  <si>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</si>
  <si>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</si>
  <si>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</si>
  <si>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</si>
  <si>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</si>
  <si>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</si>
  <si>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</si>
  <si>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</si>
  <si>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</si>
  <si>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</si>
  <si>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</si>
  <si>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</si>
  <si>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</si>
  <si>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</si>
  <si>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</si>
  <si>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</si>
  <si>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</si>
  <si>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</si>
  <si>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</si>
  <si>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</si>
  <si>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</si>
  <si>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</si>
  <si>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</si>
  <si>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</si>
  <si>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</si>
  <si>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</si>
  <si>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</si>
  <si>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</si>
  <si>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</si>
  <si>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</si>
  <si>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</si>
  <si>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</si>
  <si>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</si>
  <si>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</si>
  <si>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</si>
  <si>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</si>
  <si>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37</t>
    <phoneticPr fontId="1" type="noConversion"/>
  </si>
  <si>
    <t>14</t>
    <phoneticPr fontId="1" type="noConversion"/>
  </si>
  <si>
    <t>20</t>
    <phoneticPr fontId="1" type="noConversion"/>
  </si>
  <si>
    <t>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</si>
</sst>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3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K6"/>
  <sheetViews>
    <sheetView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K8" sqref="K8"/>
    </sheetView>
  </sheetViews>
  <sheetFormatPr defaultColWidth="9" defaultRowHeight="13.5" x14ac:dyDescent="0.15"/>
  <cols>
    <col min="1" max="1" width="6.25" style="2" bestFit="1" customWidth="1"/>
    <col min="2" max="3" width="9" style="2" customWidth="1"/>
    <col min="4" max="6" width="11.625" style="2" bestFit="1" customWidth="1"/>
    <col min="7" max="7" width="12.25" style="2" customWidth="1"/>
    <col min="8" max="8" width="12.875" style="2" customWidth="1"/>
    <col min="9" max="9" width="6.875" style="2" customWidth="1"/>
    <col min="10" max="10" width="15.75" style="2" customWidth="1"/>
    <col min="11" max="11" width="13.875" style="4" bestFit="1" customWidth="1"/>
    <col min="12" max="16384" width="9" style="2"/>
  </cols>
  <sheetData>
    <row r="1" spans="1:11" s="18" customFormat="1" ht="59.25" customHeight="1" x14ac:dyDescent="0.15">
      <c r="A1" s="28"/>
      <c r="B1" s="19" t="s">
        <v>49</v>
      </c>
      <c r="C1" s="19" t="s">
        <v>2859</v>
      </c>
      <c r="D1" s="19" t="s">
        <v>3134</v>
      </c>
      <c r="E1" s="19" t="s">
        <v>2853</v>
      </c>
      <c r="F1" s="19" t="s">
        <v>3135</v>
      </c>
      <c r="G1" s="19" t="s">
        <v>50</v>
      </c>
      <c r="H1" s="19" t="s">
        <v>51</v>
      </c>
      <c r="I1" s="19" t="s">
        <v>2862</v>
      </c>
      <c r="J1" s="19" t="s">
        <v>3138</v>
      </c>
      <c r="K1" s="18" t="s">
        <v>53</v>
      </c>
    </row>
    <row r="2" spans="1:11" s="1" customFormat="1" ht="25.5" customHeight="1" x14ac:dyDescent="0.15">
      <c r="A2" s="1" t="s">
        <v>2866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1" s="6" customFormat="1" ht="15.75" customHeight="1" x14ac:dyDescent="0.15">
      <c r="A3" s="6" t="s">
        <v>3140</v>
      </c>
      <c r="B3" s="6" t="s">
        <v>2860</v>
      </c>
      <c r="C3" s="6" t="s">
        <v>2861</v>
      </c>
      <c r="D3" s="6" t="s">
        <v>3133</v>
      </c>
      <c r="E3" s="6" t="s">
        <v>3126</v>
      </c>
      <c r="F3" s="6" t="s">
        <v>3136</v>
      </c>
      <c r="G3" s="6" t="s">
        <v>2863</v>
      </c>
      <c r="H3" s="6" t="s">
        <v>2864</v>
      </c>
      <c r="I3" s="6" t="s">
        <v>2865</v>
      </c>
      <c r="J3" s="6" t="s">
        <v>3137</v>
      </c>
      <c r="K3" s="6" t="s">
        <v>3124</v>
      </c>
    </row>
    <row r="4" spans="1:11" s="24" customFormat="1" ht="15.75" customHeight="1" x14ac:dyDescent="0.15">
      <c r="A4" s="23" t="s">
        <v>3140</v>
      </c>
      <c r="B4" s="24" t="s">
        <v>3128</v>
      </c>
      <c r="C4" s="24" t="s">
        <v>3129</v>
      </c>
      <c r="D4" s="24" t="s">
        <v>3129</v>
      </c>
      <c r="E4" s="24" t="s">
        <v>3129</v>
      </c>
      <c r="F4" s="24" t="s">
        <v>3129</v>
      </c>
      <c r="G4" s="24" t="s">
        <v>3130</v>
      </c>
      <c r="H4" s="24" t="s">
        <v>3128</v>
      </c>
      <c r="I4" s="24" t="s">
        <v>3128</v>
      </c>
      <c r="J4" s="24" t="s">
        <v>3139</v>
      </c>
      <c r="K4" s="24" t="s">
        <v>3139</v>
      </c>
    </row>
    <row r="5" spans="1:11" x14ac:dyDescent="0.15">
      <c r="B5" s="2" t="s">
        <v>54</v>
      </c>
      <c r="C5" s="2" t="s">
        <v>2858</v>
      </c>
      <c r="D5" s="2" t="s">
        <v>3127</v>
      </c>
      <c r="E5" s="2" t="s">
        <v>3127</v>
      </c>
      <c r="F5" s="2" t="s">
        <v>3127</v>
      </c>
      <c r="G5" s="2">
        <v>251</v>
      </c>
      <c r="H5" s="2">
        <v>1</v>
      </c>
      <c r="I5" s="2" t="s">
        <v>2852</v>
      </c>
      <c r="J5" s="2" t="s">
        <v>2852</v>
      </c>
      <c r="K5" s="4">
        <v>0</v>
      </c>
    </row>
    <row r="6" spans="1:11" x14ac:dyDescent="0.1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B5" sqref="B5"/>
    </sheetView>
  </sheetViews>
  <sheetFormatPr defaultRowHeight="13.5" x14ac:dyDescent="0.15"/>
  <cols>
    <col min="1" max="1" width="6.25" bestFit="1" customWidth="1"/>
    <col min="2" max="2" width="11.625" bestFit="1" customWidth="1"/>
    <col min="3" max="3" width="25" bestFit="1" customWidth="1"/>
    <col min="4" max="4" width="21.625" bestFit="1" customWidth="1"/>
    <col min="5" max="5" width="17.25" bestFit="1" customWidth="1"/>
    <col min="6" max="6" width="23.875" bestFit="1" customWidth="1"/>
    <col min="7" max="7" width="23.5" bestFit="1" customWidth="1"/>
    <col min="11" max="11" width="11.625" bestFit="1" customWidth="1"/>
  </cols>
  <sheetData>
    <row r="1" spans="1:11" ht="63" customHeight="1" x14ac:dyDescent="0.15">
      <c r="A1" s="28"/>
      <c r="B1" s="28"/>
      <c r="C1" s="19" t="s">
        <v>3150</v>
      </c>
      <c r="D1" s="19" t="s">
        <v>3149</v>
      </c>
      <c r="E1" s="19" t="s">
        <v>3148</v>
      </c>
      <c r="F1" s="19" t="s">
        <v>3147</v>
      </c>
      <c r="G1" s="19" t="s">
        <v>3146</v>
      </c>
      <c r="H1" s="19"/>
      <c r="I1" s="19"/>
      <c r="J1" s="19"/>
      <c r="K1" s="18"/>
    </row>
    <row r="2" spans="1:11" x14ac:dyDescent="0.15">
      <c r="A2" s="1" t="s">
        <v>2866</v>
      </c>
      <c r="B2" s="1"/>
      <c r="C2" s="2"/>
      <c r="D2" s="2"/>
      <c r="E2" s="2"/>
      <c r="F2" s="2"/>
      <c r="G2" s="2"/>
      <c r="H2" s="2"/>
      <c r="I2" s="2"/>
      <c r="J2" s="2"/>
      <c r="K2" s="4"/>
    </row>
    <row r="3" spans="1:11" x14ac:dyDescent="0.15">
      <c r="A3" s="6" t="s">
        <v>3140</v>
      </c>
      <c r="B3" s="6" t="s">
        <v>3297</v>
      </c>
      <c r="C3" s="6" t="s">
        <v>3141</v>
      </c>
      <c r="D3" s="6" t="s">
        <v>3142</v>
      </c>
      <c r="E3" s="6" t="s">
        <v>3143</v>
      </c>
      <c r="F3" s="6" t="s">
        <v>3144</v>
      </c>
      <c r="G3" s="6" t="s">
        <v>3145</v>
      </c>
      <c r="H3" s="6"/>
      <c r="I3" s="6"/>
      <c r="J3" s="6"/>
      <c r="K3" s="6"/>
    </row>
    <row r="4" spans="1:11" x14ac:dyDescent="0.15">
      <c r="A4" s="23" t="s">
        <v>3140</v>
      </c>
      <c r="B4" s="23" t="s">
        <v>3131</v>
      </c>
      <c r="C4" s="24" t="s">
        <v>3131</v>
      </c>
      <c r="D4" s="24" t="s">
        <v>3130</v>
      </c>
      <c r="E4" s="24" t="s">
        <v>3128</v>
      </c>
      <c r="F4" s="24" t="s">
        <v>3130</v>
      </c>
      <c r="G4" s="24" t="s">
        <v>3128</v>
      </c>
      <c r="H4" s="24"/>
      <c r="I4" s="24"/>
      <c r="J4" s="24"/>
      <c r="K4" s="25"/>
    </row>
    <row r="5" spans="1:11" x14ac:dyDescent="0.15">
      <c r="A5" s="2"/>
      <c r="B5" s="2" t="s">
        <v>3248</v>
      </c>
      <c r="C5" s="2" t="s">
        <v>3152</v>
      </c>
      <c r="D5" s="2" t="s">
        <v>571</v>
      </c>
      <c r="E5" s="2" t="s">
        <v>32</v>
      </c>
      <c r="F5" s="2" t="s">
        <v>487</v>
      </c>
      <c r="G5" s="2" t="s">
        <v>3151</v>
      </c>
      <c r="H5" s="2"/>
      <c r="I5" s="2"/>
      <c r="J5" s="2"/>
      <c r="K5" s="4"/>
    </row>
    <row r="6" spans="1:11" x14ac:dyDescent="0.15">
      <c r="A6" s="3"/>
      <c r="B6" s="3"/>
      <c r="C6" s="2"/>
      <c r="D6" s="2"/>
      <c r="E6" s="2"/>
      <c r="F6" s="2"/>
      <c r="G6" s="2"/>
      <c r="H6" s="2"/>
      <c r="I6" s="2"/>
      <c r="J6" s="2"/>
      <c r="K6" s="4"/>
    </row>
    <row r="7" spans="1:1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R977"/>
  <sheetViews>
    <sheetView zoomScaleNormal="100" workbookViewId="0">
      <selection activeCell="G5" sqref="G5:G836"/>
    </sheetView>
  </sheetViews>
  <sheetFormatPr defaultColWidth="9" defaultRowHeight="13.5" x14ac:dyDescent="0.15"/>
  <cols>
    <col min="1" max="2" width="5.75" style="2" bestFit="1" customWidth="1"/>
    <col min="3" max="3" width="9.5" style="2" bestFit="1" customWidth="1"/>
    <col min="4" max="4" width="16.5" style="2" bestFit="1" customWidth="1"/>
    <col min="5" max="5" width="16.5" style="4" customWidth="1"/>
    <col min="6" max="6" width="15.375" style="4" customWidth="1"/>
    <col min="7" max="7" width="16.5" style="2" bestFit="1" customWidth="1"/>
    <col min="8" max="8" width="16.5" style="4" customWidth="1"/>
    <col min="9" max="9" width="15.375" style="4" bestFit="1" customWidth="1"/>
    <col min="10" max="10" width="15.375" style="4" customWidth="1"/>
    <col min="11" max="11" width="12.875" style="2" bestFit="1" customWidth="1"/>
    <col min="12" max="13" width="10.5" style="2" bestFit="1" customWidth="1"/>
    <col min="14" max="14" width="14.125" style="2" bestFit="1" customWidth="1"/>
    <col min="15" max="15" width="12.875" style="2" bestFit="1" customWidth="1"/>
    <col min="16" max="16" width="9.375" style="2" bestFit="1" customWidth="1"/>
    <col min="17" max="17" width="5.75" style="2" bestFit="1" customWidth="1"/>
    <col min="18" max="18" width="3.5" style="2" bestFit="1" customWidth="1"/>
    <col min="19" max="19" width="16.5" style="2" bestFit="1" customWidth="1"/>
    <col min="20" max="21" width="10.5" style="2" bestFit="1" customWidth="1"/>
    <col min="22" max="22" width="16.5" style="2" bestFit="1" customWidth="1"/>
    <col min="23" max="23" width="7.125" style="2" bestFit="1" customWidth="1"/>
    <col min="24" max="24" width="7.5" style="2" bestFit="1" customWidth="1"/>
    <col min="25" max="25" width="12.875" style="2" bestFit="1" customWidth="1"/>
    <col min="26" max="26" width="9.5" style="2" bestFit="1" customWidth="1"/>
    <col min="27" max="27" width="9.375" style="2" bestFit="1" customWidth="1"/>
    <col min="28" max="28" width="9.625" style="2" bestFit="1" customWidth="1"/>
    <col min="29" max="29" width="10.75" style="2" bestFit="1" customWidth="1"/>
    <col min="30" max="30" width="15.75" style="2" bestFit="1" customWidth="1"/>
    <col min="31" max="31" width="10.75" style="2" bestFit="1" customWidth="1"/>
    <col min="32" max="32" width="9.625" style="2" bestFit="1" customWidth="1"/>
    <col min="33" max="33" width="10.5" style="2" bestFit="1" customWidth="1"/>
    <col min="34" max="34" width="9.375" style="2" bestFit="1" customWidth="1"/>
    <col min="35" max="35" width="16.5" style="2" bestFit="1" customWidth="1"/>
    <col min="36" max="36" width="10.5" style="2" bestFit="1" customWidth="1"/>
    <col min="37" max="37" width="7.5" style="2" bestFit="1" customWidth="1"/>
    <col min="38" max="38" width="10.5" style="2" bestFit="1" customWidth="1"/>
    <col min="39" max="39" width="7.5" style="2" bestFit="1" customWidth="1"/>
    <col min="40" max="40" width="16.5" style="2" bestFit="1" customWidth="1"/>
    <col min="41" max="41" width="7.5" style="2" bestFit="1" customWidth="1"/>
    <col min="42" max="42" width="17.75" style="2" bestFit="1" customWidth="1"/>
    <col min="43" max="44" width="21.5" style="2" bestFit="1" customWidth="1"/>
    <col min="45" max="45" width="12.875" style="2" bestFit="1" customWidth="1"/>
    <col min="46" max="46" width="15.375" style="2" bestFit="1" customWidth="1"/>
    <col min="47" max="47" width="16.5" style="2" bestFit="1" customWidth="1"/>
    <col min="48" max="48" width="12.875" style="2" bestFit="1" customWidth="1"/>
    <col min="49" max="49" width="15.375" style="2" bestFit="1" customWidth="1"/>
    <col min="50" max="50" width="12.875" style="2" bestFit="1" customWidth="1"/>
    <col min="51" max="51" width="17.75" style="2" bestFit="1" customWidth="1"/>
    <col min="52" max="52" width="17" style="2" bestFit="1" customWidth="1"/>
    <col min="53" max="53" width="13.875" style="2" customWidth="1"/>
    <col min="54" max="54" width="5.75" style="2" customWidth="1"/>
    <col min="55" max="55" width="7.875" style="2" customWidth="1"/>
    <col min="56" max="56" width="15" style="2" customWidth="1"/>
    <col min="57" max="57" width="14.625" style="2" customWidth="1"/>
    <col min="58" max="58" width="17.25" style="2" customWidth="1"/>
    <col min="59" max="59" width="12.75" style="2" customWidth="1"/>
    <col min="60" max="60" width="12.875" style="2" bestFit="1" customWidth="1"/>
    <col min="61" max="61" width="14.125" style="2" bestFit="1" customWidth="1"/>
    <col min="62" max="62" width="10.5" style="2" bestFit="1" customWidth="1"/>
    <col min="63" max="64" width="12.875" style="2" bestFit="1" customWidth="1"/>
    <col min="65" max="69" width="5.75" style="2" hidden="1" customWidth="1"/>
    <col min="70" max="70" width="7.5" style="2" customWidth="1"/>
    <col min="71" max="71" width="4.875" style="2" bestFit="1" customWidth="1"/>
    <col min="72" max="16384" width="9" style="2"/>
  </cols>
  <sheetData>
    <row r="1" spans="1:70" s="8" customFormat="1" ht="27.6" customHeight="1" x14ac:dyDescent="0.15">
      <c r="A1" s="8" t="s">
        <v>3063</v>
      </c>
      <c r="B1" s="12" t="s">
        <v>0</v>
      </c>
      <c r="C1" s="12" t="s">
        <v>2850</v>
      </c>
      <c r="D1" s="12" t="s">
        <v>76</v>
      </c>
      <c r="E1" s="12"/>
      <c r="F1" s="12"/>
      <c r="G1" s="12" t="s">
        <v>75</v>
      </c>
      <c r="H1" s="12"/>
      <c r="I1" s="12" t="s">
        <v>3170</v>
      </c>
      <c r="J1" s="12"/>
      <c r="K1" s="12" t="s">
        <v>361</v>
      </c>
      <c r="L1" s="12" t="s">
        <v>362</v>
      </c>
      <c r="M1" s="12" t="s">
        <v>363</v>
      </c>
      <c r="N1" s="8" t="s">
        <v>3155</v>
      </c>
      <c r="O1" s="12" t="s">
        <v>344</v>
      </c>
      <c r="P1" s="12" t="s">
        <v>344</v>
      </c>
      <c r="Q1" s="12" t="s">
        <v>345</v>
      </c>
      <c r="S1" s="12" t="s">
        <v>346</v>
      </c>
      <c r="T1" s="12" t="s">
        <v>347</v>
      </c>
      <c r="U1" s="12" t="s">
        <v>348</v>
      </c>
      <c r="V1" s="12" t="s">
        <v>3062</v>
      </c>
      <c r="W1" s="12" t="s">
        <v>3158</v>
      </c>
      <c r="Y1" s="9" t="s">
        <v>3125</v>
      </c>
      <c r="AA1" s="12" t="s">
        <v>341</v>
      </c>
      <c r="AB1" s="12" t="s">
        <v>3053</v>
      </c>
      <c r="AC1" s="12" t="s">
        <v>3054</v>
      </c>
      <c r="AD1" s="9" t="s">
        <v>3055</v>
      </c>
      <c r="AE1" s="12" t="s">
        <v>342</v>
      </c>
      <c r="AF1" s="12" t="s">
        <v>3056</v>
      </c>
      <c r="AG1" s="12" t="s">
        <v>343</v>
      </c>
      <c r="AH1" s="12" t="s">
        <v>3058</v>
      </c>
      <c r="AI1" s="12" t="s">
        <v>1</v>
      </c>
      <c r="AJ1" s="12" t="s">
        <v>349</v>
      </c>
      <c r="AL1" s="12" t="s">
        <v>350</v>
      </c>
      <c r="AN1" s="12" t="s">
        <v>3061</v>
      </c>
      <c r="AP1" s="12" t="s">
        <v>351</v>
      </c>
      <c r="AQ1" s="12" t="s">
        <v>352</v>
      </c>
      <c r="AR1" s="12" t="s">
        <v>353</v>
      </c>
      <c r="AS1" s="12" t="s">
        <v>354</v>
      </c>
      <c r="AT1" s="12" t="s">
        <v>355</v>
      </c>
      <c r="AU1" s="12" t="s">
        <v>356</v>
      </c>
      <c r="AV1" s="12" t="s">
        <v>357</v>
      </c>
      <c r="AW1" s="12" t="s">
        <v>358</v>
      </c>
      <c r="AX1" s="12" t="s">
        <v>359</v>
      </c>
      <c r="AY1" s="12" t="s">
        <v>3165</v>
      </c>
      <c r="AZ1" s="12" t="s">
        <v>3307</v>
      </c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</row>
    <row r="2" spans="1:70" s="1" customFormat="1" ht="20.25" customHeight="1" x14ac:dyDescent="0.15">
      <c r="B2" s="2"/>
      <c r="C2" s="2"/>
      <c r="N2" s="4"/>
      <c r="X2" s="2"/>
      <c r="Y2" s="2"/>
      <c r="AS2" s="13"/>
      <c r="AT2" s="13"/>
      <c r="AU2" s="13"/>
      <c r="AV2" s="13"/>
      <c r="AW2" s="13"/>
      <c r="AX2" s="13"/>
      <c r="BR2" s="2"/>
    </row>
    <row r="3" spans="1:70" s="13" customFormat="1" ht="15.75" customHeight="1" x14ac:dyDescent="0.15">
      <c r="A3" s="13" t="s">
        <v>3140</v>
      </c>
      <c r="B3" s="10" t="s">
        <v>3153</v>
      </c>
      <c r="C3" s="10" t="s">
        <v>3154</v>
      </c>
      <c r="D3" s="10" t="s">
        <v>3268</v>
      </c>
      <c r="E3" s="11"/>
      <c r="G3" s="10" t="s">
        <v>3269</v>
      </c>
      <c r="H3" s="11"/>
      <c r="I3" s="13" t="s">
        <v>3285</v>
      </c>
      <c r="K3" s="13" t="s">
        <v>3169</v>
      </c>
      <c r="L3" s="13" t="s">
        <v>3168</v>
      </c>
      <c r="M3" s="13" t="s">
        <v>3167</v>
      </c>
      <c r="N3" s="13" t="s">
        <v>3136</v>
      </c>
      <c r="O3" s="13" t="s">
        <v>3157</v>
      </c>
      <c r="P3" s="13" t="s">
        <v>3156</v>
      </c>
      <c r="Q3" s="13" t="s">
        <v>3060</v>
      </c>
      <c r="R3" s="13" t="s">
        <v>3140</v>
      </c>
      <c r="S3" s="13" t="s">
        <v>3159</v>
      </c>
      <c r="T3" s="13" t="s">
        <v>3160</v>
      </c>
      <c r="U3" s="13" t="s">
        <v>3161</v>
      </c>
      <c r="V3" s="13" t="s">
        <v>3162</v>
      </c>
      <c r="W3" s="13" t="s">
        <v>2870</v>
      </c>
      <c r="X3" s="13" t="s">
        <v>3140</v>
      </c>
      <c r="Y3" s="13" t="s">
        <v>3295</v>
      </c>
      <c r="Z3" s="14" t="s">
        <v>3140</v>
      </c>
      <c r="AA3" s="13" t="s">
        <v>3242</v>
      </c>
      <c r="AB3" s="13" t="s">
        <v>3284</v>
      </c>
      <c r="AC3" s="13" t="s">
        <v>3280</v>
      </c>
      <c r="AD3" s="13" t="s">
        <v>3281</v>
      </c>
      <c r="AE3" s="13" t="s">
        <v>3282</v>
      </c>
      <c r="AF3" s="13" t="s">
        <v>3283</v>
      </c>
      <c r="AG3" s="13" t="s">
        <v>3057</v>
      </c>
      <c r="AH3" s="13" t="s">
        <v>3059</v>
      </c>
      <c r="AI3" s="13" t="s">
        <v>3249</v>
      </c>
      <c r="AJ3" s="13" t="s">
        <v>3279</v>
      </c>
      <c r="AK3" s="13" t="s">
        <v>3140</v>
      </c>
      <c r="AL3" s="13" t="s">
        <v>3278</v>
      </c>
      <c r="AM3" s="13" t="s">
        <v>3140</v>
      </c>
      <c r="AN3" s="13" t="s">
        <v>3262</v>
      </c>
      <c r="AO3" s="13" t="s">
        <v>3140</v>
      </c>
      <c r="AP3" s="13" t="s">
        <v>3263</v>
      </c>
      <c r="AQ3" s="13" t="s">
        <v>3264</v>
      </c>
      <c r="AR3" s="13" t="s">
        <v>3261</v>
      </c>
      <c r="AS3" s="13" t="s">
        <v>3271</v>
      </c>
      <c r="AT3" s="13" t="s">
        <v>3272</v>
      </c>
      <c r="AU3" s="13" t="s">
        <v>3273</v>
      </c>
      <c r="AV3" s="13" t="s">
        <v>3274</v>
      </c>
      <c r="AW3" s="13" t="s">
        <v>3275</v>
      </c>
      <c r="AX3" s="13" t="s">
        <v>3277</v>
      </c>
      <c r="AY3" s="13" t="s">
        <v>3276</v>
      </c>
      <c r="AZ3" s="13" t="s">
        <v>3306</v>
      </c>
    </row>
    <row r="4" spans="1:70" s="24" customFormat="1" ht="15.75" customHeight="1" x14ac:dyDescent="0.15">
      <c r="A4" s="23" t="s">
        <v>3140</v>
      </c>
      <c r="B4" s="24" t="s">
        <v>3139</v>
      </c>
      <c r="C4" s="24" t="s">
        <v>3129</v>
      </c>
      <c r="D4" s="24" t="s">
        <v>3139</v>
      </c>
      <c r="E4" s="24" t="s">
        <v>3140</v>
      </c>
      <c r="F4" s="24" t="s">
        <v>3140</v>
      </c>
      <c r="G4" s="24" t="s">
        <v>3139</v>
      </c>
      <c r="H4" s="24" t="s">
        <v>3140</v>
      </c>
      <c r="I4" s="24" t="s">
        <v>3139</v>
      </c>
      <c r="J4" s="24" t="s">
        <v>3140</v>
      </c>
      <c r="K4" s="24" t="s">
        <v>3129</v>
      </c>
      <c r="L4" s="24" t="s">
        <v>3129</v>
      </c>
      <c r="M4" s="24" t="s">
        <v>3129</v>
      </c>
      <c r="N4" s="24" t="s">
        <v>3129</v>
      </c>
      <c r="O4" s="24" t="s">
        <v>3139</v>
      </c>
      <c r="P4" s="24" t="s">
        <v>3139</v>
      </c>
      <c r="Q4" s="24" t="s">
        <v>3128</v>
      </c>
      <c r="R4" s="24" t="s">
        <v>3140</v>
      </c>
      <c r="S4" s="24" t="s">
        <v>3163</v>
      </c>
      <c r="T4" s="24" t="s">
        <v>3163</v>
      </c>
      <c r="U4" s="24" t="s">
        <v>3163</v>
      </c>
      <c r="V4" s="24" t="s">
        <v>3130</v>
      </c>
      <c r="W4" s="24" t="s">
        <v>3128</v>
      </c>
      <c r="X4" s="24" t="s">
        <v>3140</v>
      </c>
      <c r="Y4" s="24" t="s">
        <v>3139</v>
      </c>
      <c r="Z4" s="24" t="s">
        <v>3140</v>
      </c>
      <c r="AA4" s="24" t="s">
        <v>3163</v>
      </c>
      <c r="AB4" s="24" t="s">
        <v>3164</v>
      </c>
      <c r="AC4" s="24" t="s">
        <v>3164</v>
      </c>
      <c r="AD4" s="24" t="s">
        <v>3164</v>
      </c>
      <c r="AE4" s="24" t="s">
        <v>3164</v>
      </c>
      <c r="AF4" s="24" t="s">
        <v>3164</v>
      </c>
      <c r="AG4" s="24" t="s">
        <v>3140</v>
      </c>
      <c r="AH4" s="24" t="s">
        <v>3140</v>
      </c>
      <c r="AI4" s="24" t="s">
        <v>3163</v>
      </c>
      <c r="AJ4" s="24" t="s">
        <v>3139</v>
      </c>
      <c r="AK4" s="24" t="s">
        <v>3140</v>
      </c>
      <c r="AL4" s="24" t="s">
        <v>3139</v>
      </c>
      <c r="AM4" s="24" t="s">
        <v>3140</v>
      </c>
      <c r="AN4" s="24" t="s">
        <v>3164</v>
      </c>
      <c r="AO4" s="24" t="s">
        <v>3140</v>
      </c>
      <c r="AP4" s="24" t="s">
        <v>3164</v>
      </c>
      <c r="AQ4" s="24" t="s">
        <v>3164</v>
      </c>
      <c r="AR4" s="24" t="s">
        <v>3164</v>
      </c>
      <c r="AS4" s="24" t="s">
        <v>3128</v>
      </c>
      <c r="AT4" s="24" t="s">
        <v>3164</v>
      </c>
      <c r="AU4" s="24" t="s">
        <v>3164</v>
      </c>
      <c r="AV4" s="24" t="s">
        <v>3164</v>
      </c>
      <c r="AW4" s="24" t="s">
        <v>3164</v>
      </c>
      <c r="AX4" s="24" t="s">
        <v>3164</v>
      </c>
      <c r="AY4" s="24" t="s">
        <v>3164</v>
      </c>
      <c r="AZ4" s="24" t="s">
        <v>3139</v>
      </c>
      <c r="BR4" s="13"/>
    </row>
    <row r="5" spans="1:70" x14ac:dyDescent="0.15">
      <c r="B5" s="2" t="s">
        <v>54</v>
      </c>
      <c r="C5" s="2" t="s">
        <v>364</v>
      </c>
      <c r="D5" s="2" t="s">
        <v>200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200</v>
      </c>
      <c r="H5" s="4" t="str">
        <f>VLOOKUP(G5,corpsSet!$B$5:$C$46,2,0)</f>
        <v>孟获</v>
      </c>
      <c r="I5" s="4" t="s">
        <v>98</v>
      </c>
      <c r="J5" s="4" t="str">
        <f>VLOOKUP(I5,citySet!$B$5:$C$46,2,0)</f>
        <v>云南</v>
      </c>
      <c r="K5" s="2" t="s">
        <v>376</v>
      </c>
      <c r="L5" s="2" t="s">
        <v>377</v>
      </c>
      <c r="N5" s="4"/>
      <c r="O5" s="2" t="s">
        <v>369</v>
      </c>
      <c r="P5" s="2" t="s">
        <v>369</v>
      </c>
      <c r="Q5" s="4">
        <v>0</v>
      </c>
      <c r="R5" s="2" t="s">
        <v>370</v>
      </c>
      <c r="S5" s="2" t="s">
        <v>371</v>
      </c>
      <c r="T5" s="2" t="s">
        <v>372</v>
      </c>
      <c r="U5" s="2" t="s">
        <v>373</v>
      </c>
      <c r="V5" s="2" t="s">
        <v>423</v>
      </c>
      <c r="W5" s="4">
        <v>1</v>
      </c>
      <c r="X5" s="2" t="s">
        <v>365</v>
      </c>
      <c r="Y5" s="4">
        <v>0</v>
      </c>
      <c r="Z5" s="4" t="s">
        <v>39</v>
      </c>
      <c r="AA5" s="2" t="s">
        <v>228</v>
      </c>
      <c r="AB5" s="2" t="s">
        <v>257</v>
      </c>
      <c r="AC5" s="2" t="s">
        <v>367</v>
      </c>
      <c r="AD5" s="4">
        <v>26</v>
      </c>
      <c r="AE5" s="2" t="s">
        <v>95</v>
      </c>
      <c r="AF5" s="2" t="s">
        <v>100</v>
      </c>
      <c r="AG5" s="2" t="s">
        <v>368</v>
      </c>
      <c r="AH5" s="2" t="s">
        <v>185</v>
      </c>
      <c r="AI5" s="2" t="s">
        <v>60</v>
      </c>
      <c r="AJ5" s="4"/>
      <c r="AL5" s="4"/>
      <c r="AN5" s="4"/>
      <c r="AP5" s="4"/>
      <c r="AQ5" s="4"/>
      <c r="AS5" s="4">
        <v>0</v>
      </c>
      <c r="AT5" s="4">
        <v>2</v>
      </c>
      <c r="AU5" s="4">
        <v>0</v>
      </c>
      <c r="AV5" s="4">
        <v>1</v>
      </c>
      <c r="AW5" s="4">
        <v>0</v>
      </c>
      <c r="AX5" s="4">
        <v>0</v>
      </c>
      <c r="AZ5" s="2" t="s">
        <v>2852</v>
      </c>
    </row>
    <row r="6" spans="1:70" x14ac:dyDescent="0.15">
      <c r="B6" s="2" t="s">
        <v>74</v>
      </c>
      <c r="C6" s="2" t="s">
        <v>378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193</v>
      </c>
      <c r="J6" s="4" t="str">
        <f>VLOOKUP(I6,citySet!$B$5:$C$46,2,0)</f>
        <v>吴</v>
      </c>
      <c r="K6" s="2" t="s">
        <v>386</v>
      </c>
      <c r="L6" s="2" t="s">
        <v>387</v>
      </c>
      <c r="M6" s="2" t="s">
        <v>388</v>
      </c>
      <c r="N6" s="4"/>
      <c r="O6" s="2" t="s">
        <v>322</v>
      </c>
      <c r="P6" s="2" t="s">
        <v>322</v>
      </c>
      <c r="Q6" s="4">
        <v>0</v>
      </c>
      <c r="R6" s="2" t="s">
        <v>370</v>
      </c>
      <c r="S6" s="2" t="s">
        <v>489</v>
      </c>
      <c r="T6" s="2" t="s">
        <v>380</v>
      </c>
      <c r="U6" s="2" t="s">
        <v>381</v>
      </c>
      <c r="V6" s="2" t="s">
        <v>684</v>
      </c>
      <c r="W6" s="4">
        <v>2</v>
      </c>
      <c r="X6" s="2" t="s">
        <v>2983</v>
      </c>
      <c r="Y6" s="4">
        <v>0</v>
      </c>
      <c r="Z6" s="4" t="s">
        <v>39</v>
      </c>
      <c r="AA6" s="2" t="s">
        <v>60</v>
      </c>
      <c r="AB6" s="2" t="s">
        <v>18</v>
      </c>
      <c r="AC6" s="2" t="s">
        <v>105</v>
      </c>
      <c r="AD6" s="4">
        <v>65</v>
      </c>
      <c r="AE6" s="2" t="s">
        <v>261</v>
      </c>
      <c r="AF6" s="2" t="s">
        <v>153</v>
      </c>
      <c r="AG6" s="2" t="s">
        <v>198</v>
      </c>
      <c r="AH6" s="2" t="s">
        <v>185</v>
      </c>
      <c r="AI6" s="2" t="s">
        <v>27</v>
      </c>
      <c r="AJ6" s="4"/>
      <c r="AL6" s="4"/>
      <c r="AN6" s="4"/>
      <c r="AP6" s="4"/>
      <c r="AQ6" s="4"/>
      <c r="AS6" s="4">
        <v>0</v>
      </c>
      <c r="AT6" s="4">
        <v>0</v>
      </c>
      <c r="AU6" s="4">
        <v>0</v>
      </c>
      <c r="AV6" s="4">
        <v>0</v>
      </c>
      <c r="AW6" s="4">
        <v>1</v>
      </c>
      <c r="AX6" s="4">
        <v>0</v>
      </c>
      <c r="AZ6" s="2" t="s">
        <v>2852</v>
      </c>
    </row>
    <row r="7" spans="1:70" x14ac:dyDescent="0.15">
      <c r="B7" s="2" t="s">
        <v>31</v>
      </c>
      <c r="C7" s="2" t="s">
        <v>389</v>
      </c>
      <c r="D7" s="2" t="s">
        <v>35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35</v>
      </c>
      <c r="H7" s="4" t="str">
        <f>VLOOKUP(G7,corpsSet!$B$5:$C$46,2,0)</f>
        <v>刘备</v>
      </c>
      <c r="I7" s="4" t="s">
        <v>213</v>
      </c>
      <c r="J7" s="4" t="str">
        <f>VLOOKUP(I7,citySet!$B$5:$C$46,2,0)</f>
        <v>江陵</v>
      </c>
      <c r="K7" s="2" t="s">
        <v>399</v>
      </c>
      <c r="L7" s="2" t="s">
        <v>400</v>
      </c>
      <c r="M7" s="2" t="s">
        <v>401</v>
      </c>
      <c r="N7" s="4"/>
      <c r="O7" s="2" t="s">
        <v>213</v>
      </c>
      <c r="P7" s="2" t="s">
        <v>213</v>
      </c>
      <c r="Q7" s="4">
        <v>0</v>
      </c>
      <c r="R7" s="2" t="s">
        <v>370</v>
      </c>
      <c r="S7" s="2" t="s">
        <v>393</v>
      </c>
      <c r="T7" s="2" t="s">
        <v>394</v>
      </c>
      <c r="U7" s="2" t="s">
        <v>395</v>
      </c>
      <c r="V7" s="2" t="s">
        <v>422</v>
      </c>
      <c r="W7" s="4">
        <v>1</v>
      </c>
      <c r="X7" s="2" t="s">
        <v>365</v>
      </c>
      <c r="Y7" s="4">
        <v>0</v>
      </c>
      <c r="Z7" s="4" t="s">
        <v>39</v>
      </c>
      <c r="AA7" s="2" t="s">
        <v>185</v>
      </c>
      <c r="AB7" s="2" t="s">
        <v>208</v>
      </c>
      <c r="AC7" s="2" t="s">
        <v>193</v>
      </c>
      <c r="AD7" s="4">
        <v>80</v>
      </c>
      <c r="AE7" s="2" t="s">
        <v>258</v>
      </c>
      <c r="AF7" s="2" t="s">
        <v>391</v>
      </c>
      <c r="AG7" s="2" t="s">
        <v>392</v>
      </c>
      <c r="AH7" s="2" t="s">
        <v>185</v>
      </c>
      <c r="AI7" s="2" t="s">
        <v>35</v>
      </c>
      <c r="AJ7" s="4"/>
      <c r="AL7" s="4"/>
      <c r="AN7" s="4"/>
      <c r="AP7" s="4"/>
      <c r="AQ7" s="4"/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1</v>
      </c>
      <c r="AZ7" s="2" t="s">
        <v>60</v>
      </c>
    </row>
    <row r="8" spans="1:70" x14ac:dyDescent="0.15">
      <c r="B8" s="2" t="s">
        <v>37</v>
      </c>
      <c r="C8" s="2" t="s">
        <v>402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107</v>
      </c>
      <c r="J8" s="4" t="str">
        <f>VLOOKUP(I8,citySet!$B$5:$C$46,2,0)</f>
        <v>天水</v>
      </c>
      <c r="K8" s="2" t="s">
        <v>410</v>
      </c>
      <c r="L8" s="2" t="s">
        <v>411</v>
      </c>
      <c r="N8" s="4"/>
      <c r="O8" s="2" t="s">
        <v>158</v>
      </c>
      <c r="P8" s="2" t="s">
        <v>158</v>
      </c>
      <c r="Q8" s="4">
        <v>0</v>
      </c>
      <c r="R8" s="2" t="s">
        <v>370</v>
      </c>
      <c r="S8" s="2" t="s">
        <v>961</v>
      </c>
      <c r="T8" s="2" t="s">
        <v>407</v>
      </c>
      <c r="U8" s="2" t="s">
        <v>408</v>
      </c>
      <c r="V8" s="2" t="s">
        <v>374</v>
      </c>
      <c r="W8" s="4">
        <v>2</v>
      </c>
      <c r="X8" s="2" t="s">
        <v>2983</v>
      </c>
      <c r="Y8" s="4">
        <v>0</v>
      </c>
      <c r="Z8" s="4" t="s">
        <v>39</v>
      </c>
      <c r="AA8" s="2" t="s">
        <v>60</v>
      </c>
      <c r="AB8" s="2" t="s">
        <v>7</v>
      </c>
      <c r="AC8" s="2" t="s">
        <v>100</v>
      </c>
      <c r="AD8" s="4">
        <v>61</v>
      </c>
      <c r="AE8" s="2" t="s">
        <v>404</v>
      </c>
      <c r="AF8" s="2" t="s">
        <v>19</v>
      </c>
      <c r="AG8" s="2" t="s">
        <v>405</v>
      </c>
      <c r="AH8" s="2" t="s">
        <v>185</v>
      </c>
      <c r="AI8" s="2" t="s">
        <v>31</v>
      </c>
      <c r="AJ8" s="4"/>
      <c r="AL8" s="4"/>
      <c r="AN8" s="4"/>
      <c r="AP8" s="4"/>
      <c r="AQ8" s="4"/>
      <c r="AS8" s="4">
        <v>0</v>
      </c>
      <c r="AT8" s="4">
        <v>0</v>
      </c>
      <c r="AU8" s="4">
        <v>1</v>
      </c>
      <c r="AV8" s="4">
        <v>1</v>
      </c>
      <c r="AW8" s="4">
        <v>0</v>
      </c>
      <c r="AX8" s="4">
        <v>0</v>
      </c>
      <c r="AZ8" s="2" t="s">
        <v>60</v>
      </c>
    </row>
    <row r="9" spans="1:70" x14ac:dyDescent="0.15">
      <c r="B9" s="2" t="s">
        <v>33</v>
      </c>
      <c r="C9" s="2" t="s">
        <v>412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34</v>
      </c>
      <c r="J9" s="4" t="str">
        <f>VLOOKUP(I9,citySet!$B$5:$C$46,2,0)</f>
        <v>邺</v>
      </c>
      <c r="K9" s="2" t="s">
        <v>410</v>
      </c>
      <c r="L9" s="2" t="s">
        <v>420</v>
      </c>
      <c r="N9" s="4"/>
      <c r="O9" s="2" t="s">
        <v>416</v>
      </c>
      <c r="P9" s="2" t="s">
        <v>416</v>
      </c>
      <c r="Q9" s="4">
        <v>0</v>
      </c>
      <c r="R9" s="2" t="s">
        <v>370</v>
      </c>
      <c r="S9" s="2" t="s">
        <v>424</v>
      </c>
      <c r="T9" s="2" t="s">
        <v>417</v>
      </c>
      <c r="U9" s="2" t="s">
        <v>418</v>
      </c>
      <c r="V9" s="2" t="s">
        <v>207</v>
      </c>
      <c r="W9" s="4">
        <v>2</v>
      </c>
      <c r="X9" s="2" t="s">
        <v>2983</v>
      </c>
      <c r="Y9" s="4">
        <v>0</v>
      </c>
      <c r="Z9" s="4" t="s">
        <v>39</v>
      </c>
      <c r="AA9" s="2" t="s">
        <v>60</v>
      </c>
      <c r="AB9" s="2" t="s">
        <v>37</v>
      </c>
      <c r="AC9" s="2" t="s">
        <v>29</v>
      </c>
      <c r="AD9" s="4">
        <v>33</v>
      </c>
      <c r="AE9" s="2" t="s">
        <v>7</v>
      </c>
      <c r="AF9" s="2" t="s">
        <v>414</v>
      </c>
      <c r="AG9" s="2" t="s">
        <v>415</v>
      </c>
      <c r="AH9" s="2" t="s">
        <v>185</v>
      </c>
      <c r="AI9" s="2" t="s">
        <v>37</v>
      </c>
      <c r="AJ9" s="4"/>
      <c r="AL9" s="4"/>
      <c r="AN9" s="4"/>
      <c r="AP9" s="4"/>
      <c r="AQ9" s="4"/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Z9" s="2" t="s">
        <v>60</v>
      </c>
    </row>
    <row r="10" spans="1:70" x14ac:dyDescent="0.15">
      <c r="B10" s="2" t="s">
        <v>36</v>
      </c>
      <c r="C10" s="2" t="s">
        <v>421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207</v>
      </c>
      <c r="J10" s="4" t="str">
        <f>VLOOKUP(I10,citySet!$B$5:$C$46,2,0)</f>
        <v>梓潼</v>
      </c>
      <c r="K10" s="2" t="s">
        <v>410</v>
      </c>
      <c r="L10" s="2" t="s">
        <v>428</v>
      </c>
      <c r="M10" s="2" t="s">
        <v>429</v>
      </c>
      <c r="N10" s="4"/>
      <c r="O10" s="2" t="s">
        <v>198</v>
      </c>
      <c r="P10" s="2" t="s">
        <v>198</v>
      </c>
      <c r="Q10" s="4">
        <v>0</v>
      </c>
      <c r="R10" s="2" t="s">
        <v>370</v>
      </c>
      <c r="S10" s="2" t="s">
        <v>689</v>
      </c>
      <c r="T10" s="2" t="s">
        <v>426</v>
      </c>
      <c r="U10" s="2" t="s">
        <v>427</v>
      </c>
      <c r="V10" s="2" t="s">
        <v>329</v>
      </c>
      <c r="W10" s="4">
        <v>2</v>
      </c>
      <c r="X10" s="2" t="s">
        <v>2983</v>
      </c>
      <c r="Y10" s="4">
        <v>0</v>
      </c>
      <c r="Z10" s="4" t="s">
        <v>39</v>
      </c>
      <c r="AA10" s="2" t="s">
        <v>60</v>
      </c>
      <c r="AB10" s="2" t="s">
        <v>24</v>
      </c>
      <c r="AC10" s="2" t="s">
        <v>8</v>
      </c>
      <c r="AD10" s="4">
        <v>65</v>
      </c>
      <c r="AE10" s="2" t="s">
        <v>422</v>
      </c>
      <c r="AF10" s="2" t="s">
        <v>423</v>
      </c>
      <c r="AG10" s="2" t="s">
        <v>424</v>
      </c>
      <c r="AH10" s="2" t="s">
        <v>185</v>
      </c>
      <c r="AI10" s="2" t="s">
        <v>33</v>
      </c>
      <c r="AJ10" s="4"/>
      <c r="AL10" s="4"/>
      <c r="AN10" s="4"/>
      <c r="AP10" s="4"/>
      <c r="AQ10" s="4"/>
      <c r="AS10" s="4">
        <v>0</v>
      </c>
      <c r="AT10" s="4">
        <v>0</v>
      </c>
      <c r="AU10" s="4">
        <v>0</v>
      </c>
      <c r="AV10" s="4">
        <v>0</v>
      </c>
      <c r="AW10" s="4">
        <v>2</v>
      </c>
      <c r="AX10" s="4">
        <v>0</v>
      </c>
      <c r="AZ10" s="2" t="s">
        <v>60</v>
      </c>
    </row>
    <row r="11" spans="1:70" x14ac:dyDescent="0.15">
      <c r="B11" s="2" t="s">
        <v>34</v>
      </c>
      <c r="C11" s="2" t="s">
        <v>430</v>
      </c>
      <c r="D11" s="2" t="s">
        <v>104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104</v>
      </c>
      <c r="H11" s="4" t="str">
        <f>VLOOKUP(G11,corpsSet!$B$5:$C$46,2,0)</f>
        <v>刘岱</v>
      </c>
      <c r="I11" s="4" t="s">
        <v>41</v>
      </c>
      <c r="J11" s="4" t="str">
        <f>VLOOKUP(I11,citySet!$B$5:$C$46,2,0)</f>
        <v>陈留</v>
      </c>
      <c r="K11" s="2" t="s">
        <v>439</v>
      </c>
      <c r="L11" s="2" t="s">
        <v>440</v>
      </c>
      <c r="M11" s="2" t="s">
        <v>441</v>
      </c>
      <c r="N11" s="4"/>
      <c r="O11" s="2" t="s">
        <v>434</v>
      </c>
      <c r="P11" s="2" t="s">
        <v>434</v>
      </c>
      <c r="Q11" s="4">
        <v>0</v>
      </c>
      <c r="R11" s="2" t="s">
        <v>370</v>
      </c>
      <c r="S11" s="2" t="s">
        <v>435</v>
      </c>
      <c r="T11" s="2" t="s">
        <v>436</v>
      </c>
      <c r="U11" s="2" t="s">
        <v>437</v>
      </c>
      <c r="V11" s="2" t="s">
        <v>10</v>
      </c>
      <c r="W11" s="4">
        <v>1</v>
      </c>
      <c r="X11" s="2" t="s">
        <v>365</v>
      </c>
      <c r="Y11" s="4">
        <v>3</v>
      </c>
      <c r="Z11" s="4" t="s">
        <v>696</v>
      </c>
      <c r="AA11" s="2" t="s">
        <v>413</v>
      </c>
      <c r="AB11" s="2" t="s">
        <v>391</v>
      </c>
      <c r="AC11" s="2" t="s">
        <v>431</v>
      </c>
      <c r="AD11" s="4">
        <v>70</v>
      </c>
      <c r="AE11" s="2" t="s">
        <v>432</v>
      </c>
      <c r="AF11" s="2" t="s">
        <v>19</v>
      </c>
      <c r="AG11" s="2" t="s">
        <v>433</v>
      </c>
      <c r="AH11" s="2" t="s">
        <v>185</v>
      </c>
      <c r="AI11" s="2" t="s">
        <v>36</v>
      </c>
      <c r="AJ11" s="4"/>
      <c r="AL11" s="4"/>
      <c r="AN11" s="4"/>
      <c r="AP11" s="4"/>
      <c r="AQ11" s="4"/>
      <c r="AS11" s="4">
        <v>2</v>
      </c>
      <c r="AT11" s="4">
        <v>1</v>
      </c>
      <c r="AU11" s="4">
        <v>0</v>
      </c>
      <c r="AV11" s="4">
        <v>2</v>
      </c>
      <c r="AW11" s="4">
        <v>0</v>
      </c>
      <c r="AX11" s="4">
        <v>1</v>
      </c>
      <c r="AZ11" s="2" t="s">
        <v>60</v>
      </c>
    </row>
    <row r="12" spans="1:70" x14ac:dyDescent="0.15">
      <c r="B12" s="2" t="s">
        <v>30</v>
      </c>
      <c r="C12" s="2" t="s">
        <v>442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193</v>
      </c>
      <c r="J12" s="4" t="str">
        <f>VLOOKUP(I12,citySet!$B$5:$C$46,2,0)</f>
        <v>吴</v>
      </c>
      <c r="K12" s="2" t="s">
        <v>439</v>
      </c>
      <c r="L12" s="2" t="s">
        <v>451</v>
      </c>
      <c r="N12" s="4"/>
      <c r="O12" s="2" t="s">
        <v>417</v>
      </c>
      <c r="P12" s="2" t="s">
        <v>417</v>
      </c>
      <c r="Q12" s="4">
        <v>0</v>
      </c>
      <c r="R12" s="2" t="s">
        <v>370</v>
      </c>
      <c r="S12" s="2" t="s">
        <v>489</v>
      </c>
      <c r="T12" s="2" t="s">
        <v>380</v>
      </c>
      <c r="U12" s="2" t="s">
        <v>447</v>
      </c>
      <c r="V12" s="2" t="s">
        <v>335</v>
      </c>
      <c r="W12" s="4">
        <v>2</v>
      </c>
      <c r="X12" s="2" t="s">
        <v>2983</v>
      </c>
      <c r="Y12" s="4">
        <v>0</v>
      </c>
      <c r="Z12" s="4" t="s">
        <v>39</v>
      </c>
      <c r="AA12" s="2" t="s">
        <v>60</v>
      </c>
      <c r="AB12" s="2" t="s">
        <v>444</v>
      </c>
      <c r="AC12" s="2" t="s">
        <v>434</v>
      </c>
      <c r="AD12" s="4">
        <v>40</v>
      </c>
      <c r="AE12" s="2" t="s">
        <v>21</v>
      </c>
      <c r="AF12" s="2" t="s">
        <v>445</v>
      </c>
      <c r="AG12" s="2" t="s">
        <v>446</v>
      </c>
      <c r="AH12" s="2" t="s">
        <v>185</v>
      </c>
      <c r="AI12" s="2" t="s">
        <v>34</v>
      </c>
      <c r="AJ12" s="4"/>
      <c r="AL12" s="4"/>
      <c r="AN12" s="4"/>
      <c r="AP12" s="4"/>
      <c r="AQ12" s="4"/>
      <c r="AS12" s="4">
        <v>2</v>
      </c>
      <c r="AT12" s="4">
        <v>1</v>
      </c>
      <c r="AU12" s="4">
        <v>0</v>
      </c>
      <c r="AV12" s="4">
        <v>0</v>
      </c>
      <c r="AW12" s="4">
        <v>1</v>
      </c>
      <c r="AX12" s="4">
        <v>0</v>
      </c>
      <c r="AZ12" s="2" t="s">
        <v>60</v>
      </c>
    </row>
    <row r="13" spans="1:70" x14ac:dyDescent="0.15">
      <c r="B13" s="2" t="s">
        <v>29</v>
      </c>
      <c r="C13" s="2" t="s">
        <v>452</v>
      </c>
      <c r="D13" s="2" t="s">
        <v>220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220</v>
      </c>
      <c r="H13" s="4" t="str">
        <f>VLOOKUP(G13,corpsSet!$B$5:$C$46,2,0)</f>
        <v>锺会</v>
      </c>
      <c r="I13" s="4" t="s">
        <v>207</v>
      </c>
      <c r="J13" s="4" t="str">
        <f>VLOOKUP(I13,citySet!$B$5:$C$46,2,0)</f>
        <v>梓潼</v>
      </c>
      <c r="K13" s="2" t="s">
        <v>460</v>
      </c>
      <c r="L13" s="2" t="s">
        <v>461</v>
      </c>
      <c r="M13" s="2" t="s">
        <v>462</v>
      </c>
      <c r="N13" s="4"/>
      <c r="O13" s="2" t="s">
        <v>455</v>
      </c>
      <c r="P13" s="2" t="s">
        <v>455</v>
      </c>
      <c r="Q13" s="4">
        <v>0</v>
      </c>
      <c r="R13" s="2" t="s">
        <v>370</v>
      </c>
      <c r="S13" s="2" t="s">
        <v>427</v>
      </c>
      <c r="T13" s="2" t="s">
        <v>456</v>
      </c>
      <c r="U13" s="2" t="s">
        <v>457</v>
      </c>
      <c r="V13" s="2" t="s">
        <v>213</v>
      </c>
      <c r="W13" s="4">
        <v>1</v>
      </c>
      <c r="X13" s="2" t="s">
        <v>365</v>
      </c>
      <c r="Y13" s="4">
        <v>3</v>
      </c>
      <c r="Z13" s="4" t="s">
        <v>696</v>
      </c>
      <c r="AA13" s="2" t="s">
        <v>228</v>
      </c>
      <c r="AB13" s="2" t="s">
        <v>454</v>
      </c>
      <c r="AC13" s="2" t="s">
        <v>102</v>
      </c>
      <c r="AD13" s="4">
        <v>79</v>
      </c>
      <c r="AE13" s="2" t="s">
        <v>431</v>
      </c>
      <c r="AF13" s="2" t="s">
        <v>25</v>
      </c>
      <c r="AG13" s="2" t="s">
        <v>158</v>
      </c>
      <c r="AH13" s="2" t="s">
        <v>185</v>
      </c>
      <c r="AI13" s="2" t="s">
        <v>30</v>
      </c>
      <c r="AJ13" s="4"/>
      <c r="AL13" s="4"/>
      <c r="AN13" s="4"/>
      <c r="AP13" s="4"/>
      <c r="AQ13" s="4"/>
      <c r="AS13" s="4">
        <v>0</v>
      </c>
      <c r="AT13" s="4">
        <v>1</v>
      </c>
      <c r="AU13" s="4">
        <v>2</v>
      </c>
      <c r="AV13" s="4">
        <v>0</v>
      </c>
      <c r="AW13" s="4">
        <v>2</v>
      </c>
      <c r="AX13" s="4">
        <v>0</v>
      </c>
      <c r="AZ13" s="2" t="s">
        <v>60</v>
      </c>
    </row>
    <row r="14" spans="1:70" x14ac:dyDescent="0.15">
      <c r="B14" s="2" t="s">
        <v>32</v>
      </c>
      <c r="C14" s="2" t="s">
        <v>463</v>
      </c>
      <c r="D14" s="2" t="s">
        <v>104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104</v>
      </c>
      <c r="H14" s="4" t="str">
        <f>VLOOKUP(G14,corpsSet!$B$5:$C$46,2,0)</f>
        <v>刘岱</v>
      </c>
      <c r="I14" s="4" t="s">
        <v>41</v>
      </c>
      <c r="J14" s="4" t="str">
        <f>VLOOKUP(I14,citySet!$B$5:$C$46,2,0)</f>
        <v>陈留</v>
      </c>
      <c r="K14" s="2" t="s">
        <v>471</v>
      </c>
      <c r="L14" s="2" t="s">
        <v>472</v>
      </c>
      <c r="M14" s="2" t="s">
        <v>473</v>
      </c>
      <c r="N14" s="4"/>
      <c r="O14" s="2" t="s">
        <v>465</v>
      </c>
      <c r="P14" s="2" t="s">
        <v>465</v>
      </c>
      <c r="Q14" s="4">
        <v>0</v>
      </c>
      <c r="R14" s="2" t="s">
        <v>370</v>
      </c>
      <c r="S14" s="2" t="s">
        <v>3166</v>
      </c>
      <c r="T14" s="2" t="s">
        <v>466</v>
      </c>
      <c r="U14" s="2" t="s">
        <v>467</v>
      </c>
      <c r="V14" s="2" t="s">
        <v>79</v>
      </c>
      <c r="W14" s="4">
        <v>1</v>
      </c>
      <c r="X14" s="2" t="s">
        <v>365</v>
      </c>
      <c r="Y14" s="4">
        <v>7</v>
      </c>
      <c r="Z14" s="4" t="s">
        <v>3078</v>
      </c>
      <c r="AA14" s="2" t="s">
        <v>185</v>
      </c>
      <c r="AB14" s="2" t="s">
        <v>201</v>
      </c>
      <c r="AC14" s="2" t="s">
        <v>126</v>
      </c>
      <c r="AD14" s="4">
        <v>73</v>
      </c>
      <c r="AE14" s="2" t="s">
        <v>434</v>
      </c>
      <c r="AF14" s="2" t="s">
        <v>153</v>
      </c>
      <c r="AG14" s="2" t="s">
        <v>464</v>
      </c>
      <c r="AH14" s="2" t="s">
        <v>185</v>
      </c>
      <c r="AI14" s="2" t="s">
        <v>104</v>
      </c>
      <c r="AJ14" s="4"/>
      <c r="AK14" s="2" t="s">
        <v>468</v>
      </c>
      <c r="AL14" s="4"/>
      <c r="AN14" s="4"/>
      <c r="AP14" s="4"/>
      <c r="AQ14" s="4"/>
      <c r="AS14" s="4">
        <v>0</v>
      </c>
      <c r="AT14" s="4">
        <v>1</v>
      </c>
      <c r="AU14" s="4">
        <v>1</v>
      </c>
      <c r="AV14" s="4">
        <v>0</v>
      </c>
      <c r="AW14" s="4">
        <v>1</v>
      </c>
      <c r="AX14" s="4">
        <v>0</v>
      </c>
      <c r="AZ14" s="2" t="s">
        <v>60</v>
      </c>
    </row>
    <row r="15" spans="1:70" x14ac:dyDescent="0.15">
      <c r="B15" s="2" t="s">
        <v>24</v>
      </c>
      <c r="C15" s="2" t="s">
        <v>474</v>
      </c>
      <c r="D15" s="2" t="s">
        <v>29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29</v>
      </c>
      <c r="H15" s="4" t="str">
        <f>VLOOKUP(G15,corpsSet!$B$5:$C$46,2,0)</f>
        <v>袁术</v>
      </c>
      <c r="I15" s="4" t="s">
        <v>200</v>
      </c>
      <c r="J15" s="4" t="str">
        <f>VLOOKUP(I15,citySet!$B$5:$C$46,2,0)</f>
        <v>庐江</v>
      </c>
      <c r="K15" s="2" t="s">
        <v>471</v>
      </c>
      <c r="L15" s="2" t="s">
        <v>483</v>
      </c>
      <c r="N15" s="4"/>
      <c r="O15" s="2" t="s">
        <v>477</v>
      </c>
      <c r="P15" s="2" t="s">
        <v>477</v>
      </c>
      <c r="Q15" s="4">
        <v>0</v>
      </c>
      <c r="R15" s="2" t="s">
        <v>370</v>
      </c>
      <c r="S15" s="2" t="s">
        <v>435</v>
      </c>
      <c r="T15" s="2" t="s">
        <v>478</v>
      </c>
      <c r="U15" s="2" t="s">
        <v>479</v>
      </c>
      <c r="V15" s="2" t="s">
        <v>458</v>
      </c>
      <c r="W15" s="4">
        <v>1</v>
      </c>
      <c r="X15" s="2" t="s">
        <v>365</v>
      </c>
      <c r="Y15" s="4">
        <v>7</v>
      </c>
      <c r="Z15" s="4" t="s">
        <v>3078</v>
      </c>
      <c r="AA15" s="2" t="s">
        <v>134</v>
      </c>
      <c r="AB15" s="2" t="s">
        <v>103</v>
      </c>
      <c r="AC15" s="2" t="s">
        <v>17</v>
      </c>
      <c r="AD15" s="4">
        <v>39</v>
      </c>
      <c r="AE15" s="2" t="s">
        <v>237</v>
      </c>
      <c r="AF15" s="2" t="s">
        <v>102</v>
      </c>
      <c r="AG15" s="2" t="s">
        <v>476</v>
      </c>
      <c r="AH15" s="2" t="s">
        <v>185</v>
      </c>
      <c r="AI15" s="2" t="s">
        <v>104</v>
      </c>
      <c r="AJ15" s="4"/>
      <c r="AK15" s="2" t="s">
        <v>480</v>
      </c>
      <c r="AL15" s="4"/>
      <c r="AN15" s="4"/>
      <c r="AP15" s="4"/>
      <c r="AQ15" s="4"/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Z15" s="2" t="s">
        <v>60</v>
      </c>
    </row>
    <row r="16" spans="1:70" x14ac:dyDescent="0.15">
      <c r="B16" s="2" t="s">
        <v>20</v>
      </c>
      <c r="C16" s="2" t="s">
        <v>484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213</v>
      </c>
      <c r="J16" s="4" t="str">
        <f>VLOOKUP(I16,citySet!$B$5:$C$46,2,0)</f>
        <v>江陵</v>
      </c>
      <c r="K16" s="2" t="s">
        <v>492</v>
      </c>
      <c r="L16" s="2" t="s">
        <v>493</v>
      </c>
      <c r="M16" s="2" t="s">
        <v>494</v>
      </c>
      <c r="N16" s="4"/>
      <c r="O16" s="2" t="s">
        <v>488</v>
      </c>
      <c r="P16" s="2" t="s">
        <v>488</v>
      </c>
      <c r="Q16" s="4">
        <v>0</v>
      </c>
      <c r="R16" s="2" t="s">
        <v>370</v>
      </c>
      <c r="S16" s="2" t="s">
        <v>667</v>
      </c>
      <c r="T16" s="2" t="s">
        <v>490</v>
      </c>
      <c r="U16" s="2" t="s">
        <v>491</v>
      </c>
      <c r="V16" s="2" t="s">
        <v>4</v>
      </c>
      <c r="W16" s="4">
        <v>2</v>
      </c>
      <c r="X16" s="2" t="s">
        <v>2983</v>
      </c>
      <c r="Y16" s="4">
        <v>0</v>
      </c>
      <c r="Z16" s="4" t="s">
        <v>39</v>
      </c>
      <c r="AA16" s="2" t="s">
        <v>60</v>
      </c>
      <c r="AB16" s="2" t="s">
        <v>14</v>
      </c>
      <c r="AC16" s="2" t="s">
        <v>269</v>
      </c>
      <c r="AD16" s="4">
        <v>58</v>
      </c>
      <c r="AE16" s="2" t="s">
        <v>486</v>
      </c>
      <c r="AF16" s="2" t="s">
        <v>106</v>
      </c>
      <c r="AG16" s="2" t="s">
        <v>487</v>
      </c>
      <c r="AH16" s="2" t="s">
        <v>185</v>
      </c>
      <c r="AI16" s="2" t="s">
        <v>24</v>
      </c>
      <c r="AJ16" s="4"/>
      <c r="AL16" s="4"/>
      <c r="AN16" s="4"/>
      <c r="AP16" s="4"/>
      <c r="AQ16" s="4"/>
      <c r="AS16" s="4">
        <v>1</v>
      </c>
      <c r="AT16" s="4">
        <v>1</v>
      </c>
      <c r="AU16" s="4">
        <v>0</v>
      </c>
      <c r="AV16" s="4">
        <v>0</v>
      </c>
      <c r="AW16" s="4">
        <v>1</v>
      </c>
      <c r="AX16" s="4">
        <v>0</v>
      </c>
      <c r="AZ16" s="2" t="s">
        <v>60</v>
      </c>
    </row>
    <row r="17" spans="2:52" x14ac:dyDescent="0.15">
      <c r="B17" s="2" t="s">
        <v>41</v>
      </c>
      <c r="C17" s="2" t="s">
        <v>495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8</v>
      </c>
      <c r="J17" s="4" t="str">
        <f>VLOOKUP(I17,citySet!$B$5:$C$46,2,0)</f>
        <v>汝南</v>
      </c>
      <c r="K17" s="2" t="s">
        <v>471</v>
      </c>
      <c r="L17" s="2" t="s">
        <v>500</v>
      </c>
      <c r="M17" s="2" t="s">
        <v>501</v>
      </c>
      <c r="N17" s="4"/>
      <c r="O17" s="2" t="s">
        <v>497</v>
      </c>
      <c r="P17" s="2" t="s">
        <v>497</v>
      </c>
      <c r="Q17" s="4">
        <v>0</v>
      </c>
      <c r="R17" s="2" t="s">
        <v>370</v>
      </c>
      <c r="S17" s="2" t="s">
        <v>435</v>
      </c>
      <c r="T17" s="2" t="s">
        <v>499</v>
      </c>
      <c r="U17" s="2" t="s">
        <v>373</v>
      </c>
      <c r="V17" s="2" t="s">
        <v>220</v>
      </c>
      <c r="W17" s="4">
        <v>2</v>
      </c>
      <c r="X17" s="2" t="s">
        <v>2983</v>
      </c>
      <c r="Y17" s="4">
        <v>0</v>
      </c>
      <c r="Z17" s="4" t="s">
        <v>39</v>
      </c>
      <c r="AA17" s="2" t="s">
        <v>60</v>
      </c>
      <c r="AB17" s="2" t="s">
        <v>119</v>
      </c>
      <c r="AC17" s="2" t="s">
        <v>103</v>
      </c>
      <c r="AD17" s="4">
        <v>72</v>
      </c>
      <c r="AE17" s="2" t="s">
        <v>397</v>
      </c>
      <c r="AF17" s="2" t="s">
        <v>397</v>
      </c>
      <c r="AG17" s="2" t="s">
        <v>496</v>
      </c>
      <c r="AH17" s="2" t="s">
        <v>185</v>
      </c>
      <c r="AI17" s="2" t="s">
        <v>20</v>
      </c>
      <c r="AJ17" s="4"/>
      <c r="AL17" s="4"/>
      <c r="AN17" s="4"/>
      <c r="AP17" s="4"/>
      <c r="AQ17" s="4"/>
      <c r="AS17" s="4">
        <v>0</v>
      </c>
      <c r="AT17" s="4">
        <v>1</v>
      </c>
      <c r="AU17" s="4">
        <v>0</v>
      </c>
      <c r="AV17" s="4">
        <v>1</v>
      </c>
      <c r="AW17" s="4">
        <v>0</v>
      </c>
      <c r="AX17" s="4">
        <v>0</v>
      </c>
      <c r="AZ17" s="2" t="s">
        <v>60</v>
      </c>
    </row>
    <row r="18" spans="2:52" x14ac:dyDescent="0.15">
      <c r="B18" s="2" t="s">
        <v>17</v>
      </c>
      <c r="C18" s="2" t="s">
        <v>502</v>
      </c>
      <c r="D18" s="2" t="s">
        <v>30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30</v>
      </c>
      <c r="H18" s="4" t="str">
        <f>VLOOKUP(G18,corpsSet!$B$5:$C$46,2,0)</f>
        <v>袁绍</v>
      </c>
      <c r="I18" s="4" t="s">
        <v>37</v>
      </c>
      <c r="J18" s="4" t="str">
        <f>VLOOKUP(I18,citySet!$B$5:$C$46,2,0)</f>
        <v>南皮</v>
      </c>
      <c r="K18" s="2" t="s">
        <v>471</v>
      </c>
      <c r="L18" s="2" t="s">
        <v>508</v>
      </c>
      <c r="M18" s="2" t="s">
        <v>509</v>
      </c>
      <c r="N18" s="4"/>
      <c r="O18" s="2" t="s">
        <v>95</v>
      </c>
      <c r="P18" s="2" t="s">
        <v>95</v>
      </c>
      <c r="Q18" s="4">
        <v>0</v>
      </c>
      <c r="R18" s="2" t="s">
        <v>370</v>
      </c>
      <c r="S18" s="2" t="s">
        <v>372</v>
      </c>
      <c r="T18" s="2" t="s">
        <v>504</v>
      </c>
      <c r="U18" s="2" t="s">
        <v>505</v>
      </c>
      <c r="V18" s="2" t="s">
        <v>390</v>
      </c>
      <c r="W18" s="4">
        <v>1</v>
      </c>
      <c r="X18" s="2" t="s">
        <v>365</v>
      </c>
      <c r="Y18" s="4">
        <v>0</v>
      </c>
      <c r="Z18" s="4" t="s">
        <v>39</v>
      </c>
      <c r="AA18" s="2" t="s">
        <v>134</v>
      </c>
      <c r="AB18" s="2" t="s">
        <v>404</v>
      </c>
      <c r="AC18" s="2" t="s">
        <v>7</v>
      </c>
      <c r="AD18" s="4">
        <v>63</v>
      </c>
      <c r="AE18" s="2" t="s">
        <v>257</v>
      </c>
      <c r="AF18" s="2" t="s">
        <v>444</v>
      </c>
      <c r="AG18" s="2" t="s">
        <v>503</v>
      </c>
      <c r="AH18" s="2" t="s">
        <v>185</v>
      </c>
      <c r="AI18" s="2" t="s">
        <v>104</v>
      </c>
      <c r="AJ18" s="4" t="s">
        <v>105</v>
      </c>
      <c r="AK18" s="2" t="s">
        <v>506</v>
      </c>
      <c r="AL18" s="4"/>
      <c r="AN18" s="4"/>
      <c r="AP18" s="4"/>
      <c r="AQ18" s="4"/>
      <c r="AS18" s="4">
        <v>0</v>
      </c>
      <c r="AT18" s="4">
        <v>0</v>
      </c>
      <c r="AU18" s="4">
        <v>1</v>
      </c>
      <c r="AV18" s="4">
        <v>0</v>
      </c>
      <c r="AW18" s="4">
        <v>1</v>
      </c>
      <c r="AX18" s="4">
        <v>0</v>
      </c>
      <c r="AZ18" s="2" t="s">
        <v>60</v>
      </c>
    </row>
    <row r="19" spans="2:52" x14ac:dyDescent="0.15">
      <c r="B19" s="2" t="s">
        <v>8</v>
      </c>
      <c r="C19" s="2" t="s">
        <v>510</v>
      </c>
      <c r="D19" s="2" t="s">
        <v>107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107</v>
      </c>
      <c r="H19" s="4" t="str">
        <f>VLOOKUP(G19,corpsSet!$B$5:$C$46,2,0)</f>
        <v>韩遂</v>
      </c>
      <c r="I19" s="4" t="s">
        <v>107</v>
      </c>
      <c r="J19" s="4" t="str">
        <f>VLOOKUP(I19,citySet!$B$5:$C$46,2,0)</f>
        <v>天水</v>
      </c>
      <c r="K19" s="2" t="s">
        <v>492</v>
      </c>
      <c r="L19" s="2" t="s">
        <v>513</v>
      </c>
      <c r="M19" s="2" t="s">
        <v>514</v>
      </c>
      <c r="N19" s="4"/>
      <c r="O19" s="2" t="s">
        <v>267</v>
      </c>
      <c r="P19" s="2" t="s">
        <v>267</v>
      </c>
      <c r="Q19" s="4">
        <v>0</v>
      </c>
      <c r="R19" s="2" t="s">
        <v>370</v>
      </c>
      <c r="S19" s="2" t="s">
        <v>435</v>
      </c>
      <c r="T19" s="2" t="s">
        <v>436</v>
      </c>
      <c r="U19" s="2" t="s">
        <v>512</v>
      </c>
      <c r="V19" s="2" t="s">
        <v>15</v>
      </c>
      <c r="W19" s="4">
        <v>1</v>
      </c>
      <c r="X19" s="2" t="s">
        <v>365</v>
      </c>
      <c r="Y19" s="4">
        <v>2</v>
      </c>
      <c r="Z19" s="4" t="s">
        <v>443</v>
      </c>
      <c r="AA19" s="2" t="s">
        <v>228</v>
      </c>
      <c r="AB19" s="2" t="s">
        <v>374</v>
      </c>
      <c r="AC19" s="2" t="s">
        <v>391</v>
      </c>
      <c r="AD19" s="4">
        <v>61</v>
      </c>
      <c r="AE19" s="2" t="s">
        <v>485</v>
      </c>
      <c r="AF19" s="2" t="s">
        <v>454</v>
      </c>
      <c r="AG19" s="2" t="s">
        <v>511</v>
      </c>
      <c r="AH19" s="2" t="s">
        <v>185</v>
      </c>
      <c r="AI19" s="2" t="s">
        <v>17</v>
      </c>
      <c r="AJ19" s="4"/>
      <c r="AL19" s="4"/>
      <c r="AN19" s="4"/>
      <c r="AP19" s="4"/>
      <c r="AQ19" s="4"/>
      <c r="AS19" s="4">
        <v>1</v>
      </c>
      <c r="AT19" s="4">
        <v>1</v>
      </c>
      <c r="AU19" s="4">
        <v>0</v>
      </c>
      <c r="AV19" s="4">
        <v>2</v>
      </c>
      <c r="AW19" s="4">
        <v>0</v>
      </c>
      <c r="AX19" s="4">
        <v>0</v>
      </c>
      <c r="AZ19" s="2" t="s">
        <v>60</v>
      </c>
    </row>
    <row r="20" spans="2:52" x14ac:dyDescent="0.15">
      <c r="B20" s="2" t="s">
        <v>18</v>
      </c>
      <c r="C20" s="2" t="s">
        <v>133</v>
      </c>
      <c r="D20" s="2" t="s">
        <v>17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17</v>
      </c>
      <c r="H20" s="4" t="str">
        <f>VLOOKUP(G20,corpsSet!$B$5:$C$46,2,0)</f>
        <v>刘虞</v>
      </c>
      <c r="I20" s="4" t="s">
        <v>31</v>
      </c>
      <c r="J20" s="4" t="str">
        <f>VLOOKUP(I20,citySet!$B$5:$C$46,2,0)</f>
        <v>蓟</v>
      </c>
      <c r="K20" s="2" t="s">
        <v>492</v>
      </c>
      <c r="L20" s="2" t="s">
        <v>522</v>
      </c>
      <c r="N20" s="4"/>
      <c r="O20" s="2" t="s">
        <v>517</v>
      </c>
      <c r="P20" s="2" t="s">
        <v>517</v>
      </c>
      <c r="Q20" s="4">
        <v>0</v>
      </c>
      <c r="R20" s="2" t="s">
        <v>370</v>
      </c>
      <c r="S20" s="2" t="s">
        <v>393</v>
      </c>
      <c r="T20" s="2" t="s">
        <v>518</v>
      </c>
      <c r="U20" s="2" t="s">
        <v>519</v>
      </c>
      <c r="V20" s="2" t="s">
        <v>126</v>
      </c>
      <c r="W20" s="4">
        <v>1</v>
      </c>
      <c r="X20" s="2" t="s">
        <v>365</v>
      </c>
      <c r="Y20" s="4">
        <v>4</v>
      </c>
      <c r="Z20" s="4" t="s">
        <v>1091</v>
      </c>
      <c r="AA20" s="2" t="s">
        <v>185</v>
      </c>
      <c r="AB20" s="2" t="s">
        <v>515</v>
      </c>
      <c r="AC20" s="2" t="s">
        <v>432</v>
      </c>
      <c r="AD20" s="4">
        <v>70</v>
      </c>
      <c r="AE20" s="2" t="s">
        <v>261</v>
      </c>
      <c r="AF20" s="2" t="s">
        <v>431</v>
      </c>
      <c r="AG20" s="2" t="s">
        <v>516</v>
      </c>
      <c r="AH20" s="2" t="s">
        <v>185</v>
      </c>
      <c r="AI20" s="2" t="s">
        <v>8</v>
      </c>
      <c r="AJ20" s="4"/>
      <c r="AL20" s="4"/>
      <c r="AN20" s="4"/>
      <c r="AP20" s="4"/>
      <c r="AQ20" s="4"/>
      <c r="AS20" s="4">
        <v>0</v>
      </c>
      <c r="AT20" s="4">
        <v>0</v>
      </c>
      <c r="AU20" s="4">
        <v>2</v>
      </c>
      <c r="AV20" s="4">
        <v>2</v>
      </c>
      <c r="AW20" s="4">
        <v>0</v>
      </c>
      <c r="AX20" s="4">
        <v>0</v>
      </c>
      <c r="AZ20" s="2" t="s">
        <v>60</v>
      </c>
    </row>
    <row r="21" spans="2:52" x14ac:dyDescent="0.15">
      <c r="B21" s="2" t="s">
        <v>103</v>
      </c>
      <c r="C21" s="2" t="s">
        <v>523</v>
      </c>
      <c r="D21" s="2" t="s">
        <v>29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29</v>
      </c>
      <c r="H21" s="4" t="str">
        <f>VLOOKUP(G21,corpsSet!$B$5:$C$46,2,0)</f>
        <v>袁术</v>
      </c>
      <c r="I21" s="4" t="s">
        <v>200</v>
      </c>
      <c r="J21" s="4" t="str">
        <f>VLOOKUP(I21,citySet!$B$5:$C$46,2,0)</f>
        <v>庐江</v>
      </c>
      <c r="K21" s="2" t="s">
        <v>471</v>
      </c>
      <c r="L21" s="2" t="s">
        <v>526</v>
      </c>
      <c r="M21" s="2" t="s">
        <v>527</v>
      </c>
      <c r="N21" s="4"/>
      <c r="O21" s="2" t="s">
        <v>5</v>
      </c>
      <c r="P21" s="2" t="s">
        <v>5</v>
      </c>
      <c r="Q21" s="4">
        <v>0</v>
      </c>
      <c r="R21" s="2" t="s">
        <v>370</v>
      </c>
      <c r="S21" s="2" t="s">
        <v>435</v>
      </c>
      <c r="T21" s="2" t="s">
        <v>524</v>
      </c>
      <c r="U21" s="2" t="s">
        <v>479</v>
      </c>
      <c r="V21" s="2" t="s">
        <v>458</v>
      </c>
      <c r="W21" s="4">
        <v>3</v>
      </c>
      <c r="X21" s="2" t="s">
        <v>2</v>
      </c>
      <c r="Y21" s="4">
        <v>0</v>
      </c>
      <c r="Z21" s="4" t="s">
        <v>39</v>
      </c>
      <c r="AA21" s="2" t="s">
        <v>185</v>
      </c>
      <c r="AB21" s="2" t="s">
        <v>100</v>
      </c>
      <c r="AC21" s="2" t="s">
        <v>257</v>
      </c>
      <c r="AD21" s="4">
        <v>61</v>
      </c>
      <c r="AE21" s="2" t="s">
        <v>18</v>
      </c>
      <c r="AF21" s="2" t="s">
        <v>21</v>
      </c>
      <c r="AG21" s="2" t="s">
        <v>373</v>
      </c>
      <c r="AH21" s="2" t="s">
        <v>185</v>
      </c>
      <c r="AI21" s="2" t="s">
        <v>104</v>
      </c>
      <c r="AJ21" s="4"/>
      <c r="AK21" s="2" t="s">
        <v>468</v>
      </c>
      <c r="AL21" s="4"/>
      <c r="AN21" s="4"/>
      <c r="AP21" s="4"/>
      <c r="AQ21" s="4"/>
      <c r="AS21" s="4">
        <v>1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Z21" s="2" t="s">
        <v>60</v>
      </c>
    </row>
    <row r="22" spans="2:52" x14ac:dyDescent="0.15">
      <c r="B22" s="2" t="s">
        <v>104</v>
      </c>
      <c r="C22" s="2" t="s">
        <v>528</v>
      </c>
      <c r="D22" s="2" t="s">
        <v>30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30</v>
      </c>
      <c r="H22" s="4" t="str">
        <f>VLOOKUP(G22,corpsSet!$B$5:$C$46,2,0)</f>
        <v>袁绍</v>
      </c>
      <c r="I22" s="4" t="s">
        <v>37</v>
      </c>
      <c r="J22" s="4" t="str">
        <f>VLOOKUP(I22,citySet!$B$5:$C$46,2,0)</f>
        <v>南皮</v>
      </c>
      <c r="K22" s="2" t="s">
        <v>471</v>
      </c>
      <c r="L22" s="2" t="s">
        <v>532</v>
      </c>
      <c r="M22" s="2" t="s">
        <v>533</v>
      </c>
      <c r="N22" s="4"/>
      <c r="O22" s="2" t="s">
        <v>219</v>
      </c>
      <c r="P22" s="2" t="s">
        <v>219</v>
      </c>
      <c r="Q22" s="4">
        <v>0</v>
      </c>
      <c r="R22" s="2" t="s">
        <v>370</v>
      </c>
      <c r="S22" s="2" t="s">
        <v>467</v>
      </c>
      <c r="T22" s="2" t="s">
        <v>498</v>
      </c>
      <c r="U22" s="2" t="s">
        <v>505</v>
      </c>
      <c r="V22" s="2" t="s">
        <v>390</v>
      </c>
      <c r="W22" s="4">
        <v>1</v>
      </c>
      <c r="X22" s="2" t="s">
        <v>365</v>
      </c>
      <c r="Y22" s="4">
        <v>0</v>
      </c>
      <c r="Z22" s="4" t="s">
        <v>39</v>
      </c>
      <c r="AA22" s="2" t="s">
        <v>134</v>
      </c>
      <c r="AB22" s="2" t="s">
        <v>382</v>
      </c>
      <c r="AC22" s="2" t="s">
        <v>515</v>
      </c>
      <c r="AD22" s="4">
        <v>42</v>
      </c>
      <c r="AE22" s="2" t="s">
        <v>207</v>
      </c>
      <c r="AF22" s="2" t="s">
        <v>374</v>
      </c>
      <c r="AG22" s="2" t="s">
        <v>446</v>
      </c>
      <c r="AH22" s="2" t="s">
        <v>185</v>
      </c>
      <c r="AI22" s="2" t="s">
        <v>104</v>
      </c>
      <c r="AJ22" s="4" t="s">
        <v>105</v>
      </c>
      <c r="AK22" s="2" t="s">
        <v>506</v>
      </c>
      <c r="AL22" s="4" t="s">
        <v>2480</v>
      </c>
      <c r="AM22" s="2" t="s">
        <v>529</v>
      </c>
      <c r="AN22" s="4"/>
      <c r="AP22" s="4"/>
      <c r="AQ22" s="4"/>
      <c r="AS22" s="4">
        <v>1</v>
      </c>
      <c r="AT22" s="4">
        <v>0</v>
      </c>
      <c r="AU22" s="4">
        <v>0</v>
      </c>
      <c r="AV22" s="4">
        <v>1</v>
      </c>
      <c r="AW22" s="4">
        <v>2</v>
      </c>
      <c r="AX22" s="4">
        <v>0</v>
      </c>
      <c r="AZ22" s="2" t="s">
        <v>60</v>
      </c>
    </row>
    <row r="23" spans="2:52" x14ac:dyDescent="0.15">
      <c r="B23" s="2" t="s">
        <v>105</v>
      </c>
      <c r="C23" s="2" t="s">
        <v>506</v>
      </c>
      <c r="D23" s="2" t="s">
        <v>30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30</v>
      </c>
      <c r="H23" s="4" t="str">
        <f>VLOOKUP(G23,corpsSet!$B$5:$C$46,2,0)</f>
        <v>袁绍</v>
      </c>
      <c r="I23" s="4" t="s">
        <v>37</v>
      </c>
      <c r="J23" s="4" t="str">
        <f>VLOOKUP(I23,citySet!$B$5:$C$46,2,0)</f>
        <v>南皮</v>
      </c>
      <c r="K23" s="2" t="s">
        <v>471</v>
      </c>
      <c r="L23" s="2" t="s">
        <v>539</v>
      </c>
      <c r="M23" s="2" t="s">
        <v>540</v>
      </c>
      <c r="N23" s="4"/>
      <c r="O23" s="2" t="s">
        <v>33</v>
      </c>
      <c r="P23" s="2" t="s">
        <v>33</v>
      </c>
      <c r="Q23" s="4">
        <v>0</v>
      </c>
      <c r="R23" s="2" t="s">
        <v>370</v>
      </c>
      <c r="S23" s="2" t="s">
        <v>435</v>
      </c>
      <c r="T23" s="2" t="s">
        <v>535</v>
      </c>
      <c r="U23" s="2" t="s">
        <v>536</v>
      </c>
      <c r="V23" s="2" t="s">
        <v>390</v>
      </c>
      <c r="W23" s="4">
        <v>3</v>
      </c>
      <c r="X23" s="2" t="s">
        <v>2</v>
      </c>
      <c r="Y23" s="4">
        <v>0</v>
      </c>
      <c r="Z23" s="4" t="s">
        <v>39</v>
      </c>
      <c r="AA23" s="2" t="s">
        <v>185</v>
      </c>
      <c r="AB23" s="2" t="s">
        <v>235</v>
      </c>
      <c r="AC23" s="2" t="s">
        <v>454</v>
      </c>
      <c r="AD23" s="4">
        <v>70</v>
      </c>
      <c r="AE23" s="2" t="s">
        <v>261</v>
      </c>
      <c r="AF23" s="2" t="s">
        <v>176</v>
      </c>
      <c r="AG23" s="2" t="s">
        <v>534</v>
      </c>
      <c r="AH23" s="2" t="s">
        <v>185</v>
      </c>
      <c r="AI23" s="2" t="s">
        <v>104</v>
      </c>
      <c r="AJ23" s="4"/>
      <c r="AK23" s="2" t="s">
        <v>263</v>
      </c>
      <c r="AL23" s="4"/>
      <c r="AN23" s="4" t="s">
        <v>2480</v>
      </c>
      <c r="AO23" s="2" t="s">
        <v>529</v>
      </c>
      <c r="AP23" s="4"/>
      <c r="AQ23" s="4"/>
      <c r="AS23" s="4">
        <v>2</v>
      </c>
      <c r="AT23" s="4">
        <v>0</v>
      </c>
      <c r="AU23" s="4">
        <v>2</v>
      </c>
      <c r="AV23" s="4">
        <v>0</v>
      </c>
      <c r="AW23" s="4">
        <v>3</v>
      </c>
      <c r="AX23" s="4">
        <v>0</v>
      </c>
      <c r="AZ23" s="2" t="s">
        <v>60</v>
      </c>
    </row>
    <row r="24" spans="2:52" x14ac:dyDescent="0.15">
      <c r="B24" s="2" t="s">
        <v>106</v>
      </c>
      <c r="C24" s="2" t="s">
        <v>541</v>
      </c>
      <c r="D24" s="2" t="s">
        <v>29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29</v>
      </c>
      <c r="H24" s="4" t="str">
        <f>VLOOKUP(G24,corpsSet!$B$5:$C$46,2,0)</f>
        <v>袁术</v>
      </c>
      <c r="I24" s="4" t="s">
        <v>200</v>
      </c>
      <c r="J24" s="4" t="str">
        <f>VLOOKUP(I24,citySet!$B$5:$C$46,2,0)</f>
        <v>庐江</v>
      </c>
      <c r="K24" s="2" t="s">
        <v>492</v>
      </c>
      <c r="L24" s="2" t="s">
        <v>546</v>
      </c>
      <c r="N24" s="4"/>
      <c r="O24" s="2" t="s">
        <v>543</v>
      </c>
      <c r="P24" s="2" t="s">
        <v>543</v>
      </c>
      <c r="Q24" s="4">
        <v>0</v>
      </c>
      <c r="R24" s="2" t="s">
        <v>370</v>
      </c>
      <c r="S24" s="2" t="s">
        <v>544</v>
      </c>
      <c r="T24" s="2" t="s">
        <v>545</v>
      </c>
      <c r="U24" s="2" t="s">
        <v>479</v>
      </c>
      <c r="V24" s="2" t="s">
        <v>409</v>
      </c>
      <c r="W24" s="4">
        <v>1</v>
      </c>
      <c r="X24" s="2" t="s">
        <v>365</v>
      </c>
      <c r="Y24" s="4">
        <v>6</v>
      </c>
      <c r="Z24" s="4" t="s">
        <v>614</v>
      </c>
      <c r="AA24" s="2" t="s">
        <v>403</v>
      </c>
      <c r="AB24" s="2" t="s">
        <v>119</v>
      </c>
      <c r="AC24" s="2" t="s">
        <v>204</v>
      </c>
      <c r="AD24" s="4">
        <v>70</v>
      </c>
      <c r="AE24" s="2" t="s">
        <v>367</v>
      </c>
      <c r="AF24" s="2" t="s">
        <v>7</v>
      </c>
      <c r="AG24" s="2" t="s">
        <v>542</v>
      </c>
      <c r="AH24" s="2" t="s">
        <v>185</v>
      </c>
      <c r="AI24" s="2" t="s">
        <v>105</v>
      </c>
      <c r="AJ24" s="4"/>
      <c r="AL24" s="4"/>
      <c r="AN24" s="4"/>
      <c r="AP24" s="4"/>
      <c r="AQ24" s="4"/>
      <c r="AS24" s="4">
        <v>0</v>
      </c>
      <c r="AT24" s="4">
        <v>0</v>
      </c>
      <c r="AU24" s="4">
        <v>0</v>
      </c>
      <c r="AV24" s="4">
        <v>0</v>
      </c>
      <c r="AW24" s="4">
        <v>1</v>
      </c>
      <c r="AX24" s="4">
        <v>0</v>
      </c>
      <c r="AZ24" s="2" t="s">
        <v>60</v>
      </c>
    </row>
    <row r="25" spans="2:52" x14ac:dyDescent="0.15">
      <c r="B25" s="2" t="s">
        <v>107</v>
      </c>
      <c r="C25" s="2" t="s">
        <v>547</v>
      </c>
      <c r="D25" s="2" t="s">
        <v>30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30</v>
      </c>
      <c r="H25" s="4" t="str">
        <f>VLOOKUP(G25,corpsSet!$B$5:$C$46,2,0)</f>
        <v>袁绍</v>
      </c>
      <c r="I25" s="4" t="s">
        <v>37</v>
      </c>
      <c r="J25" s="4" t="str">
        <f>VLOOKUP(I25,citySet!$B$5:$C$46,2,0)</f>
        <v>南皮</v>
      </c>
      <c r="K25" s="2" t="s">
        <v>471</v>
      </c>
      <c r="L25" s="2" t="s">
        <v>551</v>
      </c>
      <c r="M25" s="2" t="s">
        <v>552</v>
      </c>
      <c r="N25" s="4"/>
      <c r="O25" s="2" t="s">
        <v>220</v>
      </c>
      <c r="P25" s="2" t="s">
        <v>220</v>
      </c>
      <c r="Q25" s="4">
        <v>0</v>
      </c>
      <c r="R25" s="2" t="s">
        <v>370</v>
      </c>
      <c r="S25" s="2" t="s">
        <v>544</v>
      </c>
      <c r="T25" s="2" t="s">
        <v>549</v>
      </c>
      <c r="U25" s="2" t="s">
        <v>90</v>
      </c>
      <c r="V25" s="2" t="s">
        <v>258</v>
      </c>
      <c r="W25" s="4">
        <v>1</v>
      </c>
      <c r="X25" s="2" t="s">
        <v>365</v>
      </c>
      <c r="Y25" s="4">
        <v>0</v>
      </c>
      <c r="Z25" s="4" t="s">
        <v>39</v>
      </c>
      <c r="AA25" s="2" t="s">
        <v>134</v>
      </c>
      <c r="AB25" s="2" t="s">
        <v>93</v>
      </c>
      <c r="AC25" s="2" t="s">
        <v>454</v>
      </c>
      <c r="AD25" s="4">
        <v>30</v>
      </c>
      <c r="AE25" s="2" t="s">
        <v>220</v>
      </c>
      <c r="AF25" s="2" t="s">
        <v>486</v>
      </c>
      <c r="AG25" s="2" t="s">
        <v>548</v>
      </c>
      <c r="AH25" s="2" t="s">
        <v>185</v>
      </c>
      <c r="AI25" s="2" t="s">
        <v>104</v>
      </c>
      <c r="AJ25" s="4" t="s">
        <v>105</v>
      </c>
      <c r="AK25" s="2" t="s">
        <v>506</v>
      </c>
      <c r="AL25" s="4"/>
      <c r="AN25" s="4"/>
      <c r="AP25" s="4"/>
      <c r="AQ25" s="4"/>
      <c r="AS25" s="4">
        <v>0</v>
      </c>
      <c r="AT25" s="4">
        <v>1</v>
      </c>
      <c r="AU25" s="4">
        <v>1</v>
      </c>
      <c r="AV25" s="4">
        <v>0</v>
      </c>
      <c r="AW25" s="4">
        <v>1</v>
      </c>
      <c r="AX25" s="4">
        <v>0</v>
      </c>
      <c r="AZ25" s="2" t="s">
        <v>60</v>
      </c>
    </row>
    <row r="26" spans="2:52" x14ac:dyDescent="0.15">
      <c r="B26" s="2" t="s">
        <v>10</v>
      </c>
      <c r="C26" s="2" t="s">
        <v>553</v>
      </c>
      <c r="D26" s="2" t="s">
        <v>54</v>
      </c>
      <c r="E26" s="4" t="str">
        <f>VLOOKUP(D26,forceSet!$B$5:$D$46,3,0)</f>
        <v>曹操</v>
      </c>
      <c r="F26" s="4" t="str">
        <f>VLOOKUP(I26,citySet!$B$5:$E$46,4,0)</f>
        <v>曹操</v>
      </c>
      <c r="G26" s="2" t="s">
        <v>54</v>
      </c>
      <c r="H26" s="4" t="str">
        <f>VLOOKUP(G26,corpsSet!$B$5:$C$46,2,0)</f>
        <v>曹操</v>
      </c>
      <c r="I26" s="2" t="s">
        <v>3337</v>
      </c>
      <c r="J26" s="4" t="str">
        <f>VLOOKUP(I26,citySet!$B$5:$C$46,2,0)</f>
        <v>许昌</v>
      </c>
      <c r="K26" s="2" t="s">
        <v>492</v>
      </c>
      <c r="L26" s="2" t="s">
        <v>560</v>
      </c>
      <c r="N26" s="4"/>
      <c r="O26" s="2" t="s">
        <v>555</v>
      </c>
      <c r="P26" s="2" t="s">
        <v>555</v>
      </c>
      <c r="Q26" s="4">
        <v>0</v>
      </c>
      <c r="R26" s="2" t="s">
        <v>370</v>
      </c>
      <c r="S26" s="2" t="s">
        <v>544</v>
      </c>
      <c r="T26" s="2" t="s">
        <v>478</v>
      </c>
      <c r="U26" s="2" t="s">
        <v>556</v>
      </c>
      <c r="V26" s="2" t="s">
        <v>104</v>
      </c>
      <c r="W26" s="4">
        <v>1</v>
      </c>
      <c r="X26" s="2" t="s">
        <v>365</v>
      </c>
      <c r="Y26" s="4">
        <v>8</v>
      </c>
      <c r="Z26" s="4" t="s">
        <v>3079</v>
      </c>
      <c r="AA26" s="2" t="s">
        <v>185</v>
      </c>
      <c r="AB26" s="2" t="s">
        <v>208</v>
      </c>
      <c r="AC26" s="2" t="s">
        <v>196</v>
      </c>
      <c r="AD26" s="4">
        <v>82</v>
      </c>
      <c r="AE26" s="2" t="s">
        <v>88</v>
      </c>
      <c r="AF26" s="2" t="s">
        <v>153</v>
      </c>
      <c r="AG26" s="2" t="s">
        <v>496</v>
      </c>
      <c r="AH26" s="2" t="s">
        <v>185</v>
      </c>
      <c r="AI26" s="2" t="s">
        <v>107</v>
      </c>
      <c r="AJ26" s="4"/>
      <c r="AL26" s="4"/>
      <c r="AN26" s="4"/>
      <c r="AP26" s="4"/>
      <c r="AQ26" s="4"/>
      <c r="AS26" s="4">
        <v>0</v>
      </c>
      <c r="AT26" s="4">
        <v>0</v>
      </c>
      <c r="AU26" s="4">
        <v>0</v>
      </c>
      <c r="AV26" s="4">
        <v>0</v>
      </c>
      <c r="AW26" s="4">
        <v>1</v>
      </c>
      <c r="AX26" s="4">
        <v>0</v>
      </c>
      <c r="AZ26" s="2" t="s">
        <v>60</v>
      </c>
    </row>
    <row r="27" spans="2:52" x14ac:dyDescent="0.15">
      <c r="B27" s="2" t="s">
        <v>189</v>
      </c>
      <c r="C27" s="2" t="s">
        <v>3080</v>
      </c>
      <c r="D27" s="2" t="s">
        <v>29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29</v>
      </c>
      <c r="H27" s="4" t="str">
        <f>VLOOKUP(G27,corpsSet!$B$5:$C$46,2,0)</f>
        <v>袁术</v>
      </c>
      <c r="I27" s="4" t="s">
        <v>200</v>
      </c>
      <c r="J27" s="4" t="str">
        <f>VLOOKUP(I27,citySet!$B$5:$C$46,2,0)</f>
        <v>庐江</v>
      </c>
      <c r="K27" s="2" t="s">
        <v>471</v>
      </c>
      <c r="L27" s="2" t="s">
        <v>566</v>
      </c>
      <c r="N27" s="4"/>
      <c r="O27" s="2" t="s">
        <v>563</v>
      </c>
      <c r="P27" s="2" t="s">
        <v>563</v>
      </c>
      <c r="Q27" s="4">
        <v>0</v>
      </c>
      <c r="R27" s="2" t="s">
        <v>370</v>
      </c>
      <c r="S27" s="2" t="s">
        <v>564</v>
      </c>
      <c r="T27" s="2" t="s">
        <v>565</v>
      </c>
      <c r="U27" s="2" t="s">
        <v>326</v>
      </c>
      <c r="V27" s="2" t="s">
        <v>740</v>
      </c>
      <c r="W27" s="4">
        <v>1</v>
      </c>
      <c r="X27" s="2" t="s">
        <v>365</v>
      </c>
      <c r="Y27" s="4">
        <v>0</v>
      </c>
      <c r="Z27" s="4" t="s">
        <v>39</v>
      </c>
      <c r="AA27" s="2" t="s">
        <v>134</v>
      </c>
      <c r="AB27" s="2" t="s">
        <v>237</v>
      </c>
      <c r="AC27" s="2" t="s">
        <v>4</v>
      </c>
      <c r="AD27" s="4">
        <v>41</v>
      </c>
      <c r="AE27" s="2" t="s">
        <v>7</v>
      </c>
      <c r="AF27" s="2" t="s">
        <v>19</v>
      </c>
      <c r="AG27" s="2" t="s">
        <v>562</v>
      </c>
      <c r="AH27" s="2" t="s">
        <v>185</v>
      </c>
      <c r="AI27" s="2" t="s">
        <v>104</v>
      </c>
      <c r="AJ27" s="4" t="s">
        <v>103</v>
      </c>
      <c r="AK27" s="2" t="s">
        <v>523</v>
      </c>
      <c r="AL27" s="4"/>
      <c r="AN27" s="4"/>
      <c r="AP27" s="4"/>
      <c r="AQ27" s="4"/>
      <c r="AS27" s="4">
        <v>0</v>
      </c>
      <c r="AT27" s="4">
        <v>0</v>
      </c>
      <c r="AU27" s="4">
        <v>1</v>
      </c>
      <c r="AV27" s="4">
        <v>0</v>
      </c>
      <c r="AW27" s="4">
        <v>0</v>
      </c>
      <c r="AX27" s="4">
        <v>1</v>
      </c>
      <c r="AZ27" s="2" t="s">
        <v>60</v>
      </c>
    </row>
    <row r="28" spans="2:52" x14ac:dyDescent="0.15">
      <c r="B28" s="2" t="s">
        <v>193</v>
      </c>
      <c r="C28" s="2" t="s">
        <v>567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119</v>
      </c>
      <c r="J28" s="4" t="str">
        <f>VLOOKUP(I28,citySet!$B$5:$C$46,2,0)</f>
        <v>襄阳</v>
      </c>
      <c r="K28" s="2" t="s">
        <v>572</v>
      </c>
      <c r="L28" s="2" t="s">
        <v>573</v>
      </c>
      <c r="N28" s="4"/>
      <c r="O28" s="2" t="s">
        <v>569</v>
      </c>
      <c r="P28" s="2" t="s">
        <v>569</v>
      </c>
      <c r="Q28" s="4">
        <v>0</v>
      </c>
      <c r="R28" s="2" t="s">
        <v>370</v>
      </c>
      <c r="S28" s="2" t="s">
        <v>585</v>
      </c>
      <c r="T28" s="2" t="s">
        <v>478</v>
      </c>
      <c r="U28" s="2" t="s">
        <v>406</v>
      </c>
      <c r="V28" s="2" t="s">
        <v>101</v>
      </c>
      <c r="W28" s="4">
        <v>2</v>
      </c>
      <c r="X28" s="2" t="s">
        <v>2983</v>
      </c>
      <c r="Y28" s="4">
        <v>0</v>
      </c>
      <c r="Z28" s="4" t="s">
        <v>39</v>
      </c>
      <c r="AA28" s="2" t="s">
        <v>60</v>
      </c>
      <c r="AB28" s="2" t="s">
        <v>93</v>
      </c>
      <c r="AC28" s="2" t="s">
        <v>153</v>
      </c>
      <c r="AD28" s="4">
        <v>59</v>
      </c>
      <c r="AE28" s="2" t="s">
        <v>14</v>
      </c>
      <c r="AF28" s="2" t="s">
        <v>404</v>
      </c>
      <c r="AG28" s="2" t="s">
        <v>568</v>
      </c>
      <c r="AH28" s="2" t="s">
        <v>185</v>
      </c>
      <c r="AI28" s="2" t="s">
        <v>189</v>
      </c>
      <c r="AJ28" s="4"/>
      <c r="AL28" s="4"/>
      <c r="AN28" s="4"/>
      <c r="AP28" s="4"/>
      <c r="AQ28" s="4"/>
      <c r="AS28" s="4">
        <v>1</v>
      </c>
      <c r="AT28" s="4">
        <v>0</v>
      </c>
      <c r="AU28" s="4">
        <v>1</v>
      </c>
      <c r="AV28" s="4">
        <v>0</v>
      </c>
      <c r="AW28" s="4">
        <v>0</v>
      </c>
      <c r="AX28" s="4">
        <v>2</v>
      </c>
      <c r="AZ28" s="2" t="s">
        <v>60</v>
      </c>
    </row>
    <row r="29" spans="2:52" x14ac:dyDescent="0.15">
      <c r="B29" s="2" t="s">
        <v>196</v>
      </c>
      <c r="C29" s="2" t="s">
        <v>3081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107</v>
      </c>
      <c r="J29" s="4" t="str">
        <f>VLOOKUP(I29,citySet!$B$5:$C$46,2,0)</f>
        <v>天水</v>
      </c>
      <c r="K29" s="2" t="s">
        <v>572</v>
      </c>
      <c r="L29" s="2" t="s">
        <v>581</v>
      </c>
      <c r="N29" s="4"/>
      <c r="O29" s="2" t="s">
        <v>576</v>
      </c>
      <c r="P29" s="2" t="s">
        <v>576</v>
      </c>
      <c r="Q29" s="4">
        <v>1</v>
      </c>
      <c r="R29" s="2" t="s">
        <v>577</v>
      </c>
      <c r="S29" s="2" t="s">
        <v>372</v>
      </c>
      <c r="T29" s="2" t="s">
        <v>579</v>
      </c>
      <c r="U29" s="2" t="s">
        <v>424</v>
      </c>
      <c r="V29" s="2" t="s">
        <v>107</v>
      </c>
      <c r="W29" s="4">
        <v>2</v>
      </c>
      <c r="X29" s="2" t="s">
        <v>2983</v>
      </c>
      <c r="Y29" s="4">
        <v>0</v>
      </c>
      <c r="Z29" s="4" t="s">
        <v>39</v>
      </c>
      <c r="AA29" s="2" t="s">
        <v>60</v>
      </c>
      <c r="AB29" s="2" t="s">
        <v>485</v>
      </c>
      <c r="AC29" s="2" t="s">
        <v>200</v>
      </c>
      <c r="AD29" s="4">
        <v>82</v>
      </c>
      <c r="AE29" s="2" t="s">
        <v>321</v>
      </c>
      <c r="AF29" s="2" t="s">
        <v>261</v>
      </c>
      <c r="AG29" s="2" t="s">
        <v>568</v>
      </c>
      <c r="AH29" s="2" t="s">
        <v>185</v>
      </c>
      <c r="AI29" s="2" t="s">
        <v>193</v>
      </c>
      <c r="AJ29" s="4"/>
      <c r="AL29" s="4"/>
      <c r="AN29" s="4"/>
      <c r="AP29" s="4"/>
      <c r="AQ29" s="4"/>
      <c r="AS29" s="4">
        <v>0</v>
      </c>
      <c r="AT29" s="4">
        <v>1</v>
      </c>
      <c r="AU29" s="4">
        <v>1</v>
      </c>
      <c r="AV29" s="4">
        <v>1</v>
      </c>
      <c r="AW29" s="4">
        <v>1</v>
      </c>
      <c r="AX29" s="4">
        <v>0</v>
      </c>
      <c r="AZ29" s="2" t="s">
        <v>60</v>
      </c>
    </row>
    <row r="30" spans="2:52" x14ac:dyDescent="0.15">
      <c r="B30" s="2" t="s">
        <v>200</v>
      </c>
      <c r="C30" s="2" t="s">
        <v>582</v>
      </c>
      <c r="D30" s="2" t="s">
        <v>208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208</v>
      </c>
      <c r="H30" s="4" t="str">
        <f>VLOOKUP(G30,corpsSet!$B$5:$C$46,2,0)</f>
        <v>何进</v>
      </c>
      <c r="I30" s="4" t="s">
        <v>104</v>
      </c>
      <c r="J30" s="4" t="str">
        <f>VLOOKUP(I30,citySet!$B$5:$C$46,2,0)</f>
        <v>长安</v>
      </c>
      <c r="K30" s="2" t="s">
        <v>572</v>
      </c>
      <c r="L30" s="2" t="s">
        <v>587</v>
      </c>
      <c r="M30" s="2" t="s">
        <v>588</v>
      </c>
      <c r="N30" s="4"/>
      <c r="O30" s="2" t="s">
        <v>579</v>
      </c>
      <c r="P30" s="2" t="s">
        <v>579</v>
      </c>
      <c r="Q30" s="4">
        <v>0</v>
      </c>
      <c r="R30" s="2" t="s">
        <v>370</v>
      </c>
      <c r="S30" s="2" t="s">
        <v>435</v>
      </c>
      <c r="T30" s="2" t="s">
        <v>584</v>
      </c>
      <c r="U30" s="2" t="s">
        <v>585</v>
      </c>
      <c r="V30" s="2" t="s">
        <v>150</v>
      </c>
      <c r="W30" s="4">
        <v>1</v>
      </c>
      <c r="X30" s="2" t="s">
        <v>365</v>
      </c>
      <c r="Y30" s="4">
        <v>8</v>
      </c>
      <c r="Z30" s="4" t="s">
        <v>3079</v>
      </c>
      <c r="AA30" s="2" t="s">
        <v>185</v>
      </c>
      <c r="AB30" s="2" t="s">
        <v>200</v>
      </c>
      <c r="AC30" s="2" t="s">
        <v>36</v>
      </c>
      <c r="AD30" s="4">
        <v>67</v>
      </c>
      <c r="AE30" s="2" t="s">
        <v>329</v>
      </c>
      <c r="AF30" s="2" t="s">
        <v>434</v>
      </c>
      <c r="AG30" s="2" t="s">
        <v>86</v>
      </c>
      <c r="AH30" s="2" t="s">
        <v>185</v>
      </c>
      <c r="AI30" s="2" t="s">
        <v>196</v>
      </c>
      <c r="AJ30" s="4"/>
      <c r="AK30" s="2" t="s">
        <v>586</v>
      </c>
      <c r="AL30" s="4"/>
      <c r="AN30" s="4"/>
      <c r="AP30" s="4"/>
      <c r="AQ30" s="4"/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Z30" s="2" t="s">
        <v>60</v>
      </c>
    </row>
    <row r="31" spans="2:52" x14ac:dyDescent="0.15">
      <c r="B31" s="2" t="s">
        <v>204</v>
      </c>
      <c r="C31" s="2" t="s">
        <v>310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30</v>
      </c>
      <c r="J31" s="4" t="str">
        <f>VLOOKUP(I31,citySet!$B$5:$C$46,2,0)</f>
        <v>北海</v>
      </c>
      <c r="K31" s="2" t="s">
        <v>572</v>
      </c>
      <c r="L31" s="2" t="s">
        <v>592</v>
      </c>
      <c r="M31" s="2" t="s">
        <v>593</v>
      </c>
      <c r="N31" s="4"/>
      <c r="O31" s="2" t="s">
        <v>380</v>
      </c>
      <c r="P31" s="2" t="s">
        <v>380</v>
      </c>
      <c r="Q31" s="4">
        <v>0</v>
      </c>
      <c r="R31" s="2" t="s">
        <v>370</v>
      </c>
      <c r="S31" s="2" t="s">
        <v>702</v>
      </c>
      <c r="T31" s="2" t="s">
        <v>372</v>
      </c>
      <c r="U31" s="2" t="s">
        <v>590</v>
      </c>
      <c r="V31" s="2" t="s">
        <v>119</v>
      </c>
      <c r="W31" s="4">
        <v>2</v>
      </c>
      <c r="X31" s="2" t="s">
        <v>2983</v>
      </c>
      <c r="Y31" s="4">
        <v>0</v>
      </c>
      <c r="Z31" s="4" t="s">
        <v>39</v>
      </c>
      <c r="AA31" s="2" t="s">
        <v>60</v>
      </c>
      <c r="AB31" s="2" t="s">
        <v>422</v>
      </c>
      <c r="AC31" s="2" t="s">
        <v>431</v>
      </c>
      <c r="AD31" s="4">
        <v>76</v>
      </c>
      <c r="AE31" s="2" t="s">
        <v>481</v>
      </c>
      <c r="AF31" s="2" t="s">
        <v>481</v>
      </c>
      <c r="AG31" s="2" t="s">
        <v>589</v>
      </c>
      <c r="AH31" s="2" t="s">
        <v>185</v>
      </c>
      <c r="AI31" s="2" t="s">
        <v>200</v>
      </c>
      <c r="AJ31" s="4"/>
      <c r="AL31" s="4"/>
      <c r="AN31" s="4"/>
      <c r="AP31" s="4"/>
      <c r="AQ31" s="4"/>
      <c r="AS31" s="4">
        <v>3</v>
      </c>
      <c r="AT31" s="4">
        <v>1</v>
      </c>
      <c r="AU31" s="4">
        <v>1</v>
      </c>
      <c r="AV31" s="4">
        <v>2</v>
      </c>
      <c r="AW31" s="4">
        <v>3</v>
      </c>
      <c r="AX31" s="4">
        <v>0</v>
      </c>
      <c r="AZ31" s="2" t="s">
        <v>60</v>
      </c>
    </row>
    <row r="32" spans="2:52" x14ac:dyDescent="0.15">
      <c r="B32" s="2" t="s">
        <v>25</v>
      </c>
      <c r="C32" s="2" t="s">
        <v>594</v>
      </c>
      <c r="D32" s="2" t="s">
        <v>15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15</v>
      </c>
      <c r="H32" s="4" t="str">
        <f>VLOOKUP(G32,corpsSet!$B$5:$C$46,2,0)</f>
        <v>邓艾</v>
      </c>
      <c r="I32" s="4" t="s">
        <v>21</v>
      </c>
      <c r="J32" s="4" t="str">
        <f>VLOOKUP(I32,citySet!$B$5:$C$46,2,0)</f>
        <v>江州</v>
      </c>
      <c r="K32" s="2" t="s">
        <v>572</v>
      </c>
      <c r="L32" s="2" t="s">
        <v>598</v>
      </c>
      <c r="M32" s="2" t="s">
        <v>599</v>
      </c>
      <c r="N32" s="4"/>
      <c r="O32" s="2" t="s">
        <v>201</v>
      </c>
      <c r="P32" s="2" t="s">
        <v>201</v>
      </c>
      <c r="Q32" s="4">
        <v>0</v>
      </c>
      <c r="R32" s="2" t="s">
        <v>370</v>
      </c>
      <c r="S32" s="2" t="s">
        <v>562</v>
      </c>
      <c r="T32" s="2" t="s">
        <v>371</v>
      </c>
      <c r="U32" s="2" t="s">
        <v>597</v>
      </c>
      <c r="V32" s="2" t="s">
        <v>107</v>
      </c>
      <c r="W32" s="4">
        <v>1</v>
      </c>
      <c r="X32" s="2" t="s">
        <v>365</v>
      </c>
      <c r="Y32" s="4">
        <v>1</v>
      </c>
      <c r="Z32" s="4" t="s">
        <v>1243</v>
      </c>
      <c r="AA32" s="2" t="s">
        <v>403</v>
      </c>
      <c r="AB32" s="2" t="s">
        <v>454</v>
      </c>
      <c r="AC32" s="2" t="s">
        <v>445</v>
      </c>
      <c r="AD32" s="4">
        <v>61</v>
      </c>
      <c r="AE32" s="2" t="s">
        <v>153</v>
      </c>
      <c r="AF32" s="2" t="s">
        <v>321</v>
      </c>
      <c r="AG32" s="2" t="s">
        <v>596</v>
      </c>
      <c r="AH32" s="2" t="s">
        <v>185</v>
      </c>
      <c r="AI32" s="2" t="s">
        <v>204</v>
      </c>
      <c r="AJ32" s="4"/>
      <c r="AL32" s="4"/>
      <c r="AN32" s="4"/>
      <c r="AP32" s="4"/>
      <c r="AQ32" s="4"/>
      <c r="AS32" s="4">
        <v>1</v>
      </c>
      <c r="AT32" s="4">
        <v>0</v>
      </c>
      <c r="AU32" s="4">
        <v>0</v>
      </c>
      <c r="AV32" s="4">
        <v>2</v>
      </c>
      <c r="AW32" s="4">
        <v>2</v>
      </c>
      <c r="AX32" s="4">
        <v>0</v>
      </c>
      <c r="AZ32" s="2" t="s">
        <v>60</v>
      </c>
    </row>
    <row r="33" spans="2:52" x14ac:dyDescent="0.15">
      <c r="B33" s="2" t="s">
        <v>208</v>
      </c>
      <c r="C33" s="2" t="s">
        <v>600</v>
      </c>
      <c r="D33" s="2" t="s">
        <v>208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208</v>
      </c>
      <c r="H33" s="4" t="str">
        <f>VLOOKUP(G33,corpsSet!$B$5:$C$46,2,0)</f>
        <v>何进</v>
      </c>
      <c r="I33" s="4" t="s">
        <v>104</v>
      </c>
      <c r="J33" s="4" t="str">
        <f>VLOOKUP(I33,citySet!$B$5:$C$46,2,0)</f>
        <v>长安</v>
      </c>
      <c r="K33" s="2" t="s">
        <v>572</v>
      </c>
      <c r="L33" s="2" t="s">
        <v>605</v>
      </c>
      <c r="M33" s="2" t="s">
        <v>606</v>
      </c>
      <c r="N33" s="4"/>
      <c r="O33" s="2" t="s">
        <v>602</v>
      </c>
      <c r="P33" s="2" t="s">
        <v>602</v>
      </c>
      <c r="Q33" s="4">
        <v>0</v>
      </c>
      <c r="R33" s="2" t="s">
        <v>370</v>
      </c>
      <c r="S33" s="2" t="s">
        <v>435</v>
      </c>
      <c r="T33" s="2" t="s">
        <v>466</v>
      </c>
      <c r="U33" s="2" t="s">
        <v>372</v>
      </c>
      <c r="V33" s="2" t="s">
        <v>413</v>
      </c>
      <c r="W33" s="4">
        <v>1</v>
      </c>
      <c r="X33" s="2" t="s">
        <v>365</v>
      </c>
      <c r="Y33" s="4">
        <v>1</v>
      </c>
      <c r="Z33" s="4" t="s">
        <v>1243</v>
      </c>
      <c r="AA33" s="2" t="s">
        <v>185</v>
      </c>
      <c r="AB33" s="2" t="s">
        <v>257</v>
      </c>
      <c r="AC33" s="2" t="s">
        <v>254</v>
      </c>
      <c r="AD33" s="4">
        <v>61</v>
      </c>
      <c r="AE33" s="2" t="s">
        <v>153</v>
      </c>
      <c r="AF33" s="2" t="s">
        <v>329</v>
      </c>
      <c r="AG33" s="2" t="s">
        <v>601</v>
      </c>
      <c r="AH33" s="2" t="s">
        <v>185</v>
      </c>
      <c r="AI33" s="2" t="s">
        <v>25</v>
      </c>
      <c r="AJ33" s="4"/>
      <c r="AL33" s="4"/>
      <c r="AN33" s="4"/>
      <c r="AP33" s="4"/>
      <c r="AQ33" s="4"/>
      <c r="AS33" s="4">
        <v>0</v>
      </c>
      <c r="AT33" s="4">
        <v>1</v>
      </c>
      <c r="AU33" s="4">
        <v>1</v>
      </c>
      <c r="AV33" s="4">
        <v>1</v>
      </c>
      <c r="AW33" s="4">
        <v>0</v>
      </c>
      <c r="AX33" s="4">
        <v>0</v>
      </c>
      <c r="AZ33" s="2" t="s">
        <v>60</v>
      </c>
    </row>
    <row r="34" spans="2:52" x14ac:dyDescent="0.15">
      <c r="B34" s="2" t="s">
        <v>119</v>
      </c>
      <c r="C34" s="2" t="s">
        <v>607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95</v>
      </c>
      <c r="J34" s="4" t="str">
        <f>VLOOKUP(I34,citySet!$B$5:$C$46,2,0)</f>
        <v>武陵</v>
      </c>
      <c r="K34" s="2" t="s">
        <v>572</v>
      </c>
      <c r="L34" s="2" t="s">
        <v>612</v>
      </c>
      <c r="N34" s="4"/>
      <c r="O34" s="2" t="s">
        <v>608</v>
      </c>
      <c r="P34" s="2" t="s">
        <v>608</v>
      </c>
      <c r="Q34" s="4">
        <v>0</v>
      </c>
      <c r="R34" s="2" t="s">
        <v>370</v>
      </c>
      <c r="S34" s="2" t="s">
        <v>427</v>
      </c>
      <c r="T34" s="2" t="s">
        <v>456</v>
      </c>
      <c r="U34" s="2" t="s">
        <v>610</v>
      </c>
      <c r="V34" s="2" t="s">
        <v>95</v>
      </c>
      <c r="W34" s="4">
        <v>2</v>
      </c>
      <c r="X34" s="2" t="s">
        <v>2983</v>
      </c>
      <c r="Y34" s="4">
        <v>0</v>
      </c>
      <c r="Z34" s="4" t="s">
        <v>39</v>
      </c>
      <c r="AA34" s="2" t="s">
        <v>60</v>
      </c>
      <c r="AB34" s="2" t="s">
        <v>95</v>
      </c>
      <c r="AC34" s="2" t="s">
        <v>36</v>
      </c>
      <c r="AD34" s="4">
        <v>35</v>
      </c>
      <c r="AE34" s="2" t="s">
        <v>404</v>
      </c>
      <c r="AF34" s="2" t="s">
        <v>233</v>
      </c>
      <c r="AG34" s="2" t="s">
        <v>393</v>
      </c>
      <c r="AH34" s="2" t="s">
        <v>185</v>
      </c>
      <c r="AI34" s="2" t="s">
        <v>208</v>
      </c>
      <c r="AJ34" s="4"/>
      <c r="AL34" s="4"/>
      <c r="AN34" s="4"/>
      <c r="AP34" s="4"/>
      <c r="AQ34" s="4"/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Z34" s="2" t="s">
        <v>60</v>
      </c>
    </row>
    <row r="35" spans="2:52" x14ac:dyDescent="0.15">
      <c r="B35" s="2" t="s">
        <v>213</v>
      </c>
      <c r="C35" s="2" t="s">
        <v>613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33</v>
      </c>
      <c r="J35" s="4" t="str">
        <f>VLOOKUP(I35,citySet!$B$5:$C$46,2,0)</f>
        <v>平原</v>
      </c>
      <c r="K35" s="2" t="s">
        <v>572</v>
      </c>
      <c r="L35" s="2" t="s">
        <v>617</v>
      </c>
      <c r="M35" s="2" t="s">
        <v>618</v>
      </c>
      <c r="N35" s="4"/>
      <c r="O35" s="2" t="s">
        <v>392</v>
      </c>
      <c r="P35" s="2" t="s">
        <v>392</v>
      </c>
      <c r="Q35" s="4">
        <v>0</v>
      </c>
      <c r="R35" s="2" t="s">
        <v>370</v>
      </c>
      <c r="S35" s="2" t="s">
        <v>373</v>
      </c>
      <c r="T35" s="2" t="s">
        <v>326</v>
      </c>
      <c r="U35" s="2" t="s">
        <v>408</v>
      </c>
      <c r="V35" s="2" t="s">
        <v>106</v>
      </c>
      <c r="W35" s="4">
        <v>2</v>
      </c>
      <c r="X35" s="2" t="s">
        <v>2983</v>
      </c>
      <c r="Y35" s="4">
        <v>0</v>
      </c>
      <c r="Z35" s="4" t="s">
        <v>39</v>
      </c>
      <c r="AA35" s="2" t="s">
        <v>60</v>
      </c>
      <c r="AB35" s="2" t="s">
        <v>445</v>
      </c>
      <c r="AC35" s="2" t="s">
        <v>382</v>
      </c>
      <c r="AD35" s="4">
        <v>66</v>
      </c>
      <c r="AE35" s="2" t="s">
        <v>481</v>
      </c>
      <c r="AF35" s="2" t="s">
        <v>434</v>
      </c>
      <c r="AG35" s="2" t="s">
        <v>615</v>
      </c>
      <c r="AH35" s="2" t="s">
        <v>185</v>
      </c>
      <c r="AI35" s="2" t="s">
        <v>119</v>
      </c>
      <c r="AJ35" s="4"/>
      <c r="AL35" s="4"/>
      <c r="AN35" s="4"/>
      <c r="AP35" s="4"/>
      <c r="AQ35" s="4"/>
      <c r="AS35" s="4">
        <v>0</v>
      </c>
      <c r="AT35" s="4">
        <v>1</v>
      </c>
      <c r="AU35" s="4">
        <v>1</v>
      </c>
      <c r="AV35" s="4">
        <v>1</v>
      </c>
      <c r="AW35" s="4">
        <v>0</v>
      </c>
      <c r="AX35" s="4">
        <v>0</v>
      </c>
      <c r="AZ35" s="2" t="s">
        <v>60</v>
      </c>
    </row>
    <row r="36" spans="2:52" x14ac:dyDescent="0.15">
      <c r="B36" s="2" t="s">
        <v>5</v>
      </c>
      <c r="C36" s="2" t="s">
        <v>619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126</v>
      </c>
      <c r="J36" s="4" t="str">
        <f>VLOOKUP(I36,citySet!$B$5:$C$46,2,0)</f>
        <v>成都</v>
      </c>
      <c r="K36" s="2" t="s">
        <v>572</v>
      </c>
      <c r="L36" s="2" t="s">
        <v>622</v>
      </c>
      <c r="N36" s="4"/>
      <c r="O36" s="2" t="s">
        <v>68</v>
      </c>
      <c r="P36" s="2" t="s">
        <v>68</v>
      </c>
      <c r="Q36" s="4">
        <v>0</v>
      </c>
      <c r="R36" s="2" t="s">
        <v>370</v>
      </c>
      <c r="S36" s="2" t="s">
        <v>332</v>
      </c>
      <c r="T36" s="2" t="s">
        <v>435</v>
      </c>
      <c r="U36" s="2" t="s">
        <v>621</v>
      </c>
      <c r="V36" s="2" t="s">
        <v>515</v>
      </c>
      <c r="W36" s="4">
        <v>2</v>
      </c>
      <c r="X36" s="2" t="s">
        <v>2983</v>
      </c>
      <c r="Y36" s="4">
        <v>0</v>
      </c>
      <c r="Z36" s="4" t="s">
        <v>39</v>
      </c>
      <c r="AA36" s="2" t="s">
        <v>60</v>
      </c>
      <c r="AB36" s="2" t="s">
        <v>434</v>
      </c>
      <c r="AC36" s="2" t="s">
        <v>93</v>
      </c>
      <c r="AD36" s="4">
        <v>61</v>
      </c>
      <c r="AE36" s="2" t="s">
        <v>423</v>
      </c>
      <c r="AF36" s="2" t="s">
        <v>257</v>
      </c>
      <c r="AG36" s="2" t="s">
        <v>620</v>
      </c>
      <c r="AH36" s="2" t="s">
        <v>185</v>
      </c>
      <c r="AI36" s="2" t="s">
        <v>213</v>
      </c>
      <c r="AJ36" s="4"/>
      <c r="AL36" s="4"/>
      <c r="AN36" s="4"/>
      <c r="AP36" s="4"/>
      <c r="AQ36" s="4"/>
      <c r="AS36" s="4">
        <v>0</v>
      </c>
      <c r="AT36" s="4">
        <v>2</v>
      </c>
      <c r="AU36" s="4">
        <v>1</v>
      </c>
      <c r="AV36" s="4">
        <v>0</v>
      </c>
      <c r="AW36" s="4">
        <v>1</v>
      </c>
      <c r="AX36" s="4">
        <v>0</v>
      </c>
      <c r="AZ36" s="2" t="s">
        <v>60</v>
      </c>
    </row>
    <row r="37" spans="2:52" x14ac:dyDescent="0.15">
      <c r="B37" s="2" t="s">
        <v>95</v>
      </c>
      <c r="C37" s="2" t="s">
        <v>623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36</v>
      </c>
      <c r="J37" s="4" t="str">
        <f>VLOOKUP(I37,citySet!$B$5:$C$46,2,0)</f>
        <v>晋阳</v>
      </c>
      <c r="K37" s="2" t="s">
        <v>572</v>
      </c>
      <c r="L37" s="2" t="s">
        <v>630</v>
      </c>
      <c r="M37" s="2" t="s">
        <v>631</v>
      </c>
      <c r="N37" s="4"/>
      <c r="O37" s="2" t="s">
        <v>625</v>
      </c>
      <c r="P37" s="2" t="s">
        <v>625</v>
      </c>
      <c r="Q37" s="4">
        <v>0</v>
      </c>
      <c r="R37" s="2" t="s">
        <v>370</v>
      </c>
      <c r="S37" s="2" t="s">
        <v>977</v>
      </c>
      <c r="T37" s="2" t="s">
        <v>489</v>
      </c>
      <c r="U37" s="2" t="s">
        <v>627</v>
      </c>
      <c r="V37" s="2" t="s">
        <v>95</v>
      </c>
      <c r="W37" s="4">
        <v>2</v>
      </c>
      <c r="X37" s="2" t="s">
        <v>2983</v>
      </c>
      <c r="Y37" s="4">
        <v>0</v>
      </c>
      <c r="Z37" s="4" t="s">
        <v>39</v>
      </c>
      <c r="AA37" s="2" t="s">
        <v>60</v>
      </c>
      <c r="AB37" s="2" t="s">
        <v>434</v>
      </c>
      <c r="AC37" s="2" t="s">
        <v>434</v>
      </c>
      <c r="AD37" s="4">
        <v>72</v>
      </c>
      <c r="AE37" s="2" t="s">
        <v>367</v>
      </c>
      <c r="AF37" s="2" t="s">
        <v>454</v>
      </c>
      <c r="AG37" s="2" t="s">
        <v>624</v>
      </c>
      <c r="AH37" s="2" t="s">
        <v>185</v>
      </c>
      <c r="AI37" s="2" t="s">
        <v>98</v>
      </c>
      <c r="AJ37" s="4" t="s">
        <v>99</v>
      </c>
      <c r="AK37" s="2" t="s">
        <v>628</v>
      </c>
      <c r="AL37" s="4"/>
      <c r="AN37" s="4"/>
      <c r="AP37" s="4"/>
      <c r="AQ37" s="4"/>
      <c r="AS37" s="4">
        <v>2</v>
      </c>
      <c r="AT37" s="4">
        <v>1</v>
      </c>
      <c r="AU37" s="4">
        <v>2</v>
      </c>
      <c r="AV37" s="4">
        <v>1</v>
      </c>
      <c r="AW37" s="4">
        <v>2</v>
      </c>
      <c r="AX37" s="4">
        <v>3</v>
      </c>
      <c r="AZ37" s="2" t="s">
        <v>60</v>
      </c>
    </row>
    <row r="38" spans="2:52" x14ac:dyDescent="0.15">
      <c r="B38" s="2" t="s">
        <v>219</v>
      </c>
      <c r="C38" s="2" t="s">
        <v>632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20</v>
      </c>
      <c r="J38" s="4" t="str">
        <f>VLOOKUP(I38,citySet!$B$5:$C$46,2,0)</f>
        <v>濮阳</v>
      </c>
      <c r="K38" s="2" t="s">
        <v>572</v>
      </c>
      <c r="L38" s="2" t="s">
        <v>636</v>
      </c>
      <c r="M38" s="2" t="s">
        <v>637</v>
      </c>
      <c r="N38" s="4"/>
      <c r="O38" s="2" t="s">
        <v>634</v>
      </c>
      <c r="P38" s="2" t="s">
        <v>634</v>
      </c>
      <c r="Q38" s="4">
        <v>0</v>
      </c>
      <c r="R38" s="2" t="s">
        <v>370</v>
      </c>
      <c r="S38" s="2" t="s">
        <v>467</v>
      </c>
      <c r="T38" s="2" t="s">
        <v>565</v>
      </c>
      <c r="U38" s="2" t="s">
        <v>371</v>
      </c>
      <c r="V38" s="2" t="s">
        <v>119</v>
      </c>
      <c r="W38" s="4">
        <v>2</v>
      </c>
      <c r="X38" s="2" t="s">
        <v>2983</v>
      </c>
      <c r="Y38" s="4">
        <v>0</v>
      </c>
      <c r="Z38" s="4" t="s">
        <v>39</v>
      </c>
      <c r="AA38" s="2" t="s">
        <v>60</v>
      </c>
      <c r="AB38" s="2" t="s">
        <v>36</v>
      </c>
      <c r="AC38" s="2" t="s">
        <v>31</v>
      </c>
      <c r="AD38" s="4">
        <v>79</v>
      </c>
      <c r="AE38" s="2" t="s">
        <v>329</v>
      </c>
      <c r="AF38" s="2" t="s">
        <v>201</v>
      </c>
      <c r="AG38" s="2" t="s">
        <v>633</v>
      </c>
      <c r="AH38" s="2" t="s">
        <v>185</v>
      </c>
      <c r="AI38" s="2" t="s">
        <v>95</v>
      </c>
      <c r="AJ38" s="4"/>
      <c r="AL38" s="4"/>
      <c r="AN38" s="4"/>
      <c r="AP38" s="4"/>
      <c r="AQ38" s="4"/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Z38" s="2" t="s">
        <v>60</v>
      </c>
    </row>
    <row r="39" spans="2:52" x14ac:dyDescent="0.15">
      <c r="B39" s="2" t="s">
        <v>220</v>
      </c>
      <c r="C39" s="2" t="s">
        <v>638</v>
      </c>
      <c r="D39" s="2" t="s">
        <v>103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103</v>
      </c>
      <c r="H39" s="4" t="str">
        <f>VLOOKUP(G39,corpsSet!$B$5:$C$46,2,0)</f>
        <v>孔融</v>
      </c>
      <c r="I39" s="4" t="s">
        <v>30</v>
      </c>
      <c r="J39" s="4" t="str">
        <f>VLOOKUP(I39,citySet!$B$5:$C$46,2,0)</f>
        <v>北海</v>
      </c>
      <c r="K39" s="2" t="s">
        <v>572</v>
      </c>
      <c r="L39" s="2" t="s">
        <v>642</v>
      </c>
      <c r="M39" s="2" t="s">
        <v>643</v>
      </c>
      <c r="N39" s="4"/>
      <c r="O39" s="2" t="s">
        <v>640</v>
      </c>
      <c r="P39" s="2" t="s">
        <v>640</v>
      </c>
      <c r="Q39" s="4">
        <v>0</v>
      </c>
      <c r="R39" s="2" t="s">
        <v>370</v>
      </c>
      <c r="S39" s="2" t="s">
        <v>544</v>
      </c>
      <c r="T39" s="2" t="s">
        <v>518</v>
      </c>
      <c r="U39" s="2" t="s">
        <v>379</v>
      </c>
      <c r="V39" s="2" t="s">
        <v>21</v>
      </c>
      <c r="W39" s="4">
        <v>1</v>
      </c>
      <c r="X39" s="2" t="s">
        <v>365</v>
      </c>
      <c r="Y39" s="4">
        <v>8</v>
      </c>
      <c r="Z39" s="4" t="s">
        <v>3079</v>
      </c>
      <c r="AA39" s="2" t="s">
        <v>228</v>
      </c>
      <c r="AB39" s="2" t="s">
        <v>3</v>
      </c>
      <c r="AC39" s="2" t="s">
        <v>204</v>
      </c>
      <c r="AD39" s="4">
        <v>76</v>
      </c>
      <c r="AE39" s="2" t="s">
        <v>431</v>
      </c>
      <c r="AF39" s="2" t="s">
        <v>382</v>
      </c>
      <c r="AG39" s="2" t="s">
        <v>639</v>
      </c>
      <c r="AH39" s="2" t="s">
        <v>185</v>
      </c>
      <c r="AI39" s="2" t="s">
        <v>219</v>
      </c>
      <c r="AJ39" s="4"/>
      <c r="AL39" s="4"/>
      <c r="AN39" s="4"/>
      <c r="AP39" s="4"/>
      <c r="AQ39" s="4"/>
      <c r="AS39" s="4">
        <v>0</v>
      </c>
      <c r="AT39" s="4">
        <v>0</v>
      </c>
      <c r="AU39" s="4">
        <v>1</v>
      </c>
      <c r="AV39" s="4">
        <v>0</v>
      </c>
      <c r="AW39" s="4">
        <v>0</v>
      </c>
      <c r="AX39" s="4">
        <v>0</v>
      </c>
      <c r="AZ39" s="2" t="s">
        <v>60</v>
      </c>
    </row>
    <row r="40" spans="2:52" x14ac:dyDescent="0.15">
      <c r="B40" s="2" t="s">
        <v>15</v>
      </c>
      <c r="C40" s="2" t="s">
        <v>644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32</v>
      </c>
      <c r="J40" s="4" t="str">
        <f>VLOOKUP(I40,citySet!$B$5:$C$46,2,0)</f>
        <v>小沛</v>
      </c>
      <c r="K40" s="2" t="s">
        <v>572</v>
      </c>
      <c r="L40" s="2" t="s">
        <v>647</v>
      </c>
      <c r="M40" s="2" t="s">
        <v>648</v>
      </c>
      <c r="N40" s="4"/>
      <c r="O40" s="2" t="s">
        <v>568</v>
      </c>
      <c r="P40" s="2" t="s">
        <v>568</v>
      </c>
      <c r="Q40" s="4">
        <v>0</v>
      </c>
      <c r="R40" s="2" t="s">
        <v>370</v>
      </c>
      <c r="S40" s="2" t="s">
        <v>548</v>
      </c>
      <c r="T40" s="2" t="s">
        <v>609</v>
      </c>
      <c r="U40" s="2" t="s">
        <v>625</v>
      </c>
      <c r="V40" s="2" t="s">
        <v>126</v>
      </c>
      <c r="W40" s="4">
        <v>2</v>
      </c>
      <c r="X40" s="2" t="s">
        <v>2983</v>
      </c>
      <c r="Y40" s="4">
        <v>0</v>
      </c>
      <c r="Z40" s="4" t="s">
        <v>39</v>
      </c>
      <c r="AA40" s="2" t="s">
        <v>60</v>
      </c>
      <c r="AB40" s="2" t="s">
        <v>432</v>
      </c>
      <c r="AC40" s="2" t="s">
        <v>15</v>
      </c>
      <c r="AD40" s="4">
        <v>72</v>
      </c>
      <c r="AE40" s="2" t="s">
        <v>254</v>
      </c>
      <c r="AF40" s="2" t="s">
        <v>233</v>
      </c>
      <c r="AG40" s="2" t="s">
        <v>645</v>
      </c>
      <c r="AH40" s="2" t="s">
        <v>185</v>
      </c>
      <c r="AI40" s="2" t="s">
        <v>220</v>
      </c>
      <c r="AJ40" s="4"/>
      <c r="AL40" s="4"/>
      <c r="AN40" s="4"/>
      <c r="AP40" s="4"/>
      <c r="AQ40" s="4"/>
      <c r="AS40" s="4">
        <v>0</v>
      </c>
      <c r="AT40" s="4">
        <v>0</v>
      </c>
      <c r="AU40" s="4">
        <v>0</v>
      </c>
      <c r="AV40" s="4">
        <v>0</v>
      </c>
      <c r="AW40" s="4">
        <v>1</v>
      </c>
      <c r="AX40" s="4">
        <v>2</v>
      </c>
      <c r="AZ40" s="2" t="s">
        <v>60</v>
      </c>
    </row>
    <row r="41" spans="2:52" x14ac:dyDescent="0.15">
      <c r="B41" s="2" t="s">
        <v>226</v>
      </c>
      <c r="C41" s="2" t="s">
        <v>649</v>
      </c>
      <c r="D41" s="2" t="s">
        <v>10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10</v>
      </c>
      <c r="H41" s="4" t="str">
        <f>VLOOKUP(G41,corpsSet!$B$5:$C$46,2,0)</f>
        <v>王朗</v>
      </c>
      <c r="I41" s="4" t="s">
        <v>196</v>
      </c>
      <c r="J41" s="4" t="str">
        <f>VLOOKUP(I41,citySet!$B$5:$C$46,2,0)</f>
        <v>会稽</v>
      </c>
      <c r="K41" s="2" t="s">
        <v>572</v>
      </c>
      <c r="L41" s="2" t="s">
        <v>652</v>
      </c>
      <c r="M41" s="2" t="s">
        <v>653</v>
      </c>
      <c r="N41" s="4"/>
      <c r="O41" s="2" t="s">
        <v>145</v>
      </c>
      <c r="P41" s="2" t="s">
        <v>145</v>
      </c>
      <c r="Q41" s="4">
        <v>0</v>
      </c>
      <c r="R41" s="2" t="s">
        <v>370</v>
      </c>
      <c r="S41" s="2" t="s">
        <v>490</v>
      </c>
      <c r="T41" s="2" t="s">
        <v>83</v>
      </c>
      <c r="U41" s="2" t="s">
        <v>651</v>
      </c>
      <c r="V41" s="2" t="s">
        <v>219</v>
      </c>
      <c r="W41" s="4">
        <v>1</v>
      </c>
      <c r="X41" s="2" t="s">
        <v>365</v>
      </c>
      <c r="Y41" s="4">
        <v>6</v>
      </c>
      <c r="Z41" s="4" t="s">
        <v>614</v>
      </c>
      <c r="AA41" s="2" t="s">
        <v>134</v>
      </c>
      <c r="AB41" s="2" t="s">
        <v>15</v>
      </c>
      <c r="AC41" s="2" t="s">
        <v>10</v>
      </c>
      <c r="AD41" s="4">
        <v>75</v>
      </c>
      <c r="AE41" s="2" t="s">
        <v>431</v>
      </c>
      <c r="AF41" s="2" t="s">
        <v>515</v>
      </c>
      <c r="AG41" s="2" t="s">
        <v>650</v>
      </c>
      <c r="AH41" s="2" t="s">
        <v>185</v>
      </c>
      <c r="AI41" s="2" t="s">
        <v>4</v>
      </c>
      <c r="AJ41" s="4" t="s">
        <v>7</v>
      </c>
      <c r="AK41" s="2" t="s">
        <v>40</v>
      </c>
      <c r="AL41" s="4"/>
      <c r="AN41" s="4"/>
      <c r="AP41" s="4"/>
      <c r="AQ41" s="4"/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Z41" s="2" t="s">
        <v>60</v>
      </c>
    </row>
    <row r="42" spans="2:52" x14ac:dyDescent="0.15">
      <c r="B42" s="2" t="s">
        <v>207</v>
      </c>
      <c r="C42" s="2" t="s">
        <v>3082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18</v>
      </c>
      <c r="J42" s="4" t="str">
        <f>VLOOKUP(I42,citySet!$B$5:$C$46,2,0)</f>
        <v>洛阳</v>
      </c>
      <c r="K42" s="2" t="s">
        <v>572</v>
      </c>
      <c r="L42" s="2" t="s">
        <v>655</v>
      </c>
      <c r="M42" s="2" t="s">
        <v>656</v>
      </c>
      <c r="N42" s="4"/>
      <c r="O42" s="2" t="s">
        <v>466</v>
      </c>
      <c r="P42" s="2" t="s">
        <v>466</v>
      </c>
      <c r="Q42" s="4">
        <v>0</v>
      </c>
      <c r="R42" s="2" t="s">
        <v>370</v>
      </c>
      <c r="S42" s="2" t="s">
        <v>373</v>
      </c>
      <c r="T42" s="2" t="s">
        <v>326</v>
      </c>
      <c r="U42" s="2" t="s">
        <v>496</v>
      </c>
      <c r="V42" s="2" t="s">
        <v>5</v>
      </c>
      <c r="W42" s="4">
        <v>2</v>
      </c>
      <c r="X42" s="2" t="s">
        <v>2983</v>
      </c>
      <c r="Y42" s="4">
        <v>0</v>
      </c>
      <c r="Z42" s="4" t="s">
        <v>39</v>
      </c>
      <c r="AA42" s="2" t="s">
        <v>60</v>
      </c>
      <c r="AB42" s="2" t="s">
        <v>235</v>
      </c>
      <c r="AC42" s="2" t="s">
        <v>261</v>
      </c>
      <c r="AD42" s="4">
        <v>77</v>
      </c>
      <c r="AE42" s="2" t="s">
        <v>515</v>
      </c>
      <c r="AF42" s="2" t="s">
        <v>481</v>
      </c>
      <c r="AG42" s="2" t="s">
        <v>654</v>
      </c>
      <c r="AH42" s="2" t="s">
        <v>185</v>
      </c>
      <c r="AI42" s="2" t="s">
        <v>226</v>
      </c>
      <c r="AJ42" s="4"/>
      <c r="AL42" s="4"/>
      <c r="AN42" s="4"/>
      <c r="AP42" s="4"/>
      <c r="AQ42" s="4"/>
      <c r="AS42" s="4">
        <v>2</v>
      </c>
      <c r="AT42" s="4">
        <v>1</v>
      </c>
      <c r="AU42" s="4">
        <v>2</v>
      </c>
      <c r="AV42" s="4">
        <v>0</v>
      </c>
      <c r="AW42" s="4">
        <v>3</v>
      </c>
      <c r="AX42" s="4">
        <v>3</v>
      </c>
      <c r="AZ42" s="2" t="s">
        <v>60</v>
      </c>
    </row>
    <row r="43" spans="2:52" x14ac:dyDescent="0.15">
      <c r="B43" s="2" t="s">
        <v>21</v>
      </c>
      <c r="C43" s="2" t="s">
        <v>657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32</v>
      </c>
      <c r="J43" s="4" t="str">
        <f>VLOOKUP(I43,citySet!$B$5:$C$46,2,0)</f>
        <v>小沛</v>
      </c>
      <c r="K43" s="2" t="s">
        <v>572</v>
      </c>
      <c r="L43" s="2" t="s">
        <v>660</v>
      </c>
      <c r="M43" s="2" t="s">
        <v>661</v>
      </c>
      <c r="N43" s="4"/>
      <c r="O43" s="2" t="s">
        <v>603</v>
      </c>
      <c r="P43" s="2" t="s">
        <v>603</v>
      </c>
      <c r="Q43" s="4">
        <v>0</v>
      </c>
      <c r="R43" s="2" t="s">
        <v>370</v>
      </c>
      <c r="S43" s="2" t="s">
        <v>1257</v>
      </c>
      <c r="T43" s="2" t="s">
        <v>96</v>
      </c>
      <c r="U43" s="2" t="s">
        <v>659</v>
      </c>
      <c r="V43" s="2" t="s">
        <v>5</v>
      </c>
      <c r="W43" s="4">
        <v>2</v>
      </c>
      <c r="X43" s="2" t="s">
        <v>2983</v>
      </c>
      <c r="Y43" s="4">
        <v>0</v>
      </c>
      <c r="Z43" s="4" t="s">
        <v>39</v>
      </c>
      <c r="AA43" s="2" t="s">
        <v>60</v>
      </c>
      <c r="AB43" s="2" t="s">
        <v>189</v>
      </c>
      <c r="AC43" s="2" t="s">
        <v>105</v>
      </c>
      <c r="AD43" s="4">
        <v>68</v>
      </c>
      <c r="AE43" s="2" t="s">
        <v>431</v>
      </c>
      <c r="AF43" s="2" t="s">
        <v>391</v>
      </c>
      <c r="AG43" s="2" t="s">
        <v>658</v>
      </c>
      <c r="AH43" s="2" t="s">
        <v>185</v>
      </c>
      <c r="AI43" s="2" t="s">
        <v>207</v>
      </c>
      <c r="AJ43" s="4"/>
      <c r="AL43" s="4"/>
      <c r="AN43" s="4"/>
      <c r="AP43" s="4"/>
      <c r="AQ43" s="4"/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Z43" s="2" t="s">
        <v>60</v>
      </c>
    </row>
    <row r="44" spans="2:52" x14ac:dyDescent="0.15">
      <c r="B44" s="2" t="s">
        <v>126</v>
      </c>
      <c r="C44" s="2" t="s">
        <v>662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5</v>
      </c>
      <c r="J44" s="4" t="str">
        <f>VLOOKUP(I44,citySet!$B$5:$C$46,2,0)</f>
        <v>长沙</v>
      </c>
      <c r="K44" s="2" t="s">
        <v>665</v>
      </c>
      <c r="L44" s="2" t="s">
        <v>666</v>
      </c>
      <c r="N44" s="4"/>
      <c r="O44" s="2" t="s">
        <v>663</v>
      </c>
      <c r="P44" s="2" t="s">
        <v>663</v>
      </c>
      <c r="Q44" s="4">
        <v>0</v>
      </c>
      <c r="R44" s="2" t="s">
        <v>370</v>
      </c>
      <c r="S44" s="2" t="s">
        <v>435</v>
      </c>
      <c r="T44" s="2" t="s">
        <v>476</v>
      </c>
      <c r="U44" s="2" t="s">
        <v>544</v>
      </c>
      <c r="V44" s="2" t="s">
        <v>20</v>
      </c>
      <c r="W44" s="4">
        <v>2</v>
      </c>
      <c r="X44" s="2" t="s">
        <v>2983</v>
      </c>
      <c r="Y44" s="4">
        <v>0</v>
      </c>
      <c r="Z44" s="4" t="s">
        <v>39</v>
      </c>
      <c r="AA44" s="2" t="s">
        <v>60</v>
      </c>
      <c r="AB44" s="2" t="s">
        <v>254</v>
      </c>
      <c r="AC44" s="2" t="s">
        <v>153</v>
      </c>
      <c r="AD44" s="4">
        <v>38</v>
      </c>
      <c r="AE44" s="2" t="s">
        <v>208</v>
      </c>
      <c r="AF44" s="2" t="s">
        <v>19</v>
      </c>
      <c r="AG44" s="2" t="s">
        <v>453</v>
      </c>
      <c r="AH44" s="2" t="s">
        <v>185</v>
      </c>
      <c r="AI44" s="2" t="s">
        <v>21</v>
      </c>
      <c r="AJ44" s="4"/>
      <c r="AL44" s="4"/>
      <c r="AN44" s="4"/>
      <c r="AP44" s="4"/>
      <c r="AQ44" s="4"/>
      <c r="AS44" s="4">
        <v>0</v>
      </c>
      <c r="AT44" s="4">
        <v>2</v>
      </c>
      <c r="AU44" s="4">
        <v>0</v>
      </c>
      <c r="AV44" s="4">
        <v>0</v>
      </c>
      <c r="AW44" s="4">
        <v>2</v>
      </c>
      <c r="AX44" s="4">
        <v>0</v>
      </c>
      <c r="AZ44" s="2" t="s">
        <v>60</v>
      </c>
    </row>
    <row r="45" spans="2:52" x14ac:dyDescent="0.15">
      <c r="B45" s="2" t="s">
        <v>237</v>
      </c>
      <c r="C45" s="2" t="s">
        <v>169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107</v>
      </c>
      <c r="J45" s="4" t="str">
        <f>VLOOKUP(I45,citySet!$B$5:$C$46,2,0)</f>
        <v>天水</v>
      </c>
      <c r="K45" s="2" t="s">
        <v>572</v>
      </c>
      <c r="L45" s="2" t="s">
        <v>669</v>
      </c>
      <c r="M45" s="2" t="s">
        <v>670</v>
      </c>
      <c r="N45" s="4"/>
      <c r="O45" s="2" t="s">
        <v>90</v>
      </c>
      <c r="P45" s="2" t="s">
        <v>90</v>
      </c>
      <c r="Q45" s="4">
        <v>0</v>
      </c>
      <c r="R45" s="2" t="s">
        <v>370</v>
      </c>
      <c r="S45" s="2" t="s">
        <v>702</v>
      </c>
      <c r="T45" s="2" t="s">
        <v>83</v>
      </c>
      <c r="U45" s="2" t="s">
        <v>667</v>
      </c>
      <c r="V45" s="2" t="s">
        <v>200</v>
      </c>
      <c r="W45" s="4">
        <v>2</v>
      </c>
      <c r="X45" s="2" t="s">
        <v>2983</v>
      </c>
      <c r="Y45" s="4">
        <v>0</v>
      </c>
      <c r="Z45" s="4" t="s">
        <v>39</v>
      </c>
      <c r="AA45" s="2" t="s">
        <v>60</v>
      </c>
      <c r="AB45" s="2" t="s">
        <v>444</v>
      </c>
      <c r="AC45" s="2" t="s">
        <v>123</v>
      </c>
      <c r="AD45" s="4">
        <v>19</v>
      </c>
      <c r="AE45" s="2" t="s">
        <v>10</v>
      </c>
      <c r="AF45" s="2" t="s">
        <v>204</v>
      </c>
      <c r="AG45" s="2" t="s">
        <v>456</v>
      </c>
      <c r="AH45" s="2" t="s">
        <v>185</v>
      </c>
      <c r="AI45" s="2" t="s">
        <v>126</v>
      </c>
      <c r="AJ45" s="4"/>
      <c r="AL45" s="4"/>
      <c r="AN45" s="4"/>
      <c r="AP45" s="4"/>
      <c r="AQ45" s="4"/>
      <c r="AS45" s="4">
        <v>1</v>
      </c>
      <c r="AT45" s="4">
        <v>2</v>
      </c>
      <c r="AU45" s="4">
        <v>0</v>
      </c>
      <c r="AV45" s="4">
        <v>2</v>
      </c>
      <c r="AW45" s="4">
        <v>0</v>
      </c>
      <c r="AX45" s="4">
        <v>0</v>
      </c>
      <c r="AZ45" s="2" t="s">
        <v>60</v>
      </c>
    </row>
    <row r="46" spans="2:52" x14ac:dyDescent="0.15">
      <c r="B46" s="2" t="s">
        <v>98</v>
      </c>
      <c r="C46" s="2" t="s">
        <v>671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20</v>
      </c>
      <c r="J46" s="4" t="str">
        <f>VLOOKUP(I46,citySet!$B$5:$C$46,2,0)</f>
        <v>濮阳</v>
      </c>
      <c r="K46" s="2" t="s">
        <v>572</v>
      </c>
      <c r="L46" s="2" t="s">
        <v>676</v>
      </c>
      <c r="N46" s="4"/>
      <c r="O46" s="2" t="s">
        <v>672</v>
      </c>
      <c r="P46" s="2" t="s">
        <v>672</v>
      </c>
      <c r="Q46" s="4">
        <v>0</v>
      </c>
      <c r="R46" s="2" t="s">
        <v>370</v>
      </c>
      <c r="S46" s="2" t="s">
        <v>707</v>
      </c>
      <c r="T46" s="2" t="s">
        <v>674</v>
      </c>
      <c r="U46" s="2" t="s">
        <v>675</v>
      </c>
      <c r="V46" s="2" t="s">
        <v>220</v>
      </c>
      <c r="W46" s="4">
        <v>2</v>
      </c>
      <c r="X46" s="2" t="s">
        <v>2983</v>
      </c>
      <c r="Y46" s="4">
        <v>0</v>
      </c>
      <c r="Z46" s="4" t="s">
        <v>39</v>
      </c>
      <c r="AA46" s="2" t="s">
        <v>60</v>
      </c>
      <c r="AB46" s="2" t="s">
        <v>21</v>
      </c>
      <c r="AC46" s="2" t="s">
        <v>432</v>
      </c>
      <c r="AD46" s="4">
        <v>21</v>
      </c>
      <c r="AE46" s="2" t="s">
        <v>204</v>
      </c>
      <c r="AF46" s="2" t="s">
        <v>233</v>
      </c>
      <c r="AG46" s="2" t="s">
        <v>467</v>
      </c>
      <c r="AH46" s="2" t="s">
        <v>185</v>
      </c>
      <c r="AI46" s="2" t="s">
        <v>237</v>
      </c>
      <c r="AJ46" s="4"/>
      <c r="AL46" s="4"/>
      <c r="AN46" s="4"/>
      <c r="AP46" s="4"/>
      <c r="AQ46" s="4"/>
      <c r="AS46" s="4">
        <v>0</v>
      </c>
      <c r="AT46" s="4">
        <v>1</v>
      </c>
      <c r="AU46" s="4">
        <v>1</v>
      </c>
      <c r="AV46" s="4">
        <v>0</v>
      </c>
      <c r="AW46" s="4">
        <v>0</v>
      </c>
      <c r="AX46" s="4">
        <v>0</v>
      </c>
      <c r="AZ46" s="2" t="s">
        <v>60</v>
      </c>
    </row>
    <row r="47" spans="2:52" x14ac:dyDescent="0.15">
      <c r="B47" s="2" t="s">
        <v>99</v>
      </c>
      <c r="C47" s="2" t="s">
        <v>628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36</v>
      </c>
      <c r="J47" s="4" t="str">
        <f>VLOOKUP(I47,citySet!$B$5:$C$46,2,0)</f>
        <v>晋阳</v>
      </c>
      <c r="K47" s="2" t="s">
        <v>572</v>
      </c>
      <c r="L47" s="2" t="s">
        <v>680</v>
      </c>
      <c r="M47" s="2" t="s">
        <v>681</v>
      </c>
      <c r="N47" s="4"/>
      <c r="O47" s="2" t="s">
        <v>678</v>
      </c>
      <c r="P47" s="2" t="s">
        <v>678</v>
      </c>
      <c r="Q47" s="4">
        <v>0</v>
      </c>
      <c r="R47" s="2" t="s">
        <v>370</v>
      </c>
      <c r="S47" s="2" t="s">
        <v>505</v>
      </c>
      <c r="T47" s="2" t="s">
        <v>438</v>
      </c>
      <c r="U47" s="2" t="s">
        <v>679</v>
      </c>
      <c r="V47" s="2" t="s">
        <v>95</v>
      </c>
      <c r="W47" s="4">
        <v>2</v>
      </c>
      <c r="X47" s="2" t="s">
        <v>2983</v>
      </c>
      <c r="Y47" s="4">
        <v>0</v>
      </c>
      <c r="Z47" s="4" t="s">
        <v>39</v>
      </c>
      <c r="AA47" s="2" t="s">
        <v>60</v>
      </c>
      <c r="AB47" s="2" t="s">
        <v>367</v>
      </c>
      <c r="AC47" s="2" t="s">
        <v>444</v>
      </c>
      <c r="AD47" s="4">
        <v>79</v>
      </c>
      <c r="AE47" s="2" t="s">
        <v>88</v>
      </c>
      <c r="AF47" s="2" t="s">
        <v>481</v>
      </c>
      <c r="AG47" s="2" t="s">
        <v>677</v>
      </c>
      <c r="AH47" s="2" t="s">
        <v>185</v>
      </c>
      <c r="AI47" s="2" t="s">
        <v>98</v>
      </c>
      <c r="AJ47" s="4"/>
      <c r="AL47" s="4"/>
      <c r="AN47" s="4"/>
      <c r="AP47" s="4"/>
      <c r="AQ47" s="4"/>
      <c r="AS47" s="4">
        <v>2</v>
      </c>
      <c r="AT47" s="4">
        <v>1</v>
      </c>
      <c r="AU47" s="4">
        <v>2</v>
      </c>
      <c r="AV47" s="4">
        <v>1</v>
      </c>
      <c r="AW47" s="4">
        <v>1</v>
      </c>
      <c r="AX47" s="4">
        <v>0</v>
      </c>
      <c r="AZ47" s="2" t="s">
        <v>60</v>
      </c>
    </row>
    <row r="48" spans="2:52" x14ac:dyDescent="0.15">
      <c r="B48" s="2" t="s">
        <v>100</v>
      </c>
      <c r="C48" s="2" t="s">
        <v>682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107</v>
      </c>
      <c r="J48" s="4" t="str">
        <f>VLOOKUP(I48,citySet!$B$5:$C$46,2,0)</f>
        <v>天水</v>
      </c>
      <c r="K48" s="2" t="s">
        <v>572</v>
      </c>
      <c r="L48" s="2" t="s">
        <v>686</v>
      </c>
      <c r="N48" s="4"/>
      <c r="O48" s="2" t="s">
        <v>684</v>
      </c>
      <c r="P48" s="2" t="s">
        <v>684</v>
      </c>
      <c r="Q48" s="4">
        <v>0</v>
      </c>
      <c r="R48" s="2" t="s">
        <v>370</v>
      </c>
      <c r="S48" s="2" t="s">
        <v>806</v>
      </c>
      <c r="T48" s="2" t="s">
        <v>685</v>
      </c>
      <c r="U48" s="2" t="s">
        <v>645</v>
      </c>
      <c r="V48" s="2" t="s">
        <v>5</v>
      </c>
      <c r="W48" s="4">
        <v>2</v>
      </c>
      <c r="X48" s="2" t="s">
        <v>2983</v>
      </c>
      <c r="Y48" s="4">
        <v>0</v>
      </c>
      <c r="Z48" s="4" t="s">
        <v>39</v>
      </c>
      <c r="AA48" s="2" t="s">
        <v>60</v>
      </c>
      <c r="AB48" s="2" t="s">
        <v>102</v>
      </c>
      <c r="AC48" s="2" t="s">
        <v>486</v>
      </c>
      <c r="AD48" s="4">
        <v>72</v>
      </c>
      <c r="AE48" s="2" t="s">
        <v>7</v>
      </c>
      <c r="AF48" s="2" t="s">
        <v>233</v>
      </c>
      <c r="AG48" s="2" t="s">
        <v>683</v>
      </c>
      <c r="AH48" s="2" t="s">
        <v>185</v>
      </c>
      <c r="AI48" s="2" t="s">
        <v>99</v>
      </c>
      <c r="AJ48" s="4"/>
      <c r="AL48" s="4"/>
      <c r="AN48" s="4"/>
      <c r="AP48" s="4"/>
      <c r="AQ48" s="4"/>
      <c r="AS48" s="4">
        <v>0</v>
      </c>
      <c r="AT48" s="4">
        <v>1</v>
      </c>
      <c r="AU48" s="4">
        <v>0</v>
      </c>
      <c r="AV48" s="4">
        <v>1</v>
      </c>
      <c r="AW48" s="4">
        <v>1</v>
      </c>
      <c r="AX48" s="4">
        <v>0</v>
      </c>
      <c r="AZ48" s="2" t="s">
        <v>60</v>
      </c>
    </row>
    <row r="49" spans="2:52" x14ac:dyDescent="0.15">
      <c r="B49" s="2" t="s">
        <v>101</v>
      </c>
      <c r="C49" s="2" t="s">
        <v>687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189</v>
      </c>
      <c r="J49" s="4" t="str">
        <f>VLOOKUP(I49,citySet!$B$5:$C$46,2,0)</f>
        <v>建业</v>
      </c>
      <c r="K49" s="2" t="s">
        <v>572</v>
      </c>
      <c r="L49" s="2" t="s">
        <v>693</v>
      </c>
      <c r="N49" s="4"/>
      <c r="O49" s="2" t="s">
        <v>688</v>
      </c>
      <c r="P49" s="2" t="s">
        <v>688</v>
      </c>
      <c r="Q49" s="4">
        <v>0</v>
      </c>
      <c r="R49" s="2" t="s">
        <v>370</v>
      </c>
      <c r="S49" s="2" t="s">
        <v>371</v>
      </c>
      <c r="T49" s="2" t="s">
        <v>94</v>
      </c>
      <c r="U49" s="2" t="s">
        <v>651</v>
      </c>
      <c r="V49" s="2" t="s">
        <v>1018</v>
      </c>
      <c r="W49" s="4">
        <v>2</v>
      </c>
      <c r="X49" s="2" t="s">
        <v>2983</v>
      </c>
      <c r="Y49" s="4">
        <v>0</v>
      </c>
      <c r="Z49" s="4" t="s">
        <v>39</v>
      </c>
      <c r="AA49" s="2" t="s">
        <v>60</v>
      </c>
      <c r="AB49" s="2" t="s">
        <v>93</v>
      </c>
      <c r="AC49" s="2" t="s">
        <v>404</v>
      </c>
      <c r="AD49" s="4">
        <v>46</v>
      </c>
      <c r="AE49" s="2" t="s">
        <v>269</v>
      </c>
      <c r="AF49" s="2" t="s">
        <v>201</v>
      </c>
      <c r="AG49" s="2" t="s">
        <v>325</v>
      </c>
      <c r="AH49" s="2" t="s">
        <v>185</v>
      </c>
      <c r="AI49" s="2" t="s">
        <v>100</v>
      </c>
      <c r="AJ49" s="4"/>
      <c r="AL49" s="4"/>
      <c r="AN49" s="4"/>
      <c r="AP49" s="4"/>
      <c r="AQ49" s="4"/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Z49" s="2" t="s">
        <v>60</v>
      </c>
    </row>
    <row r="50" spans="2:52" x14ac:dyDescent="0.15">
      <c r="B50" s="2" t="s">
        <v>102</v>
      </c>
      <c r="C50" s="2" t="s">
        <v>694</v>
      </c>
      <c r="D50" s="2" t="s">
        <v>35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35</v>
      </c>
      <c r="H50" s="4" t="str">
        <f>VLOOKUP(G50,corpsSet!$B$5:$C$46,2,0)</f>
        <v>刘备</v>
      </c>
      <c r="I50" s="4" t="s">
        <v>213</v>
      </c>
      <c r="J50" s="4" t="str">
        <f>VLOOKUP(I50,citySet!$B$5:$C$46,2,0)</f>
        <v>江陵</v>
      </c>
      <c r="K50" s="2" t="s">
        <v>572</v>
      </c>
      <c r="L50" s="2" t="s">
        <v>698</v>
      </c>
      <c r="M50" s="2" t="s">
        <v>699</v>
      </c>
      <c r="N50" s="4"/>
      <c r="O50" s="2" t="s">
        <v>674</v>
      </c>
      <c r="P50" s="2" t="s">
        <v>674</v>
      </c>
      <c r="Q50" s="4">
        <v>0</v>
      </c>
      <c r="R50" s="2" t="s">
        <v>370</v>
      </c>
      <c r="S50" s="2" t="s">
        <v>340</v>
      </c>
      <c r="T50" s="2" t="s">
        <v>585</v>
      </c>
      <c r="U50" s="2" t="s">
        <v>646</v>
      </c>
      <c r="V50" s="2" t="s">
        <v>454</v>
      </c>
      <c r="W50" s="4">
        <v>1</v>
      </c>
      <c r="X50" s="2" t="s">
        <v>365</v>
      </c>
      <c r="Y50" s="4">
        <v>0</v>
      </c>
      <c r="Z50" s="4" t="s">
        <v>39</v>
      </c>
      <c r="AA50" s="2" t="s">
        <v>185</v>
      </c>
      <c r="AB50" s="2" t="s">
        <v>397</v>
      </c>
      <c r="AC50" s="2" t="s">
        <v>88</v>
      </c>
      <c r="AD50" s="4">
        <v>76</v>
      </c>
      <c r="AE50" s="2" t="s">
        <v>485</v>
      </c>
      <c r="AF50" s="2" t="s">
        <v>7</v>
      </c>
      <c r="AG50" s="2" t="s">
        <v>615</v>
      </c>
      <c r="AH50" s="2" t="s">
        <v>185</v>
      </c>
      <c r="AI50" s="2" t="s">
        <v>101</v>
      </c>
      <c r="AJ50" s="4"/>
      <c r="AL50" s="4"/>
      <c r="AN50" s="4"/>
      <c r="AP50" s="4"/>
      <c r="AQ50" s="4"/>
      <c r="AS50" s="4">
        <v>2</v>
      </c>
      <c r="AT50" s="4">
        <v>2</v>
      </c>
      <c r="AU50" s="4">
        <v>3</v>
      </c>
      <c r="AV50" s="4">
        <v>1</v>
      </c>
      <c r="AW50" s="4">
        <v>0</v>
      </c>
      <c r="AX50" s="4">
        <v>0</v>
      </c>
      <c r="AZ50" s="2" t="s">
        <v>60</v>
      </c>
    </row>
    <row r="51" spans="2:52" x14ac:dyDescent="0.15">
      <c r="B51" s="2" t="s">
        <v>191</v>
      </c>
      <c r="C51" s="2" t="s">
        <v>700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126</v>
      </c>
      <c r="J51" s="4" t="str">
        <f>VLOOKUP(I51,citySet!$B$5:$C$46,2,0)</f>
        <v>成都</v>
      </c>
      <c r="K51" s="2" t="s">
        <v>572</v>
      </c>
      <c r="L51" s="2" t="s">
        <v>703</v>
      </c>
      <c r="M51" s="2" t="s">
        <v>704</v>
      </c>
      <c r="N51" s="4"/>
      <c r="O51" s="2" t="s">
        <v>503</v>
      </c>
      <c r="P51" s="2" t="s">
        <v>503</v>
      </c>
      <c r="Q51" s="4">
        <v>0</v>
      </c>
      <c r="R51" s="2" t="s">
        <v>370</v>
      </c>
      <c r="S51" s="2" t="s">
        <v>372</v>
      </c>
      <c r="T51" s="2" t="s">
        <v>579</v>
      </c>
      <c r="U51" s="2" t="s">
        <v>702</v>
      </c>
      <c r="V51" s="2" t="s">
        <v>434</v>
      </c>
      <c r="W51" s="4">
        <v>2</v>
      </c>
      <c r="X51" s="2" t="s">
        <v>2983</v>
      </c>
      <c r="Y51" s="4">
        <v>0</v>
      </c>
      <c r="Z51" s="4" t="s">
        <v>39</v>
      </c>
      <c r="AA51" s="2" t="s">
        <v>60</v>
      </c>
      <c r="AB51" s="2" t="s">
        <v>423</v>
      </c>
      <c r="AC51" s="2" t="s">
        <v>237</v>
      </c>
      <c r="AD51" s="4">
        <v>79</v>
      </c>
      <c r="AE51" s="2" t="s">
        <v>431</v>
      </c>
      <c r="AF51" s="2" t="s">
        <v>261</v>
      </c>
      <c r="AG51" s="2" t="s">
        <v>701</v>
      </c>
      <c r="AH51" s="2" t="s">
        <v>185</v>
      </c>
      <c r="AI51" s="2" t="s">
        <v>102</v>
      </c>
      <c r="AJ51" s="4"/>
      <c r="AL51" s="4"/>
      <c r="AN51" s="4"/>
      <c r="AP51" s="4"/>
      <c r="AQ51" s="4"/>
      <c r="AS51" s="4">
        <v>0</v>
      </c>
      <c r="AT51" s="4">
        <v>0</v>
      </c>
      <c r="AU51" s="4">
        <v>1</v>
      </c>
      <c r="AV51" s="4">
        <v>0</v>
      </c>
      <c r="AW51" s="4">
        <v>2</v>
      </c>
      <c r="AX51" s="4">
        <v>1</v>
      </c>
      <c r="AZ51" s="2" t="s">
        <v>60</v>
      </c>
    </row>
    <row r="52" spans="2:52" x14ac:dyDescent="0.15">
      <c r="B52" s="2" t="s">
        <v>414</v>
      </c>
      <c r="C52" s="2" t="s">
        <v>705</v>
      </c>
      <c r="D52" s="2" t="s">
        <v>20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20</v>
      </c>
      <c r="H52" s="4" t="str">
        <f>VLOOKUP(G52,corpsSet!$B$5:$C$46,2,0)</f>
        <v>公孙瓒</v>
      </c>
      <c r="I52" s="4" t="s">
        <v>35</v>
      </c>
      <c r="J52" s="4" t="str">
        <f>VLOOKUP(I52,citySet!$B$5:$C$46,2,0)</f>
        <v>北平</v>
      </c>
      <c r="K52" s="2" t="s">
        <v>572</v>
      </c>
      <c r="L52" s="2" t="s">
        <v>709</v>
      </c>
      <c r="N52" s="4"/>
      <c r="O52" s="2" t="s">
        <v>706</v>
      </c>
      <c r="P52" s="2" t="s">
        <v>706</v>
      </c>
      <c r="Q52" s="4">
        <v>0</v>
      </c>
      <c r="R52" s="2" t="s">
        <v>370</v>
      </c>
      <c r="S52" s="2" t="s">
        <v>707</v>
      </c>
      <c r="T52" s="2" t="s">
        <v>394</v>
      </c>
      <c r="U52" s="2" t="s">
        <v>90</v>
      </c>
      <c r="V52" s="2" t="s">
        <v>382</v>
      </c>
      <c r="W52" s="4">
        <v>1</v>
      </c>
      <c r="X52" s="2" t="s">
        <v>365</v>
      </c>
      <c r="Y52" s="4">
        <v>0</v>
      </c>
      <c r="Z52" s="4" t="s">
        <v>39</v>
      </c>
      <c r="AA52" s="2" t="s">
        <v>195</v>
      </c>
      <c r="AB52" s="2" t="s">
        <v>257</v>
      </c>
      <c r="AC52" s="2" t="s">
        <v>444</v>
      </c>
      <c r="AD52" s="4">
        <v>31</v>
      </c>
      <c r="AE52" s="2" t="s">
        <v>237</v>
      </c>
      <c r="AF52" s="2" t="s">
        <v>233</v>
      </c>
      <c r="AG52" s="2" t="s">
        <v>487</v>
      </c>
      <c r="AH52" s="2" t="s">
        <v>185</v>
      </c>
      <c r="AI52" s="2" t="s">
        <v>191</v>
      </c>
      <c r="AJ52" s="4"/>
      <c r="AL52" s="4"/>
      <c r="AN52" s="4"/>
      <c r="AP52" s="4"/>
      <c r="AQ52" s="4"/>
      <c r="AS52" s="4">
        <v>0</v>
      </c>
      <c r="AT52" s="4">
        <v>0</v>
      </c>
      <c r="AU52" s="4">
        <v>0</v>
      </c>
      <c r="AV52" s="4">
        <v>2</v>
      </c>
      <c r="AW52" s="4">
        <v>0</v>
      </c>
      <c r="AX52" s="4">
        <v>0</v>
      </c>
      <c r="AZ52" s="2" t="s">
        <v>60</v>
      </c>
    </row>
    <row r="53" spans="2:52" x14ac:dyDescent="0.15">
      <c r="B53" s="2" t="s">
        <v>233</v>
      </c>
      <c r="C53" s="2" t="s">
        <v>3083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36</v>
      </c>
      <c r="J53" s="4" t="str">
        <f>VLOOKUP(I53,citySet!$B$5:$C$46,2,0)</f>
        <v>晋阳</v>
      </c>
      <c r="K53" s="2" t="s">
        <v>572</v>
      </c>
      <c r="L53" s="2" t="s">
        <v>714</v>
      </c>
      <c r="M53" s="2" t="s">
        <v>715</v>
      </c>
      <c r="N53" s="4"/>
      <c r="O53" s="2" t="s">
        <v>711</v>
      </c>
      <c r="P53" s="2" t="s">
        <v>711</v>
      </c>
      <c r="Q53" s="4">
        <v>0</v>
      </c>
      <c r="R53" s="2" t="s">
        <v>370</v>
      </c>
      <c r="S53" s="2" t="s">
        <v>564</v>
      </c>
      <c r="T53" s="2" t="s">
        <v>712</v>
      </c>
      <c r="U53" s="2" t="s">
        <v>215</v>
      </c>
      <c r="V53" s="2" t="s">
        <v>219</v>
      </c>
      <c r="W53" s="4">
        <v>2</v>
      </c>
      <c r="X53" s="2" t="s">
        <v>2983</v>
      </c>
      <c r="Y53" s="4">
        <v>0</v>
      </c>
      <c r="Z53" s="4" t="s">
        <v>39</v>
      </c>
      <c r="AA53" s="2" t="s">
        <v>60</v>
      </c>
      <c r="AB53" s="2" t="s">
        <v>367</v>
      </c>
      <c r="AC53" s="2" t="s">
        <v>444</v>
      </c>
      <c r="AD53" s="4">
        <v>70</v>
      </c>
      <c r="AE53" s="2" t="s">
        <v>554</v>
      </c>
      <c r="AF53" s="2" t="s">
        <v>515</v>
      </c>
      <c r="AG53" s="2" t="s">
        <v>710</v>
      </c>
      <c r="AH53" s="2" t="s">
        <v>185</v>
      </c>
      <c r="AI53" s="2" t="s">
        <v>196</v>
      </c>
      <c r="AJ53" s="4"/>
      <c r="AK53" s="2" t="s">
        <v>713</v>
      </c>
      <c r="AL53" s="4"/>
      <c r="AN53" s="4"/>
      <c r="AP53" s="4"/>
      <c r="AQ53" s="4"/>
      <c r="AS53" s="4">
        <v>2</v>
      </c>
      <c r="AT53" s="4">
        <v>1</v>
      </c>
      <c r="AU53" s="4">
        <v>2</v>
      </c>
      <c r="AV53" s="4">
        <v>1</v>
      </c>
      <c r="AW53" s="4">
        <v>0</v>
      </c>
      <c r="AX53" s="4">
        <v>1</v>
      </c>
      <c r="AZ53" s="2" t="s">
        <v>60</v>
      </c>
    </row>
    <row r="54" spans="2:52" x14ac:dyDescent="0.15">
      <c r="B54" s="2" t="s">
        <v>4</v>
      </c>
      <c r="C54" s="2" t="s">
        <v>716</v>
      </c>
      <c r="D54" s="2" t="s">
        <v>33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33</v>
      </c>
      <c r="H54" s="4" t="str">
        <f>VLOOKUP(G54,corpsSet!$B$5:$C$46,2,0)</f>
        <v>刘焉</v>
      </c>
      <c r="I54" s="4" t="s">
        <v>126</v>
      </c>
      <c r="J54" s="4" t="str">
        <f>VLOOKUP(I54,citySet!$B$5:$C$46,2,0)</f>
        <v>成都</v>
      </c>
      <c r="K54" s="2" t="s">
        <v>572</v>
      </c>
      <c r="L54" s="2" t="s">
        <v>718</v>
      </c>
      <c r="N54" s="4"/>
      <c r="O54" s="2" t="s">
        <v>717</v>
      </c>
      <c r="P54" s="2" t="s">
        <v>717</v>
      </c>
      <c r="Q54" s="4">
        <v>0</v>
      </c>
      <c r="R54" s="2" t="s">
        <v>370</v>
      </c>
      <c r="S54" s="2" t="s">
        <v>585</v>
      </c>
      <c r="T54" s="2" t="s">
        <v>549</v>
      </c>
      <c r="U54" s="2" t="s">
        <v>417</v>
      </c>
      <c r="V54" s="2" t="s">
        <v>432</v>
      </c>
      <c r="W54" s="4">
        <v>1</v>
      </c>
      <c r="X54" s="2" t="s">
        <v>365</v>
      </c>
      <c r="Y54" s="4">
        <v>6</v>
      </c>
      <c r="Z54" s="4" t="s">
        <v>614</v>
      </c>
      <c r="AA54" s="2" t="s">
        <v>185</v>
      </c>
      <c r="AB54" s="2" t="s">
        <v>25</v>
      </c>
      <c r="AC54" s="2" t="s">
        <v>119</v>
      </c>
      <c r="AD54" s="4">
        <v>78</v>
      </c>
      <c r="AE54" s="2" t="s">
        <v>329</v>
      </c>
      <c r="AF54" s="2" t="s">
        <v>261</v>
      </c>
      <c r="AG54" s="2" t="s">
        <v>325</v>
      </c>
      <c r="AH54" s="2" t="s">
        <v>185</v>
      </c>
      <c r="AI54" s="2" t="s">
        <v>233</v>
      </c>
      <c r="AJ54" s="4"/>
      <c r="AL54" s="4"/>
      <c r="AN54" s="4"/>
      <c r="AP54" s="4"/>
      <c r="AQ54" s="4"/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Z54" s="2" t="s">
        <v>60</v>
      </c>
    </row>
    <row r="55" spans="2:52" x14ac:dyDescent="0.15">
      <c r="B55" s="2" t="s">
        <v>7</v>
      </c>
      <c r="C55" s="2" t="s">
        <v>40</v>
      </c>
      <c r="D55" s="2" t="s">
        <v>10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10</v>
      </c>
      <c r="H55" s="4" t="str">
        <f>VLOOKUP(G55,corpsSet!$B$5:$C$46,2,0)</f>
        <v>王朗</v>
      </c>
      <c r="I55" s="4" t="s">
        <v>196</v>
      </c>
      <c r="J55" s="4" t="str">
        <f>VLOOKUP(I55,citySet!$B$5:$C$46,2,0)</f>
        <v>会稽</v>
      </c>
      <c r="K55" s="2" t="s">
        <v>572</v>
      </c>
      <c r="L55" s="2" t="s">
        <v>721</v>
      </c>
      <c r="M55" s="2" t="s">
        <v>722</v>
      </c>
      <c r="N55" s="4"/>
      <c r="O55" s="2" t="s">
        <v>7</v>
      </c>
      <c r="P55" s="2" t="s">
        <v>7</v>
      </c>
      <c r="Q55" s="4">
        <v>0</v>
      </c>
      <c r="R55" s="2" t="s">
        <v>370</v>
      </c>
      <c r="S55" s="2" t="s">
        <v>435</v>
      </c>
      <c r="T55" s="2" t="s">
        <v>394</v>
      </c>
      <c r="U55" s="2" t="s">
        <v>667</v>
      </c>
      <c r="V55" s="2" t="s">
        <v>219</v>
      </c>
      <c r="W55" s="4">
        <v>3</v>
      </c>
      <c r="X55" s="2" t="s">
        <v>2</v>
      </c>
      <c r="Y55" s="4">
        <v>0</v>
      </c>
      <c r="Z55" s="4" t="s">
        <v>39</v>
      </c>
      <c r="AA55" s="2" t="s">
        <v>185</v>
      </c>
      <c r="AB55" s="2" t="s">
        <v>191</v>
      </c>
      <c r="AC55" s="2" t="s">
        <v>220</v>
      </c>
      <c r="AD55" s="4">
        <v>79</v>
      </c>
      <c r="AE55" s="2" t="s">
        <v>235</v>
      </c>
      <c r="AF55" s="2" t="s">
        <v>7</v>
      </c>
      <c r="AG55" s="2" t="s">
        <v>330</v>
      </c>
      <c r="AH55" s="2" t="s">
        <v>185</v>
      </c>
      <c r="AI55" s="2" t="s">
        <v>4</v>
      </c>
      <c r="AJ55" s="4"/>
      <c r="AL55" s="4"/>
      <c r="AN55" s="4"/>
      <c r="AP55" s="4"/>
      <c r="AQ55" s="4"/>
      <c r="AS55" s="4">
        <v>0</v>
      </c>
      <c r="AT55" s="4">
        <v>1</v>
      </c>
      <c r="AU55" s="4">
        <v>0</v>
      </c>
      <c r="AV55" s="4">
        <v>0</v>
      </c>
      <c r="AW55" s="4">
        <v>0</v>
      </c>
      <c r="AX55" s="4">
        <v>0</v>
      </c>
      <c r="AZ55" s="2" t="s">
        <v>60</v>
      </c>
    </row>
    <row r="56" spans="2:52" x14ac:dyDescent="0.15">
      <c r="B56" s="2" t="s">
        <v>14</v>
      </c>
      <c r="C56" s="2" t="s">
        <v>723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36</v>
      </c>
      <c r="J56" s="4" t="str">
        <f>VLOOKUP(I56,citySet!$B$5:$C$46,2,0)</f>
        <v>晋阳</v>
      </c>
      <c r="K56" s="2" t="s">
        <v>727</v>
      </c>
      <c r="L56" s="2" t="s">
        <v>728</v>
      </c>
      <c r="M56" s="2" t="s">
        <v>729</v>
      </c>
      <c r="N56" s="4"/>
      <c r="O56" s="2" t="s">
        <v>724</v>
      </c>
      <c r="P56" s="2" t="s">
        <v>724</v>
      </c>
      <c r="Q56" s="4">
        <v>0</v>
      </c>
      <c r="R56" s="2" t="s">
        <v>370</v>
      </c>
      <c r="S56" s="2" t="s">
        <v>425</v>
      </c>
      <c r="T56" s="2" t="s">
        <v>725</v>
      </c>
      <c r="U56" s="2" t="s">
        <v>512</v>
      </c>
      <c r="V56" s="2" t="s">
        <v>189</v>
      </c>
      <c r="W56" s="4">
        <v>2</v>
      </c>
      <c r="X56" s="2" t="s">
        <v>2983</v>
      </c>
      <c r="Y56" s="4">
        <v>0</v>
      </c>
      <c r="Z56" s="4" t="s">
        <v>39</v>
      </c>
      <c r="AA56" s="2" t="s">
        <v>60</v>
      </c>
      <c r="AB56" s="2" t="s">
        <v>423</v>
      </c>
      <c r="AC56" s="2" t="s">
        <v>15</v>
      </c>
      <c r="AD56" s="4">
        <v>73</v>
      </c>
      <c r="AE56" s="2" t="s">
        <v>258</v>
      </c>
      <c r="AF56" s="2" t="s">
        <v>434</v>
      </c>
      <c r="AG56" s="2" t="s">
        <v>701</v>
      </c>
      <c r="AH56" s="2" t="s">
        <v>185</v>
      </c>
      <c r="AI56" s="2" t="s">
        <v>7</v>
      </c>
      <c r="AJ56" s="4"/>
      <c r="AL56" s="4"/>
      <c r="AN56" s="4"/>
      <c r="AP56" s="4"/>
      <c r="AQ56" s="4"/>
      <c r="AS56" s="4">
        <v>1</v>
      </c>
      <c r="AT56" s="4">
        <v>2</v>
      </c>
      <c r="AU56" s="4">
        <v>1</v>
      </c>
      <c r="AV56" s="4">
        <v>1</v>
      </c>
      <c r="AW56" s="4">
        <v>2</v>
      </c>
      <c r="AX56" s="4">
        <v>1</v>
      </c>
      <c r="AZ56" s="2" t="s">
        <v>60</v>
      </c>
    </row>
    <row r="57" spans="2:52" x14ac:dyDescent="0.15">
      <c r="B57" s="2" t="s">
        <v>19</v>
      </c>
      <c r="C57" s="2" t="s">
        <v>730</v>
      </c>
      <c r="D57" s="2" t="s">
        <v>208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208</v>
      </c>
      <c r="H57" s="4" t="str">
        <f>VLOOKUP(G57,corpsSet!$B$5:$C$46,2,0)</f>
        <v>何进</v>
      </c>
      <c r="I57" s="4" t="s">
        <v>104</v>
      </c>
      <c r="J57" s="4" t="str">
        <f>VLOOKUP(I57,citySet!$B$5:$C$46,2,0)</f>
        <v>长安</v>
      </c>
      <c r="K57" s="2" t="s">
        <v>734</v>
      </c>
      <c r="L57" s="2" t="s">
        <v>735</v>
      </c>
      <c r="M57" s="2" t="s">
        <v>736</v>
      </c>
      <c r="N57" s="4"/>
      <c r="O57" s="2" t="s">
        <v>731</v>
      </c>
      <c r="P57" s="2" t="s">
        <v>731</v>
      </c>
      <c r="Q57" s="4">
        <v>0</v>
      </c>
      <c r="R57" s="2" t="s">
        <v>370</v>
      </c>
      <c r="S57" s="2" t="s">
        <v>490</v>
      </c>
      <c r="T57" s="2" t="s">
        <v>372</v>
      </c>
      <c r="U57" s="2" t="s">
        <v>732</v>
      </c>
      <c r="V57" s="2" t="s">
        <v>15</v>
      </c>
      <c r="W57" s="4">
        <v>1</v>
      </c>
      <c r="X57" s="2" t="s">
        <v>365</v>
      </c>
      <c r="Y57" s="4">
        <v>7</v>
      </c>
      <c r="Z57" s="4" t="s">
        <v>3078</v>
      </c>
      <c r="AA57" s="2" t="s">
        <v>134</v>
      </c>
      <c r="AB57" s="2" t="s">
        <v>36</v>
      </c>
      <c r="AC57" s="2" t="s">
        <v>119</v>
      </c>
      <c r="AD57" s="4">
        <v>71</v>
      </c>
      <c r="AE57" s="2" t="s">
        <v>153</v>
      </c>
      <c r="AF57" s="2" t="s">
        <v>30</v>
      </c>
      <c r="AG57" s="2" t="s">
        <v>578</v>
      </c>
      <c r="AH57" s="2" t="s">
        <v>185</v>
      </c>
      <c r="AI57" s="2" t="s">
        <v>148</v>
      </c>
      <c r="AJ57" s="4"/>
      <c r="AL57" s="4"/>
      <c r="AN57" s="4"/>
      <c r="AP57" s="4"/>
      <c r="AQ57" s="4"/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Z57" s="2" t="s">
        <v>60</v>
      </c>
    </row>
    <row r="58" spans="2:52" x14ac:dyDescent="0.15">
      <c r="B58" s="2" t="s">
        <v>3</v>
      </c>
      <c r="C58" s="2" t="s">
        <v>737</v>
      </c>
      <c r="D58" s="2" t="s">
        <v>34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34</v>
      </c>
      <c r="H58" s="4" t="str">
        <f>VLOOKUP(G58,corpsSet!$B$5:$C$46,2,0)</f>
        <v>刘表</v>
      </c>
      <c r="I58" s="4" t="s">
        <v>119</v>
      </c>
      <c r="J58" s="4" t="str">
        <f>VLOOKUP(I58,citySet!$B$5:$C$46,2,0)</f>
        <v>襄阳</v>
      </c>
      <c r="K58" s="2" t="s">
        <v>742</v>
      </c>
      <c r="L58" s="2" t="s">
        <v>743</v>
      </c>
      <c r="M58" s="2" t="s">
        <v>744</v>
      </c>
      <c r="N58" s="4"/>
      <c r="O58" s="2" t="s">
        <v>126</v>
      </c>
      <c r="P58" s="2" t="s">
        <v>126</v>
      </c>
      <c r="Q58" s="4">
        <v>0</v>
      </c>
      <c r="R58" s="2" t="s">
        <v>370</v>
      </c>
      <c r="S58" s="2" t="s">
        <v>435</v>
      </c>
      <c r="T58" s="2" t="s">
        <v>476</v>
      </c>
      <c r="U58" s="2" t="s">
        <v>675</v>
      </c>
      <c r="V58" s="2" t="s">
        <v>126</v>
      </c>
      <c r="W58" s="4">
        <v>1</v>
      </c>
      <c r="X58" s="2" t="s">
        <v>365</v>
      </c>
      <c r="Y58" s="4">
        <v>7</v>
      </c>
      <c r="Z58" s="4" t="s">
        <v>3078</v>
      </c>
      <c r="AA58" s="2" t="s">
        <v>403</v>
      </c>
      <c r="AB58" s="2" t="s">
        <v>191</v>
      </c>
      <c r="AC58" s="2" t="s">
        <v>204</v>
      </c>
      <c r="AD58" s="4">
        <v>82</v>
      </c>
      <c r="AE58" s="2" t="s">
        <v>123</v>
      </c>
      <c r="AF58" s="2" t="s">
        <v>261</v>
      </c>
      <c r="AG58" s="2" t="s">
        <v>738</v>
      </c>
      <c r="AH58" s="2" t="s">
        <v>185</v>
      </c>
      <c r="AI58" s="2" t="s">
        <v>3</v>
      </c>
      <c r="AJ58" s="4"/>
      <c r="AK58" s="2" t="s">
        <v>739</v>
      </c>
      <c r="AL58" s="4"/>
      <c r="AN58" s="4"/>
      <c r="AP58" s="4"/>
      <c r="AQ58" s="4"/>
      <c r="AS58" s="4">
        <v>1</v>
      </c>
      <c r="AT58" s="4">
        <v>0</v>
      </c>
      <c r="AU58" s="4">
        <v>1</v>
      </c>
      <c r="AV58" s="4">
        <v>0</v>
      </c>
      <c r="AW58" s="4">
        <v>0</v>
      </c>
      <c r="AX58" s="4">
        <v>1</v>
      </c>
      <c r="AZ58" s="2" t="s">
        <v>60</v>
      </c>
    </row>
    <row r="59" spans="2:52" x14ac:dyDescent="0.15">
      <c r="B59" s="2" t="s">
        <v>254</v>
      </c>
      <c r="C59" s="2" t="s">
        <v>745</v>
      </c>
      <c r="D59" s="2" t="s">
        <v>34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34</v>
      </c>
      <c r="H59" s="4" t="str">
        <f>VLOOKUP(G59,corpsSet!$B$5:$C$46,2,0)</f>
        <v>刘表</v>
      </c>
      <c r="I59" s="4" t="s">
        <v>119</v>
      </c>
      <c r="J59" s="4" t="str">
        <f>VLOOKUP(I59,citySet!$B$5:$C$46,2,0)</f>
        <v>襄阳</v>
      </c>
      <c r="K59" s="2" t="s">
        <v>742</v>
      </c>
      <c r="L59" s="2" t="s">
        <v>746</v>
      </c>
      <c r="M59" s="2" t="s">
        <v>747</v>
      </c>
      <c r="N59" s="4"/>
      <c r="O59" s="2" t="s">
        <v>237</v>
      </c>
      <c r="P59" s="2" t="s">
        <v>237</v>
      </c>
      <c r="Q59" s="4">
        <v>0</v>
      </c>
      <c r="R59" s="2" t="s">
        <v>370</v>
      </c>
      <c r="S59" s="2" t="s">
        <v>435</v>
      </c>
      <c r="T59" s="2" t="s">
        <v>524</v>
      </c>
      <c r="U59" s="2" t="s">
        <v>380</v>
      </c>
      <c r="V59" s="2" t="s">
        <v>126</v>
      </c>
      <c r="W59" s="4">
        <v>1</v>
      </c>
      <c r="X59" s="2" t="s">
        <v>365</v>
      </c>
      <c r="Y59" s="4">
        <v>8</v>
      </c>
      <c r="Z59" s="4" t="s">
        <v>3079</v>
      </c>
      <c r="AA59" s="2" t="s">
        <v>185</v>
      </c>
      <c r="AB59" s="2" t="s">
        <v>321</v>
      </c>
      <c r="AC59" s="2" t="s">
        <v>95</v>
      </c>
      <c r="AD59" s="4">
        <v>88</v>
      </c>
      <c r="AE59" s="2" t="s">
        <v>554</v>
      </c>
      <c r="AF59" s="2" t="s">
        <v>515</v>
      </c>
      <c r="AG59" s="2" t="s">
        <v>433</v>
      </c>
      <c r="AH59" s="2" t="s">
        <v>185</v>
      </c>
      <c r="AI59" s="2" t="s">
        <v>3</v>
      </c>
      <c r="AJ59" s="4"/>
      <c r="AK59" s="2" t="s">
        <v>739</v>
      </c>
      <c r="AL59" s="4"/>
      <c r="AN59" s="4"/>
      <c r="AP59" s="4"/>
      <c r="AQ59" s="4"/>
      <c r="AS59" s="4">
        <v>1</v>
      </c>
      <c r="AT59" s="4">
        <v>0</v>
      </c>
      <c r="AU59" s="4">
        <v>3</v>
      </c>
      <c r="AV59" s="4">
        <v>0</v>
      </c>
      <c r="AW59" s="4">
        <v>1</v>
      </c>
      <c r="AX59" s="4">
        <v>1</v>
      </c>
      <c r="AZ59" s="2" t="s">
        <v>60</v>
      </c>
    </row>
    <row r="60" spans="2:52" x14ac:dyDescent="0.15">
      <c r="B60" s="2" t="s">
        <v>201</v>
      </c>
      <c r="C60" s="2" t="s">
        <v>748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200</v>
      </c>
      <c r="J60" s="4" t="str">
        <f>VLOOKUP(I60,citySet!$B$5:$C$46,2,0)</f>
        <v>庐江</v>
      </c>
      <c r="K60" s="2" t="s">
        <v>749</v>
      </c>
      <c r="L60" s="2" t="s">
        <v>750</v>
      </c>
      <c r="N60" s="4"/>
      <c r="O60" s="2" t="s">
        <v>530</v>
      </c>
      <c r="P60" s="2" t="s">
        <v>530</v>
      </c>
      <c r="Q60" s="4">
        <v>0</v>
      </c>
      <c r="R60" s="2" t="s">
        <v>370</v>
      </c>
      <c r="S60" s="2" t="s">
        <v>83</v>
      </c>
      <c r="T60" s="2" t="s">
        <v>504</v>
      </c>
      <c r="U60" s="2" t="s">
        <v>633</v>
      </c>
      <c r="V60" s="2" t="s">
        <v>1018</v>
      </c>
      <c r="W60" s="4">
        <v>2</v>
      </c>
      <c r="X60" s="2" t="s">
        <v>2983</v>
      </c>
      <c r="Y60" s="4">
        <v>0</v>
      </c>
      <c r="Z60" s="4" t="s">
        <v>39</v>
      </c>
      <c r="AA60" s="2" t="s">
        <v>60</v>
      </c>
      <c r="AB60" s="2" t="s">
        <v>233</v>
      </c>
      <c r="AC60" s="2" t="s">
        <v>257</v>
      </c>
      <c r="AD60" s="4">
        <v>41</v>
      </c>
      <c r="AE60" s="2" t="s">
        <v>208</v>
      </c>
      <c r="AF60" s="2" t="s">
        <v>14</v>
      </c>
      <c r="AG60" s="2" t="s">
        <v>562</v>
      </c>
      <c r="AH60" s="2" t="s">
        <v>185</v>
      </c>
      <c r="AI60" s="2" t="s">
        <v>254</v>
      </c>
      <c r="AJ60" s="4"/>
      <c r="AL60" s="4"/>
      <c r="AN60" s="4"/>
      <c r="AP60" s="4"/>
      <c r="AQ60" s="4"/>
      <c r="AS60" s="4">
        <v>1</v>
      </c>
      <c r="AT60" s="4">
        <v>2</v>
      </c>
      <c r="AU60" s="4">
        <v>0</v>
      </c>
      <c r="AV60" s="4">
        <v>0</v>
      </c>
      <c r="AW60" s="4">
        <v>0</v>
      </c>
      <c r="AX60" s="4">
        <v>0</v>
      </c>
      <c r="AZ60" s="2" t="s">
        <v>60</v>
      </c>
    </row>
    <row r="61" spans="2:52" x14ac:dyDescent="0.15">
      <c r="B61" s="2" t="s">
        <v>432</v>
      </c>
      <c r="C61" s="2" t="s">
        <v>3084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193</v>
      </c>
      <c r="J61" s="4" t="str">
        <f>VLOOKUP(I61,citySet!$B$5:$C$46,2,0)</f>
        <v>吴</v>
      </c>
      <c r="K61" s="2" t="s">
        <v>750</v>
      </c>
      <c r="L61" s="2" t="s">
        <v>752</v>
      </c>
      <c r="M61" s="2" t="s">
        <v>753</v>
      </c>
      <c r="N61" s="4"/>
      <c r="O61" s="2" t="s">
        <v>751</v>
      </c>
      <c r="P61" s="2" t="s">
        <v>751</v>
      </c>
      <c r="Q61" s="4">
        <v>0</v>
      </c>
      <c r="R61" s="2" t="s">
        <v>370</v>
      </c>
      <c r="S61" s="2" t="s">
        <v>562</v>
      </c>
      <c r="T61" s="2" t="s">
        <v>371</v>
      </c>
      <c r="U61" s="2" t="s">
        <v>570</v>
      </c>
      <c r="V61" s="2" t="s">
        <v>684</v>
      </c>
      <c r="W61" s="4">
        <v>2</v>
      </c>
      <c r="X61" s="2" t="s">
        <v>2983</v>
      </c>
      <c r="Y61" s="4">
        <v>0</v>
      </c>
      <c r="Z61" s="4" t="s">
        <v>39</v>
      </c>
      <c r="AA61" s="2" t="s">
        <v>60</v>
      </c>
      <c r="AB61" s="2" t="s">
        <v>106</v>
      </c>
      <c r="AC61" s="2" t="s">
        <v>193</v>
      </c>
      <c r="AD61" s="4">
        <v>71</v>
      </c>
      <c r="AE61" s="2" t="s">
        <v>431</v>
      </c>
      <c r="AF61" s="2" t="s">
        <v>321</v>
      </c>
      <c r="AG61" s="2" t="s">
        <v>590</v>
      </c>
      <c r="AH61" s="2" t="s">
        <v>185</v>
      </c>
      <c r="AI61" s="2" t="s">
        <v>201</v>
      </c>
      <c r="AJ61" s="4"/>
      <c r="AL61" s="4"/>
      <c r="AN61" s="4"/>
      <c r="AP61" s="4"/>
      <c r="AQ61" s="4"/>
      <c r="AS61" s="4">
        <v>0</v>
      </c>
      <c r="AT61" s="4">
        <v>0</v>
      </c>
      <c r="AU61" s="4">
        <v>0</v>
      </c>
      <c r="AV61" s="4">
        <v>0</v>
      </c>
      <c r="AW61" s="4">
        <v>1</v>
      </c>
      <c r="AX61" s="4">
        <v>1</v>
      </c>
      <c r="AZ61" s="2" t="s">
        <v>60</v>
      </c>
    </row>
    <row r="62" spans="2:52" x14ac:dyDescent="0.15">
      <c r="B62" s="2" t="s">
        <v>485</v>
      </c>
      <c r="C62" s="2" t="s">
        <v>754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18</v>
      </c>
      <c r="J62" s="4" t="str">
        <f>VLOOKUP(I62,citySet!$B$5:$C$46,2,0)</f>
        <v>洛阳</v>
      </c>
      <c r="K62" s="2" t="s">
        <v>749</v>
      </c>
      <c r="L62" s="2" t="s">
        <v>755</v>
      </c>
      <c r="M62" s="2" t="s">
        <v>756</v>
      </c>
      <c r="N62" s="4"/>
      <c r="O62" s="2" t="s">
        <v>327</v>
      </c>
      <c r="P62" s="2" t="s">
        <v>327</v>
      </c>
      <c r="Q62" s="4">
        <v>0</v>
      </c>
      <c r="R62" s="2" t="s">
        <v>370</v>
      </c>
      <c r="S62" s="2" t="s">
        <v>479</v>
      </c>
      <c r="T62" s="2" t="s">
        <v>565</v>
      </c>
      <c r="U62" s="2" t="s">
        <v>556</v>
      </c>
      <c r="V62" s="2" t="s">
        <v>208</v>
      </c>
      <c r="W62" s="4">
        <v>2</v>
      </c>
      <c r="X62" s="2" t="s">
        <v>2983</v>
      </c>
      <c r="Y62" s="4">
        <v>0</v>
      </c>
      <c r="Z62" s="4" t="s">
        <v>39</v>
      </c>
      <c r="AA62" s="2" t="s">
        <v>60</v>
      </c>
      <c r="AB62" s="2" t="s">
        <v>431</v>
      </c>
      <c r="AC62" s="2" t="s">
        <v>269</v>
      </c>
      <c r="AD62" s="4">
        <v>84</v>
      </c>
      <c r="AE62" s="2" t="s">
        <v>256</v>
      </c>
      <c r="AF62" s="2" t="s">
        <v>481</v>
      </c>
      <c r="AG62" s="2" t="s">
        <v>534</v>
      </c>
      <c r="AH62" s="2" t="s">
        <v>185</v>
      </c>
      <c r="AI62" s="2" t="s">
        <v>432</v>
      </c>
      <c r="AJ62" s="4"/>
      <c r="AL62" s="4"/>
      <c r="AN62" s="4"/>
      <c r="AP62" s="4"/>
      <c r="AQ62" s="4"/>
      <c r="AS62" s="4">
        <v>2</v>
      </c>
      <c r="AT62" s="4">
        <v>1</v>
      </c>
      <c r="AU62" s="4">
        <v>2</v>
      </c>
      <c r="AV62" s="4">
        <v>1</v>
      </c>
      <c r="AW62" s="4">
        <v>2</v>
      </c>
      <c r="AX62" s="4">
        <v>1</v>
      </c>
      <c r="AZ62" s="2" t="s">
        <v>60</v>
      </c>
    </row>
    <row r="63" spans="2:52" x14ac:dyDescent="0.15">
      <c r="B63" s="2" t="s">
        <v>486</v>
      </c>
      <c r="C63" s="2" t="s">
        <v>757</v>
      </c>
      <c r="D63" s="2" t="s">
        <v>25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25</v>
      </c>
      <c r="H63" s="4" t="str">
        <f>VLOOKUP(G63,corpsSet!$B$5:$C$46,2,0)</f>
        <v>张角</v>
      </c>
      <c r="I63" s="4" t="s">
        <v>20</v>
      </c>
      <c r="J63" s="4" t="str">
        <f>VLOOKUP(I63,citySet!$B$5:$C$46,2,0)</f>
        <v>濮阳</v>
      </c>
      <c r="K63" s="2" t="s">
        <v>734</v>
      </c>
      <c r="L63" s="2" t="s">
        <v>760</v>
      </c>
      <c r="N63" s="4"/>
      <c r="O63" s="2" t="s">
        <v>758</v>
      </c>
      <c r="P63" s="2" t="s">
        <v>758</v>
      </c>
      <c r="Q63" s="4">
        <v>0</v>
      </c>
      <c r="R63" s="2" t="s">
        <v>370</v>
      </c>
      <c r="S63" s="2" t="s">
        <v>435</v>
      </c>
      <c r="T63" s="2" t="s">
        <v>759</v>
      </c>
      <c r="U63" s="2" t="s">
        <v>83</v>
      </c>
      <c r="V63" s="2" t="s">
        <v>34</v>
      </c>
      <c r="W63" s="4">
        <v>1</v>
      </c>
      <c r="X63" s="2" t="s">
        <v>365</v>
      </c>
      <c r="Y63" s="4">
        <v>0</v>
      </c>
      <c r="Z63" s="4" t="s">
        <v>39</v>
      </c>
      <c r="AA63" s="2" t="s">
        <v>403</v>
      </c>
      <c r="AB63" s="2" t="s">
        <v>201</v>
      </c>
      <c r="AC63" s="2" t="s">
        <v>454</v>
      </c>
      <c r="AD63" s="4">
        <v>36</v>
      </c>
      <c r="AE63" s="2" t="s">
        <v>32</v>
      </c>
      <c r="AF63" s="2" t="s">
        <v>103</v>
      </c>
      <c r="AG63" s="2" t="s">
        <v>438</v>
      </c>
      <c r="AH63" s="2" t="s">
        <v>185</v>
      </c>
      <c r="AI63" s="2" t="s">
        <v>485</v>
      </c>
      <c r="AJ63" s="4"/>
      <c r="AL63" s="4"/>
      <c r="AN63" s="4"/>
      <c r="AP63" s="4"/>
      <c r="AQ63" s="4"/>
      <c r="AS63" s="4">
        <v>1</v>
      </c>
      <c r="AT63" s="4">
        <v>2</v>
      </c>
      <c r="AU63" s="4">
        <v>0</v>
      </c>
      <c r="AV63" s="4">
        <v>0</v>
      </c>
      <c r="AW63" s="4">
        <v>0</v>
      </c>
      <c r="AX63" s="4">
        <v>0</v>
      </c>
      <c r="AZ63" s="2" t="s">
        <v>60</v>
      </c>
    </row>
    <row r="64" spans="2:52" x14ac:dyDescent="0.15">
      <c r="B64" s="2" t="s">
        <v>93</v>
      </c>
      <c r="C64" s="2" t="s">
        <v>761</v>
      </c>
      <c r="D64" s="2" t="s">
        <v>10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10</v>
      </c>
      <c r="H64" s="4" t="str">
        <f>VLOOKUP(G64,corpsSet!$B$5:$C$46,2,0)</f>
        <v>王朗</v>
      </c>
      <c r="I64" s="4" t="s">
        <v>196</v>
      </c>
      <c r="J64" s="4" t="str">
        <f>VLOOKUP(I64,citySet!$B$5:$C$46,2,0)</f>
        <v>会稽</v>
      </c>
      <c r="K64" s="2" t="s">
        <v>750</v>
      </c>
      <c r="L64" s="2" t="s">
        <v>764</v>
      </c>
      <c r="M64" s="2" t="s">
        <v>765</v>
      </c>
      <c r="N64" s="4"/>
      <c r="O64" s="2" t="s">
        <v>83</v>
      </c>
      <c r="P64" s="2" t="s">
        <v>83</v>
      </c>
      <c r="Q64" s="4">
        <v>0</v>
      </c>
      <c r="R64" s="2" t="s">
        <v>370</v>
      </c>
      <c r="S64" s="2" t="s">
        <v>435</v>
      </c>
      <c r="T64" s="2" t="s">
        <v>476</v>
      </c>
      <c r="U64" s="2" t="s">
        <v>556</v>
      </c>
      <c r="V64" s="2" t="s">
        <v>32</v>
      </c>
      <c r="W64" s="4">
        <v>1</v>
      </c>
      <c r="X64" s="2" t="s">
        <v>365</v>
      </c>
      <c r="Y64" s="4">
        <v>8</v>
      </c>
      <c r="Z64" s="4" t="s">
        <v>3079</v>
      </c>
      <c r="AA64" s="2" t="s">
        <v>413</v>
      </c>
      <c r="AB64" s="2" t="s">
        <v>104</v>
      </c>
      <c r="AC64" s="2" t="s">
        <v>95</v>
      </c>
      <c r="AD64" s="4">
        <v>82</v>
      </c>
      <c r="AE64" s="2" t="s">
        <v>397</v>
      </c>
      <c r="AF64" s="2" t="s">
        <v>103</v>
      </c>
      <c r="AG64" s="2" t="s">
        <v>762</v>
      </c>
      <c r="AH64" s="2" t="s">
        <v>185</v>
      </c>
      <c r="AI64" s="2" t="s">
        <v>486</v>
      </c>
      <c r="AJ64" s="4"/>
      <c r="AL64" s="4"/>
      <c r="AN64" s="4"/>
      <c r="AP64" s="4"/>
      <c r="AQ64" s="4"/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Z64" s="2" t="s">
        <v>60</v>
      </c>
    </row>
    <row r="65" spans="2:52" x14ac:dyDescent="0.15">
      <c r="B65" s="2" t="s">
        <v>269</v>
      </c>
      <c r="C65" s="2" t="s">
        <v>766</v>
      </c>
      <c r="D65" s="2" t="s">
        <v>196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196</v>
      </c>
      <c r="H65" s="4" t="str">
        <f>VLOOKUP(G65,corpsSet!$B$5:$C$46,2,0)</f>
        <v>张绣</v>
      </c>
      <c r="I65" s="4" t="s">
        <v>103</v>
      </c>
      <c r="J65" s="4" t="str">
        <f>VLOOKUP(I65,citySet!$B$5:$C$46,2,0)</f>
        <v>宛</v>
      </c>
      <c r="K65" s="2" t="s">
        <v>749</v>
      </c>
      <c r="L65" s="2" t="s">
        <v>768</v>
      </c>
      <c r="M65" s="2" t="s">
        <v>769</v>
      </c>
      <c r="N65" s="4"/>
      <c r="O65" s="2" t="s">
        <v>98</v>
      </c>
      <c r="P65" s="2" t="s">
        <v>98</v>
      </c>
      <c r="Q65" s="4">
        <v>0</v>
      </c>
      <c r="R65" s="2" t="s">
        <v>370</v>
      </c>
      <c r="S65" s="2" t="s">
        <v>435</v>
      </c>
      <c r="T65" s="2" t="s">
        <v>719</v>
      </c>
      <c r="U65" s="2" t="s">
        <v>489</v>
      </c>
      <c r="V65" s="2" t="s">
        <v>106</v>
      </c>
      <c r="W65" s="4">
        <v>1</v>
      </c>
      <c r="X65" s="2" t="s">
        <v>365</v>
      </c>
      <c r="Y65" s="4">
        <v>8</v>
      </c>
      <c r="Z65" s="4" t="s">
        <v>3079</v>
      </c>
      <c r="AA65" s="2" t="s">
        <v>185</v>
      </c>
      <c r="AB65" s="2" t="s">
        <v>258</v>
      </c>
      <c r="AC65" s="2" t="s">
        <v>414</v>
      </c>
      <c r="AD65" s="4">
        <v>97</v>
      </c>
      <c r="AE65" s="2" t="s">
        <v>256</v>
      </c>
      <c r="AF65" s="2" t="s">
        <v>432</v>
      </c>
      <c r="AG65" s="2" t="s">
        <v>767</v>
      </c>
      <c r="AH65" s="2" t="s">
        <v>185</v>
      </c>
      <c r="AI65" s="2" t="s">
        <v>93</v>
      </c>
      <c r="AJ65" s="4"/>
      <c r="AL65" s="4"/>
      <c r="AN65" s="4"/>
      <c r="AP65" s="4"/>
      <c r="AQ65" s="4"/>
      <c r="AS65" s="4">
        <v>3</v>
      </c>
      <c r="AT65" s="4">
        <v>1</v>
      </c>
      <c r="AU65" s="4">
        <v>2</v>
      </c>
      <c r="AV65" s="4">
        <v>1</v>
      </c>
      <c r="AW65" s="4">
        <v>2</v>
      </c>
      <c r="AX65" s="4">
        <v>0</v>
      </c>
      <c r="AZ65" s="2" t="s">
        <v>60</v>
      </c>
    </row>
    <row r="66" spans="2:52" x14ac:dyDescent="0.15">
      <c r="B66" s="2" t="s">
        <v>423</v>
      </c>
      <c r="C66" s="2" t="s">
        <v>770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17</v>
      </c>
      <c r="J66" s="4" t="str">
        <f>VLOOKUP(I66,citySet!$B$5:$C$46,2,0)</f>
        <v>许昌</v>
      </c>
      <c r="K66" s="2" t="s">
        <v>773</v>
      </c>
      <c r="L66" s="2" t="s">
        <v>774</v>
      </c>
      <c r="M66" s="2" t="s">
        <v>775</v>
      </c>
      <c r="N66" s="4"/>
      <c r="O66" s="2" t="s">
        <v>771</v>
      </c>
      <c r="P66" s="2" t="s">
        <v>771</v>
      </c>
      <c r="Q66" s="4">
        <v>0</v>
      </c>
      <c r="R66" s="2" t="s">
        <v>370</v>
      </c>
      <c r="S66" s="2" t="s">
        <v>772</v>
      </c>
      <c r="T66" s="2" t="s">
        <v>544</v>
      </c>
      <c r="U66" s="2" t="s">
        <v>667</v>
      </c>
      <c r="V66" s="2" t="s">
        <v>204</v>
      </c>
      <c r="W66" s="4">
        <v>2</v>
      </c>
      <c r="X66" s="2" t="s">
        <v>2983</v>
      </c>
      <c r="Y66" s="4">
        <v>0</v>
      </c>
      <c r="Z66" s="4" t="s">
        <v>39</v>
      </c>
      <c r="AA66" s="2" t="s">
        <v>60</v>
      </c>
      <c r="AB66" s="2" t="s">
        <v>107</v>
      </c>
      <c r="AC66" s="2" t="s">
        <v>208</v>
      </c>
      <c r="AD66" s="4">
        <v>70</v>
      </c>
      <c r="AE66" s="2" t="s">
        <v>434</v>
      </c>
      <c r="AF66" s="2" t="s">
        <v>191</v>
      </c>
      <c r="AG66" s="2" t="s">
        <v>198</v>
      </c>
      <c r="AH66" s="2" t="s">
        <v>185</v>
      </c>
      <c r="AI66" s="2" t="s">
        <v>382</v>
      </c>
      <c r="AJ66" s="4" t="s">
        <v>444</v>
      </c>
      <c r="AK66" s="2" t="s">
        <v>160</v>
      </c>
      <c r="AL66" s="4"/>
      <c r="AN66" s="4"/>
      <c r="AP66" s="4"/>
      <c r="AQ66" s="4"/>
      <c r="AS66" s="4">
        <v>0</v>
      </c>
      <c r="AT66" s="4">
        <v>0</v>
      </c>
      <c r="AU66" s="4">
        <v>1</v>
      </c>
      <c r="AV66" s="4">
        <v>0</v>
      </c>
      <c r="AW66" s="4">
        <v>0</v>
      </c>
      <c r="AX66" s="4">
        <v>0</v>
      </c>
      <c r="AZ66" s="2" t="s">
        <v>60</v>
      </c>
    </row>
    <row r="67" spans="2:52" x14ac:dyDescent="0.15">
      <c r="B67" s="2" t="s">
        <v>382</v>
      </c>
      <c r="C67" s="2" t="s">
        <v>776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37</v>
      </c>
      <c r="J67" s="4" t="str">
        <f>VLOOKUP(I67,citySet!$B$5:$C$46,2,0)</f>
        <v>南皮</v>
      </c>
      <c r="K67" s="2" t="s">
        <v>773</v>
      </c>
      <c r="L67" s="2" t="s">
        <v>780</v>
      </c>
      <c r="N67" s="4"/>
      <c r="O67" s="2" t="s">
        <v>777</v>
      </c>
      <c r="P67" s="2" t="s">
        <v>777</v>
      </c>
      <c r="Q67" s="4">
        <v>0</v>
      </c>
      <c r="R67" s="2" t="s">
        <v>370</v>
      </c>
      <c r="S67" s="2" t="s">
        <v>564</v>
      </c>
      <c r="T67" s="2" t="s">
        <v>779</v>
      </c>
      <c r="U67" s="2" t="s">
        <v>536</v>
      </c>
      <c r="V67" s="2" t="s">
        <v>185</v>
      </c>
      <c r="W67" s="4">
        <v>2</v>
      </c>
      <c r="X67" s="2" t="s">
        <v>2983</v>
      </c>
      <c r="Y67" s="4">
        <v>0</v>
      </c>
      <c r="Z67" s="4" t="s">
        <v>39</v>
      </c>
      <c r="AA67" s="2" t="s">
        <v>60</v>
      </c>
      <c r="AB67" s="2" t="s">
        <v>404</v>
      </c>
      <c r="AC67" s="2" t="s">
        <v>261</v>
      </c>
      <c r="AD67" s="4">
        <v>36</v>
      </c>
      <c r="AE67" s="2" t="s">
        <v>95</v>
      </c>
      <c r="AF67" s="2" t="s">
        <v>414</v>
      </c>
      <c r="AG67" s="2" t="s">
        <v>651</v>
      </c>
      <c r="AH67" s="2" t="s">
        <v>185</v>
      </c>
      <c r="AI67" s="2" t="s">
        <v>423</v>
      </c>
      <c r="AJ67" s="4"/>
      <c r="AL67" s="4"/>
      <c r="AN67" s="4"/>
      <c r="AP67" s="4"/>
      <c r="AQ67" s="4"/>
      <c r="AS67" s="4">
        <v>1</v>
      </c>
      <c r="AT67" s="4">
        <v>0</v>
      </c>
      <c r="AU67" s="4">
        <v>0</v>
      </c>
      <c r="AV67" s="4">
        <v>2</v>
      </c>
      <c r="AW67" s="4">
        <v>1</v>
      </c>
      <c r="AX67" s="4">
        <v>0</v>
      </c>
      <c r="AZ67" s="2" t="s">
        <v>60</v>
      </c>
    </row>
    <row r="68" spans="2:52" x14ac:dyDescent="0.15">
      <c r="B68" s="2" t="s">
        <v>444</v>
      </c>
      <c r="C68" s="2" t="s">
        <v>160</v>
      </c>
      <c r="D68" s="2" t="s">
        <v>27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27</v>
      </c>
      <c r="H68" s="4" t="str">
        <f>VLOOKUP(G68,corpsSet!$B$5:$C$46,2,0)</f>
        <v>曹操</v>
      </c>
      <c r="I68" s="4" t="s">
        <v>17</v>
      </c>
      <c r="J68" s="4" t="str">
        <f>VLOOKUP(I68,citySet!$B$5:$C$46,2,0)</f>
        <v>许昌</v>
      </c>
      <c r="K68" s="2" t="s">
        <v>773</v>
      </c>
      <c r="L68" s="2" t="s">
        <v>783</v>
      </c>
      <c r="M68" s="2" t="s">
        <v>784</v>
      </c>
      <c r="N68" s="4"/>
      <c r="O68" s="2" t="s">
        <v>99</v>
      </c>
      <c r="P68" s="2" t="s">
        <v>99</v>
      </c>
      <c r="Q68" s="4">
        <v>0</v>
      </c>
      <c r="R68" s="2" t="s">
        <v>370</v>
      </c>
      <c r="S68" s="2" t="s">
        <v>393</v>
      </c>
      <c r="T68" s="2" t="s">
        <v>555</v>
      </c>
      <c r="U68" s="2" t="s">
        <v>505</v>
      </c>
      <c r="V68" s="2" t="s">
        <v>196</v>
      </c>
      <c r="W68" s="4">
        <v>1</v>
      </c>
      <c r="X68" s="2" t="s">
        <v>365</v>
      </c>
      <c r="Y68" s="4">
        <v>6</v>
      </c>
      <c r="Z68" s="4" t="s">
        <v>614</v>
      </c>
      <c r="AA68" s="2" t="s">
        <v>134</v>
      </c>
      <c r="AB68" s="2" t="s">
        <v>7</v>
      </c>
      <c r="AC68" s="2" t="s">
        <v>8</v>
      </c>
      <c r="AD68" s="4">
        <v>98</v>
      </c>
      <c r="AE68" s="2" t="s">
        <v>391</v>
      </c>
      <c r="AF68" s="2" t="s">
        <v>431</v>
      </c>
      <c r="AG68" s="2" t="s">
        <v>781</v>
      </c>
      <c r="AH68" s="2" t="s">
        <v>185</v>
      </c>
      <c r="AI68" s="2" t="s">
        <v>382</v>
      </c>
      <c r="AJ68" s="4"/>
      <c r="AL68" s="4"/>
      <c r="AN68" s="4"/>
      <c r="AP68" s="4"/>
      <c r="AQ68" s="4"/>
      <c r="AS68" s="4">
        <v>1</v>
      </c>
      <c r="AT68" s="4">
        <v>1</v>
      </c>
      <c r="AU68" s="4">
        <v>1</v>
      </c>
      <c r="AV68" s="4">
        <v>1</v>
      </c>
      <c r="AW68" s="4">
        <v>1</v>
      </c>
      <c r="AX68" s="4">
        <v>1</v>
      </c>
      <c r="AZ68" s="2" t="s">
        <v>60</v>
      </c>
    </row>
    <row r="69" spans="2:52" x14ac:dyDescent="0.15">
      <c r="B69" s="2" t="s">
        <v>257</v>
      </c>
      <c r="C69" s="2" t="s">
        <v>785</v>
      </c>
      <c r="D69" s="2" t="s">
        <v>204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204</v>
      </c>
      <c r="H69" s="4" t="str">
        <f>VLOOKUP(G69,corpsSet!$B$5:$C$46,2,0)</f>
        <v>雍闿</v>
      </c>
      <c r="I69" s="4" t="s">
        <v>237</v>
      </c>
      <c r="J69" s="4" t="str">
        <f>VLOOKUP(I69,citySet!$B$5:$C$46,2,0)</f>
        <v>建宁</v>
      </c>
      <c r="K69" s="2" t="s">
        <v>788</v>
      </c>
      <c r="L69" s="2" t="s">
        <v>789</v>
      </c>
      <c r="N69" s="4"/>
      <c r="O69" s="2" t="s">
        <v>787</v>
      </c>
      <c r="P69" s="2" t="s">
        <v>787</v>
      </c>
      <c r="Q69" s="4">
        <v>0</v>
      </c>
      <c r="R69" s="2" t="s">
        <v>370</v>
      </c>
      <c r="S69" s="2" t="s">
        <v>456</v>
      </c>
      <c r="T69" s="2" t="s">
        <v>327</v>
      </c>
      <c r="U69" s="2" t="s">
        <v>215</v>
      </c>
      <c r="V69" s="2" t="s">
        <v>382</v>
      </c>
      <c r="W69" s="4">
        <v>1</v>
      </c>
      <c r="X69" s="2" t="s">
        <v>365</v>
      </c>
      <c r="Y69" s="4">
        <v>2</v>
      </c>
      <c r="Z69" s="4" t="s">
        <v>443</v>
      </c>
      <c r="AA69" s="2" t="s">
        <v>413</v>
      </c>
      <c r="AB69" s="2" t="s">
        <v>93</v>
      </c>
      <c r="AC69" s="2" t="s">
        <v>554</v>
      </c>
      <c r="AD69" s="4">
        <v>42</v>
      </c>
      <c r="AE69" s="2" t="s">
        <v>107</v>
      </c>
      <c r="AF69" s="2" t="s">
        <v>237</v>
      </c>
      <c r="AG69" s="2" t="s">
        <v>786</v>
      </c>
      <c r="AH69" s="2" t="s">
        <v>185</v>
      </c>
      <c r="AI69" s="2" t="s">
        <v>444</v>
      </c>
      <c r="AJ69" s="4"/>
      <c r="AL69" s="4"/>
      <c r="AN69" s="4"/>
      <c r="AP69" s="4"/>
      <c r="AQ69" s="4"/>
      <c r="AS69" s="4">
        <v>0</v>
      </c>
      <c r="AT69" s="4">
        <v>2</v>
      </c>
      <c r="AU69" s="4">
        <v>0</v>
      </c>
      <c r="AV69" s="4">
        <v>1</v>
      </c>
      <c r="AW69" s="4">
        <v>0</v>
      </c>
      <c r="AX69" s="4">
        <v>0</v>
      </c>
      <c r="AZ69" s="2" t="s">
        <v>60</v>
      </c>
    </row>
    <row r="70" spans="2:52" x14ac:dyDescent="0.15">
      <c r="B70" s="2" t="s">
        <v>404</v>
      </c>
      <c r="C70" s="2" t="s">
        <v>790</v>
      </c>
      <c r="D70" s="2" t="s">
        <v>36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36</v>
      </c>
      <c r="H70" s="4" t="str">
        <f>VLOOKUP(G70,corpsSet!$B$5:$C$46,2,0)</f>
        <v>董卓</v>
      </c>
      <c r="I70" s="4" t="s">
        <v>106</v>
      </c>
      <c r="J70" s="4" t="str">
        <f>VLOOKUP(I70,citySet!$B$5:$C$46,2,0)</f>
        <v>安定</v>
      </c>
      <c r="K70" s="2" t="s">
        <v>773</v>
      </c>
      <c r="L70" s="2" t="s">
        <v>793</v>
      </c>
      <c r="N70" s="4"/>
      <c r="O70" s="2" t="s">
        <v>562</v>
      </c>
      <c r="P70" s="2" t="s">
        <v>562</v>
      </c>
      <c r="Q70" s="4">
        <v>0</v>
      </c>
      <c r="R70" s="2" t="s">
        <v>370</v>
      </c>
      <c r="S70" s="2" t="s">
        <v>435</v>
      </c>
      <c r="T70" s="2" t="s">
        <v>550</v>
      </c>
      <c r="U70" s="2" t="s">
        <v>425</v>
      </c>
      <c r="V70" s="2" t="s">
        <v>27</v>
      </c>
      <c r="W70" s="4">
        <v>1</v>
      </c>
      <c r="X70" s="2" t="s">
        <v>365</v>
      </c>
      <c r="Y70" s="4">
        <v>0</v>
      </c>
      <c r="Z70" s="4" t="s">
        <v>39</v>
      </c>
      <c r="AA70" s="2" t="s">
        <v>185</v>
      </c>
      <c r="AB70" s="2" t="s">
        <v>444</v>
      </c>
      <c r="AC70" s="2" t="s">
        <v>434</v>
      </c>
      <c r="AD70" s="4">
        <v>13</v>
      </c>
      <c r="AE70" s="2" t="s">
        <v>17</v>
      </c>
      <c r="AF70" s="2" t="s">
        <v>41</v>
      </c>
      <c r="AG70" s="2" t="s">
        <v>96</v>
      </c>
      <c r="AH70" s="2" t="s">
        <v>185</v>
      </c>
      <c r="AI70" s="2" t="s">
        <v>257</v>
      </c>
      <c r="AJ70" s="4"/>
      <c r="AL70" s="4"/>
      <c r="AN70" s="4"/>
      <c r="AP70" s="4"/>
      <c r="AQ70" s="4"/>
      <c r="AS70" s="4">
        <v>1</v>
      </c>
      <c r="AT70" s="4">
        <v>1</v>
      </c>
      <c r="AU70" s="4">
        <v>0</v>
      </c>
      <c r="AV70" s="4">
        <v>2</v>
      </c>
      <c r="AW70" s="4">
        <v>0</v>
      </c>
      <c r="AX70" s="4">
        <v>0</v>
      </c>
      <c r="AZ70" s="2" t="s">
        <v>60</v>
      </c>
    </row>
    <row r="71" spans="2:52" x14ac:dyDescent="0.15">
      <c r="B71" s="2" t="s">
        <v>445</v>
      </c>
      <c r="C71" s="2" t="s">
        <v>794</v>
      </c>
      <c r="D71" s="2" t="s">
        <v>29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29</v>
      </c>
      <c r="H71" s="4" t="str">
        <f>VLOOKUP(G71,corpsSet!$B$5:$C$46,2,0)</f>
        <v>袁术</v>
      </c>
      <c r="I71" s="4" t="s">
        <v>200</v>
      </c>
      <c r="J71" s="4" t="str">
        <f>VLOOKUP(I71,citySet!$B$5:$C$46,2,0)</f>
        <v>庐江</v>
      </c>
      <c r="K71" s="2" t="s">
        <v>796</v>
      </c>
      <c r="L71" s="2" t="s">
        <v>797</v>
      </c>
      <c r="N71" s="4"/>
      <c r="O71" s="2" t="s">
        <v>458</v>
      </c>
      <c r="P71" s="2" t="s">
        <v>458</v>
      </c>
      <c r="Q71" s="4">
        <v>0</v>
      </c>
      <c r="R71" s="2" t="s">
        <v>370</v>
      </c>
      <c r="S71" s="2" t="s">
        <v>435</v>
      </c>
      <c r="T71" s="2" t="s">
        <v>476</v>
      </c>
      <c r="U71" s="2" t="s">
        <v>83</v>
      </c>
      <c r="V71" s="2" t="s">
        <v>740</v>
      </c>
      <c r="W71" s="4">
        <v>1</v>
      </c>
      <c r="X71" s="2" t="s">
        <v>365</v>
      </c>
      <c r="Y71" s="4">
        <v>0</v>
      </c>
      <c r="Z71" s="4" t="s">
        <v>39</v>
      </c>
      <c r="AA71" s="2" t="s">
        <v>403</v>
      </c>
      <c r="AB71" s="2" t="s">
        <v>19</v>
      </c>
      <c r="AC71" s="2" t="s">
        <v>404</v>
      </c>
      <c r="AD71" s="4">
        <v>58</v>
      </c>
      <c r="AE71" s="2" t="s">
        <v>98</v>
      </c>
      <c r="AF71" s="2" t="s">
        <v>19</v>
      </c>
      <c r="AG71" s="2" t="s">
        <v>658</v>
      </c>
      <c r="AH71" s="2" t="s">
        <v>185</v>
      </c>
      <c r="AI71" s="2" t="s">
        <v>404</v>
      </c>
      <c r="AJ71" s="4"/>
      <c r="AL71" s="4"/>
      <c r="AN71" s="4"/>
      <c r="AP71" s="4"/>
      <c r="AQ71" s="4"/>
      <c r="AS71" s="4">
        <v>0</v>
      </c>
      <c r="AT71" s="4">
        <v>1</v>
      </c>
      <c r="AU71" s="4">
        <v>1</v>
      </c>
      <c r="AV71" s="4">
        <v>0</v>
      </c>
      <c r="AW71" s="4">
        <v>0</v>
      </c>
      <c r="AX71" s="4">
        <v>0</v>
      </c>
      <c r="AZ71" s="2" t="s">
        <v>60</v>
      </c>
    </row>
    <row r="72" spans="2:52" x14ac:dyDescent="0.15">
      <c r="B72" s="2" t="s">
        <v>321</v>
      </c>
      <c r="C72" s="2" t="s">
        <v>798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213</v>
      </c>
      <c r="J72" s="4" t="str">
        <f>VLOOKUP(I72,citySet!$B$5:$C$46,2,0)</f>
        <v>江陵</v>
      </c>
      <c r="K72" s="2" t="s">
        <v>801</v>
      </c>
      <c r="L72" s="2" t="s">
        <v>802</v>
      </c>
      <c r="M72" s="2" t="s">
        <v>803</v>
      </c>
      <c r="N72" s="4"/>
      <c r="O72" s="2" t="s">
        <v>800</v>
      </c>
      <c r="P72" s="2" t="s">
        <v>800</v>
      </c>
      <c r="Q72" s="4">
        <v>0</v>
      </c>
      <c r="R72" s="2" t="s">
        <v>370</v>
      </c>
      <c r="S72" s="2" t="s">
        <v>425</v>
      </c>
      <c r="T72" s="2" t="s">
        <v>725</v>
      </c>
      <c r="U72" s="2" t="s">
        <v>371</v>
      </c>
      <c r="V72" s="2" t="s">
        <v>445</v>
      </c>
      <c r="W72" s="4">
        <v>2</v>
      </c>
      <c r="X72" s="2" t="s">
        <v>2983</v>
      </c>
      <c r="Y72" s="4">
        <v>0</v>
      </c>
      <c r="Z72" s="4" t="s">
        <v>39</v>
      </c>
      <c r="AA72" s="2" t="s">
        <v>60</v>
      </c>
      <c r="AB72" s="2" t="s">
        <v>329</v>
      </c>
      <c r="AC72" s="2" t="s">
        <v>404</v>
      </c>
      <c r="AD72" s="4">
        <v>73</v>
      </c>
      <c r="AE72" s="2" t="s">
        <v>423</v>
      </c>
      <c r="AF72" s="2" t="s">
        <v>153</v>
      </c>
      <c r="AG72" s="2" t="s">
        <v>799</v>
      </c>
      <c r="AH72" s="2" t="s">
        <v>185</v>
      </c>
      <c r="AI72" s="2" t="s">
        <v>445</v>
      </c>
      <c r="AJ72" s="4"/>
      <c r="AL72" s="4"/>
      <c r="AN72" s="4"/>
      <c r="AP72" s="4"/>
      <c r="AQ72" s="4"/>
      <c r="AS72" s="4">
        <v>1</v>
      </c>
      <c r="AT72" s="4">
        <v>2</v>
      </c>
      <c r="AU72" s="4">
        <v>2</v>
      </c>
      <c r="AV72" s="4">
        <v>0</v>
      </c>
      <c r="AW72" s="4">
        <v>1</v>
      </c>
      <c r="AX72" s="4">
        <v>0</v>
      </c>
      <c r="AZ72" s="2" t="s">
        <v>60</v>
      </c>
    </row>
    <row r="73" spans="2:52" x14ac:dyDescent="0.15">
      <c r="B73" s="2" t="s">
        <v>454</v>
      </c>
      <c r="C73" s="2" t="s">
        <v>804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36</v>
      </c>
      <c r="J73" s="4" t="str">
        <f>VLOOKUP(I73,citySet!$B$5:$C$46,2,0)</f>
        <v>晋阳</v>
      </c>
      <c r="K73" s="2" t="s">
        <v>807</v>
      </c>
      <c r="L73" s="2" t="s">
        <v>387</v>
      </c>
      <c r="M73" s="2" t="s">
        <v>808</v>
      </c>
      <c r="N73" s="4"/>
      <c r="O73" s="2" t="s">
        <v>422</v>
      </c>
      <c r="P73" s="2" t="s">
        <v>422</v>
      </c>
      <c r="Q73" s="4">
        <v>0</v>
      </c>
      <c r="R73" s="2" t="s">
        <v>370</v>
      </c>
      <c r="S73" s="2" t="s">
        <v>380</v>
      </c>
      <c r="T73" s="2" t="s">
        <v>578</v>
      </c>
      <c r="U73" s="2" t="s">
        <v>806</v>
      </c>
      <c r="V73" s="2" t="s">
        <v>10</v>
      </c>
      <c r="W73" s="4">
        <v>2</v>
      </c>
      <c r="X73" s="2" t="s">
        <v>2983</v>
      </c>
      <c r="Y73" s="4">
        <v>0</v>
      </c>
      <c r="Z73" s="4" t="s">
        <v>39</v>
      </c>
      <c r="AA73" s="2" t="s">
        <v>60</v>
      </c>
      <c r="AB73" s="2" t="s">
        <v>78</v>
      </c>
      <c r="AC73" s="2" t="s">
        <v>88</v>
      </c>
      <c r="AD73" s="4">
        <v>78</v>
      </c>
      <c r="AE73" s="2" t="s">
        <v>423</v>
      </c>
      <c r="AF73" s="2" t="s">
        <v>374</v>
      </c>
      <c r="AG73" s="2" t="s">
        <v>805</v>
      </c>
      <c r="AH73" s="2" t="s">
        <v>185</v>
      </c>
      <c r="AI73" s="2" t="s">
        <v>321</v>
      </c>
      <c r="AJ73" s="4"/>
      <c r="AL73" s="4"/>
      <c r="AN73" s="4"/>
      <c r="AP73" s="4"/>
      <c r="AQ73" s="4"/>
      <c r="AS73" s="4">
        <v>1</v>
      </c>
      <c r="AT73" s="4">
        <v>3</v>
      </c>
      <c r="AU73" s="4">
        <v>1</v>
      </c>
      <c r="AV73" s="4">
        <v>2</v>
      </c>
      <c r="AW73" s="4">
        <v>3</v>
      </c>
      <c r="AX73" s="4">
        <v>0</v>
      </c>
      <c r="AZ73" s="2" t="s">
        <v>60</v>
      </c>
    </row>
    <row r="74" spans="2:52" x14ac:dyDescent="0.15">
      <c r="B74" s="2" t="s">
        <v>153</v>
      </c>
      <c r="C74" s="2" t="s">
        <v>809</v>
      </c>
      <c r="D74" s="2" t="s">
        <v>27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27</v>
      </c>
      <c r="H74" s="4" t="str">
        <f>VLOOKUP(G74,corpsSet!$B$5:$C$46,2,0)</f>
        <v>曹操</v>
      </c>
      <c r="I74" s="4" t="s">
        <v>17</v>
      </c>
      <c r="J74" s="4" t="str">
        <f>VLOOKUP(I74,citySet!$B$5:$C$46,2,0)</f>
        <v>许昌</v>
      </c>
      <c r="K74" s="2" t="s">
        <v>796</v>
      </c>
      <c r="L74" s="2" t="s">
        <v>810</v>
      </c>
      <c r="M74" s="2" t="s">
        <v>811</v>
      </c>
      <c r="N74" s="4"/>
      <c r="O74" s="2" t="s">
        <v>431</v>
      </c>
      <c r="P74" s="2" t="s">
        <v>431</v>
      </c>
      <c r="Q74" s="4">
        <v>0</v>
      </c>
      <c r="R74" s="2" t="s">
        <v>370</v>
      </c>
      <c r="S74" s="2" t="s">
        <v>438</v>
      </c>
      <c r="T74" s="2" t="s">
        <v>436</v>
      </c>
      <c r="U74" s="2" t="s">
        <v>379</v>
      </c>
      <c r="V74" s="2" t="s">
        <v>189</v>
      </c>
      <c r="W74" s="4">
        <v>1</v>
      </c>
      <c r="X74" s="2" t="s">
        <v>365</v>
      </c>
      <c r="Y74" s="4">
        <v>0</v>
      </c>
      <c r="Z74" s="4" t="s">
        <v>39</v>
      </c>
      <c r="AA74" s="2" t="s">
        <v>185</v>
      </c>
      <c r="AB74" s="2" t="s">
        <v>329</v>
      </c>
      <c r="AC74" s="2" t="s">
        <v>391</v>
      </c>
      <c r="AD74" s="4">
        <v>52</v>
      </c>
      <c r="AE74" s="2" t="s">
        <v>7</v>
      </c>
      <c r="AF74" s="2" t="s">
        <v>257</v>
      </c>
      <c r="AG74" s="2" t="s">
        <v>265</v>
      </c>
      <c r="AH74" s="2" t="s">
        <v>185</v>
      </c>
      <c r="AI74" s="2" t="s">
        <v>454</v>
      </c>
      <c r="AJ74" s="4"/>
      <c r="AL74" s="4"/>
      <c r="AN74" s="4"/>
      <c r="AP74" s="4"/>
      <c r="AQ74" s="4"/>
      <c r="AS74" s="4">
        <v>3</v>
      </c>
      <c r="AT74" s="4">
        <v>1</v>
      </c>
      <c r="AU74" s="4">
        <v>1</v>
      </c>
      <c r="AV74" s="4">
        <v>2</v>
      </c>
      <c r="AW74" s="4">
        <v>3</v>
      </c>
      <c r="AX74" s="4">
        <v>0</v>
      </c>
      <c r="AZ74" s="2" t="s">
        <v>60</v>
      </c>
    </row>
    <row r="75" spans="2:52" x14ac:dyDescent="0.15">
      <c r="B75" s="2" t="s">
        <v>515</v>
      </c>
      <c r="C75" s="2" t="s">
        <v>812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20</v>
      </c>
      <c r="J75" s="4" t="str">
        <f>VLOOKUP(I75,citySet!$B$5:$C$46,2,0)</f>
        <v>濮阳</v>
      </c>
      <c r="K75" s="2" t="s">
        <v>796</v>
      </c>
      <c r="L75" s="2" t="s">
        <v>816</v>
      </c>
      <c r="N75" s="4"/>
      <c r="O75" s="2" t="s">
        <v>814</v>
      </c>
      <c r="P75" s="2" t="s">
        <v>814</v>
      </c>
      <c r="Q75" s="4">
        <v>0</v>
      </c>
      <c r="R75" s="2" t="s">
        <v>370</v>
      </c>
      <c r="S75" s="2" t="s">
        <v>685</v>
      </c>
      <c r="T75" s="2" t="s">
        <v>327</v>
      </c>
      <c r="U75" s="2" t="s">
        <v>815</v>
      </c>
      <c r="V75" s="2" t="s">
        <v>189</v>
      </c>
      <c r="W75" s="4">
        <v>2</v>
      </c>
      <c r="X75" s="2" t="s">
        <v>2983</v>
      </c>
      <c r="Y75" s="4">
        <v>0</v>
      </c>
      <c r="Z75" s="4" t="s">
        <v>39</v>
      </c>
      <c r="AA75" s="2" t="s">
        <v>60</v>
      </c>
      <c r="AB75" s="2" t="s">
        <v>261</v>
      </c>
      <c r="AC75" s="2" t="s">
        <v>481</v>
      </c>
      <c r="AD75" s="4">
        <v>43</v>
      </c>
      <c r="AE75" s="2" t="s">
        <v>237</v>
      </c>
      <c r="AF75" s="2" t="s">
        <v>382</v>
      </c>
      <c r="AG75" s="2" t="s">
        <v>813</v>
      </c>
      <c r="AH75" s="2" t="s">
        <v>185</v>
      </c>
      <c r="AI75" s="2" t="s">
        <v>454</v>
      </c>
      <c r="AJ75" s="4">
        <v>7</v>
      </c>
      <c r="AK75" s="2" t="s">
        <v>809</v>
      </c>
      <c r="AL75" s="4"/>
      <c r="AN75" s="4"/>
      <c r="AP75" s="4"/>
      <c r="AQ75" s="4"/>
      <c r="AS75" s="4">
        <v>2</v>
      </c>
      <c r="AT75" s="4">
        <v>0</v>
      </c>
      <c r="AU75" s="4">
        <v>0</v>
      </c>
      <c r="AV75" s="4">
        <v>2</v>
      </c>
      <c r="AW75" s="4">
        <v>1</v>
      </c>
      <c r="AX75" s="4">
        <v>0</v>
      </c>
      <c r="AZ75" s="2" t="s">
        <v>60</v>
      </c>
    </row>
    <row r="76" spans="2:52" x14ac:dyDescent="0.15">
      <c r="B76" s="2" t="s">
        <v>374</v>
      </c>
      <c r="C76" s="2" t="s">
        <v>817</v>
      </c>
      <c r="D76" s="2" t="s">
        <v>30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30</v>
      </c>
      <c r="H76" s="4" t="str">
        <f>VLOOKUP(G76,corpsSet!$B$5:$C$46,2,0)</f>
        <v>袁绍</v>
      </c>
      <c r="I76" s="4" t="s">
        <v>37</v>
      </c>
      <c r="J76" s="4" t="str">
        <f>VLOOKUP(I76,citySet!$B$5:$C$46,2,0)</f>
        <v>南皮</v>
      </c>
      <c r="K76" s="2" t="s">
        <v>773</v>
      </c>
      <c r="L76" s="2" t="s">
        <v>818</v>
      </c>
      <c r="M76" s="2" t="s">
        <v>819</v>
      </c>
      <c r="N76" s="4"/>
      <c r="O76" s="2" t="s">
        <v>88</v>
      </c>
      <c r="P76" s="2" t="s">
        <v>88</v>
      </c>
      <c r="Q76" s="4">
        <v>0</v>
      </c>
      <c r="R76" s="2" t="s">
        <v>370</v>
      </c>
      <c r="S76" s="2" t="s">
        <v>435</v>
      </c>
      <c r="T76" s="2" t="s">
        <v>524</v>
      </c>
      <c r="U76" s="2" t="s">
        <v>90</v>
      </c>
      <c r="V76" s="2" t="s">
        <v>231</v>
      </c>
      <c r="W76" s="4">
        <v>1</v>
      </c>
      <c r="X76" s="2" t="s">
        <v>365</v>
      </c>
      <c r="Y76" s="4">
        <v>7</v>
      </c>
      <c r="Z76" s="4" t="s">
        <v>3078</v>
      </c>
      <c r="AA76" s="2" t="s">
        <v>403</v>
      </c>
      <c r="AB76" s="2" t="s">
        <v>14</v>
      </c>
      <c r="AC76" s="2" t="s">
        <v>4</v>
      </c>
      <c r="AD76" s="4">
        <v>82</v>
      </c>
      <c r="AE76" s="2" t="s">
        <v>321</v>
      </c>
      <c r="AF76" s="2" t="s">
        <v>226</v>
      </c>
      <c r="AG76" s="2" t="s">
        <v>325</v>
      </c>
      <c r="AH76" s="2" t="s">
        <v>185</v>
      </c>
      <c r="AI76" s="2" t="s">
        <v>515</v>
      </c>
      <c r="AJ76" s="4"/>
      <c r="AL76" s="4"/>
      <c r="AN76" s="4"/>
      <c r="AP76" s="4"/>
      <c r="AQ76" s="4"/>
      <c r="AS76" s="4">
        <v>0</v>
      </c>
      <c r="AT76" s="4">
        <v>0</v>
      </c>
      <c r="AU76" s="4">
        <v>0</v>
      </c>
      <c r="AV76" s="4">
        <v>1</v>
      </c>
      <c r="AW76" s="4">
        <v>1</v>
      </c>
      <c r="AX76" s="4">
        <v>0</v>
      </c>
      <c r="AZ76" s="2" t="s">
        <v>60</v>
      </c>
    </row>
    <row r="77" spans="2:52" x14ac:dyDescent="0.15">
      <c r="B77" s="2" t="s">
        <v>261</v>
      </c>
      <c r="C77" s="2" t="s">
        <v>820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219</v>
      </c>
      <c r="J77" s="4" t="str">
        <f>VLOOKUP(I77,citySet!$B$5:$C$46,2,0)</f>
        <v>桂阳</v>
      </c>
      <c r="K77" s="2" t="s">
        <v>773</v>
      </c>
      <c r="L77" s="2" t="s">
        <v>360</v>
      </c>
      <c r="N77" s="4"/>
      <c r="O77" s="2" t="s">
        <v>821</v>
      </c>
      <c r="P77" s="2" t="s">
        <v>821</v>
      </c>
      <c r="Q77" s="4">
        <v>0</v>
      </c>
      <c r="R77" s="2" t="s">
        <v>370</v>
      </c>
      <c r="S77" s="2" t="s">
        <v>548</v>
      </c>
      <c r="T77" s="2" t="s">
        <v>427</v>
      </c>
      <c r="U77" s="2" t="s">
        <v>610</v>
      </c>
      <c r="V77" s="2" t="s">
        <v>1035</v>
      </c>
      <c r="W77" s="4">
        <v>2</v>
      </c>
      <c r="X77" s="2" t="s">
        <v>2983</v>
      </c>
      <c r="Y77" s="4">
        <v>0</v>
      </c>
      <c r="Z77" s="4" t="s">
        <v>39</v>
      </c>
      <c r="AA77" s="2" t="s">
        <v>60</v>
      </c>
      <c r="AB77" s="2" t="s">
        <v>321</v>
      </c>
      <c r="AC77" s="2" t="s">
        <v>515</v>
      </c>
      <c r="AD77" s="4">
        <v>47</v>
      </c>
      <c r="AE77" s="2" t="s">
        <v>107</v>
      </c>
      <c r="AF77" s="2" t="s">
        <v>3</v>
      </c>
      <c r="AG77" s="2" t="s">
        <v>590</v>
      </c>
      <c r="AH77" s="2" t="s">
        <v>185</v>
      </c>
      <c r="AI77" s="2" t="s">
        <v>374</v>
      </c>
      <c r="AJ77" s="4"/>
      <c r="AL77" s="4"/>
      <c r="AN77" s="4"/>
      <c r="AP77" s="4"/>
      <c r="AQ77" s="4"/>
      <c r="AS77" s="4">
        <v>1</v>
      </c>
      <c r="AT77" s="4">
        <v>2</v>
      </c>
      <c r="AU77" s="4">
        <v>0</v>
      </c>
      <c r="AV77" s="4">
        <v>0</v>
      </c>
      <c r="AW77" s="4">
        <v>0</v>
      </c>
      <c r="AX77" s="4">
        <v>0</v>
      </c>
      <c r="AZ77" s="2" t="s">
        <v>60</v>
      </c>
    </row>
    <row r="78" spans="2:52" x14ac:dyDescent="0.15">
      <c r="B78" s="2" t="s">
        <v>367</v>
      </c>
      <c r="C78" s="2" t="s">
        <v>822</v>
      </c>
      <c r="D78" s="2" t="s">
        <v>24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24</v>
      </c>
      <c r="H78" s="4" t="str">
        <f>VLOOKUP(G78,corpsSet!$B$5:$C$46,2,0)</f>
        <v>吕布</v>
      </c>
      <c r="I78" s="4" t="s">
        <v>29</v>
      </c>
      <c r="J78" s="4" t="str">
        <f>VLOOKUP(I78,citySet!$B$5:$C$46,2,0)</f>
        <v>下邳</v>
      </c>
      <c r="K78" s="2" t="s">
        <v>807</v>
      </c>
      <c r="L78" s="2" t="s">
        <v>826</v>
      </c>
      <c r="N78" s="4"/>
      <c r="O78" s="2" t="s">
        <v>823</v>
      </c>
      <c r="P78" s="2" t="s">
        <v>823</v>
      </c>
      <c r="Q78" s="4">
        <v>0</v>
      </c>
      <c r="R78" s="2" t="s">
        <v>370</v>
      </c>
      <c r="S78" s="2" t="s">
        <v>435</v>
      </c>
      <c r="T78" s="2" t="s">
        <v>824</v>
      </c>
      <c r="U78" s="2" t="s">
        <v>425</v>
      </c>
      <c r="V78" s="2" t="s">
        <v>33</v>
      </c>
      <c r="W78" s="4">
        <v>1</v>
      </c>
      <c r="X78" s="2" t="s">
        <v>365</v>
      </c>
      <c r="Y78" s="4">
        <v>0</v>
      </c>
      <c r="Z78" s="4" t="s">
        <v>39</v>
      </c>
      <c r="AA78" s="2" t="s">
        <v>413</v>
      </c>
      <c r="AB78" s="2" t="s">
        <v>423</v>
      </c>
      <c r="AC78" s="2" t="s">
        <v>445</v>
      </c>
      <c r="AD78" s="4">
        <v>42</v>
      </c>
      <c r="AE78" s="2" t="s">
        <v>219</v>
      </c>
      <c r="AF78" s="2" t="s">
        <v>414</v>
      </c>
      <c r="AG78" s="2" t="s">
        <v>548</v>
      </c>
      <c r="AH78" s="2" t="s">
        <v>185</v>
      </c>
      <c r="AI78" s="2" t="s">
        <v>261</v>
      </c>
      <c r="AJ78" s="4"/>
      <c r="AL78" s="4"/>
      <c r="AN78" s="4"/>
      <c r="AP78" s="4"/>
      <c r="AQ78" s="4"/>
      <c r="AS78" s="4">
        <v>0</v>
      </c>
      <c r="AT78" s="4">
        <v>1</v>
      </c>
      <c r="AU78" s="4">
        <v>0</v>
      </c>
      <c r="AV78" s="4">
        <v>2</v>
      </c>
      <c r="AW78" s="4">
        <v>0</v>
      </c>
      <c r="AX78" s="4">
        <v>0</v>
      </c>
      <c r="AZ78" s="2" t="s">
        <v>60</v>
      </c>
    </row>
    <row r="79" spans="2:52" x14ac:dyDescent="0.15">
      <c r="B79" s="2" t="s">
        <v>481</v>
      </c>
      <c r="C79" s="2" t="s">
        <v>827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103</v>
      </c>
      <c r="J79" s="4" t="str">
        <f>VLOOKUP(I79,citySet!$B$5:$C$46,2,0)</f>
        <v>宛</v>
      </c>
      <c r="K79" s="2" t="s">
        <v>773</v>
      </c>
      <c r="L79" s="2" t="s">
        <v>828</v>
      </c>
      <c r="M79" s="2" t="s">
        <v>829</v>
      </c>
      <c r="N79" s="4"/>
      <c r="O79" s="2" t="s">
        <v>646</v>
      </c>
      <c r="P79" s="2" t="s">
        <v>646</v>
      </c>
      <c r="Q79" s="4">
        <v>0</v>
      </c>
      <c r="R79" s="2" t="s">
        <v>370</v>
      </c>
      <c r="S79" s="2" t="s">
        <v>490</v>
      </c>
      <c r="T79" s="2" t="s">
        <v>372</v>
      </c>
      <c r="U79" s="2" t="s">
        <v>679</v>
      </c>
      <c r="V79" s="2" t="s">
        <v>329</v>
      </c>
      <c r="W79" s="4">
        <v>2</v>
      </c>
      <c r="X79" s="2" t="s">
        <v>2983</v>
      </c>
      <c r="Y79" s="4">
        <v>0</v>
      </c>
      <c r="Z79" s="4" t="s">
        <v>39</v>
      </c>
      <c r="AA79" s="2" t="s">
        <v>60</v>
      </c>
      <c r="AB79" s="2" t="s">
        <v>41</v>
      </c>
      <c r="AC79" s="2" t="s">
        <v>29</v>
      </c>
      <c r="AD79" s="4">
        <v>68</v>
      </c>
      <c r="AE79" s="2" t="s">
        <v>88</v>
      </c>
      <c r="AF79" s="2" t="s">
        <v>93</v>
      </c>
      <c r="AG79" s="2" t="s">
        <v>806</v>
      </c>
      <c r="AH79" s="2" t="s">
        <v>185</v>
      </c>
      <c r="AI79" s="2" t="s">
        <v>367</v>
      </c>
      <c r="AJ79" s="4"/>
      <c r="AL79" s="4"/>
      <c r="AN79" s="4"/>
      <c r="AP79" s="4"/>
      <c r="AQ79" s="4"/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Z79" s="2" t="s">
        <v>60</v>
      </c>
    </row>
    <row r="80" spans="2:52" x14ac:dyDescent="0.15">
      <c r="B80" s="2" t="s">
        <v>434</v>
      </c>
      <c r="C80" s="2" t="s">
        <v>830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213</v>
      </c>
      <c r="J80" s="4" t="str">
        <f>VLOOKUP(I80,citySet!$B$5:$C$46,2,0)</f>
        <v>江陵</v>
      </c>
      <c r="K80" s="2" t="s">
        <v>801</v>
      </c>
      <c r="L80" s="2" t="s">
        <v>833</v>
      </c>
      <c r="M80" s="2" t="s">
        <v>834</v>
      </c>
      <c r="N80" s="4"/>
      <c r="O80" s="2" t="s">
        <v>832</v>
      </c>
      <c r="P80" s="2" t="s">
        <v>832</v>
      </c>
      <c r="Q80" s="4">
        <v>0</v>
      </c>
      <c r="R80" s="2" t="s">
        <v>370</v>
      </c>
      <c r="S80" s="2" t="s">
        <v>437</v>
      </c>
      <c r="T80" s="2" t="s">
        <v>505</v>
      </c>
      <c r="U80" s="2" t="s">
        <v>418</v>
      </c>
      <c r="V80" s="2" t="s">
        <v>445</v>
      </c>
      <c r="W80" s="4">
        <v>2</v>
      </c>
      <c r="X80" s="2" t="s">
        <v>2983</v>
      </c>
      <c r="Y80" s="4">
        <v>0</v>
      </c>
      <c r="Z80" s="4" t="s">
        <v>39</v>
      </c>
      <c r="AA80" s="2" t="s">
        <v>60</v>
      </c>
      <c r="AB80" s="2" t="s">
        <v>261</v>
      </c>
      <c r="AC80" s="2" t="s">
        <v>454</v>
      </c>
      <c r="AD80" s="4">
        <v>69</v>
      </c>
      <c r="AE80" s="2" t="s">
        <v>367</v>
      </c>
      <c r="AF80" s="2" t="s">
        <v>367</v>
      </c>
      <c r="AG80" s="2" t="s">
        <v>831</v>
      </c>
      <c r="AH80" s="2" t="s">
        <v>185</v>
      </c>
      <c r="AI80" s="2" t="s">
        <v>445</v>
      </c>
      <c r="AJ80" s="4" t="s">
        <v>321</v>
      </c>
      <c r="AK80" s="2" t="s">
        <v>798</v>
      </c>
      <c r="AL80" s="4"/>
      <c r="AN80" s="4"/>
      <c r="AP80" s="4"/>
      <c r="AQ80" s="4"/>
      <c r="AS80" s="4">
        <v>0</v>
      </c>
      <c r="AT80" s="4">
        <v>2</v>
      </c>
      <c r="AU80" s="4">
        <v>2</v>
      </c>
      <c r="AV80" s="4">
        <v>0</v>
      </c>
      <c r="AW80" s="4">
        <v>2</v>
      </c>
      <c r="AX80" s="4">
        <v>1</v>
      </c>
      <c r="AZ80" s="2" t="s">
        <v>60</v>
      </c>
    </row>
    <row r="81" spans="2:52" x14ac:dyDescent="0.15">
      <c r="B81" s="2" t="s">
        <v>422</v>
      </c>
      <c r="C81" s="2" t="s">
        <v>835</v>
      </c>
      <c r="D81" s="2" t="s">
        <v>27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27</v>
      </c>
      <c r="H81" s="4" t="str">
        <f>VLOOKUP(G81,corpsSet!$B$5:$C$46,2,0)</f>
        <v>曹操</v>
      </c>
      <c r="I81" s="4" t="s">
        <v>17</v>
      </c>
      <c r="J81" s="4" t="str">
        <f>VLOOKUP(I81,citySet!$B$5:$C$46,2,0)</f>
        <v>许昌</v>
      </c>
      <c r="K81" s="2" t="s">
        <v>773</v>
      </c>
      <c r="L81" s="2" t="s">
        <v>840</v>
      </c>
      <c r="M81" s="2" t="s">
        <v>841</v>
      </c>
      <c r="N81" s="4"/>
      <c r="O81" s="2" t="s">
        <v>326</v>
      </c>
      <c r="P81" s="2" t="s">
        <v>326</v>
      </c>
      <c r="Q81" s="4">
        <v>0</v>
      </c>
      <c r="R81" s="2" t="s">
        <v>370</v>
      </c>
      <c r="S81" s="2" t="s">
        <v>326</v>
      </c>
      <c r="T81" s="2" t="s">
        <v>544</v>
      </c>
      <c r="U81" s="2" t="s">
        <v>86</v>
      </c>
      <c r="V81" s="2" t="s">
        <v>106</v>
      </c>
      <c r="W81" s="4">
        <v>1</v>
      </c>
      <c r="X81" s="2" t="s">
        <v>365</v>
      </c>
      <c r="Y81" s="4">
        <v>0</v>
      </c>
      <c r="Z81" s="4" t="s">
        <v>39</v>
      </c>
      <c r="AA81" s="2" t="s">
        <v>185</v>
      </c>
      <c r="AB81" s="2" t="s">
        <v>837</v>
      </c>
      <c r="AC81" s="2" t="s">
        <v>431</v>
      </c>
      <c r="AD81" s="4">
        <v>81</v>
      </c>
      <c r="AE81" s="2" t="s">
        <v>481</v>
      </c>
      <c r="AF81" s="2" t="s">
        <v>422</v>
      </c>
      <c r="AG81" s="2" t="s">
        <v>838</v>
      </c>
      <c r="AH81" s="2" t="s">
        <v>185</v>
      </c>
      <c r="AI81" s="2" t="s">
        <v>434</v>
      </c>
      <c r="AJ81" s="4"/>
      <c r="AL81" s="4"/>
      <c r="AN81" s="4"/>
      <c r="AP81" s="4"/>
      <c r="AQ81" s="4"/>
      <c r="AS81" s="4">
        <v>2</v>
      </c>
      <c r="AT81" s="4">
        <v>3</v>
      </c>
      <c r="AU81" s="4">
        <v>0</v>
      </c>
      <c r="AV81" s="4">
        <v>2</v>
      </c>
      <c r="AW81" s="4">
        <v>1</v>
      </c>
      <c r="AX81" s="4">
        <v>0</v>
      </c>
      <c r="AZ81" s="2" t="s">
        <v>60</v>
      </c>
    </row>
    <row r="82" spans="2:52" x14ac:dyDescent="0.15">
      <c r="B82" s="2" t="s">
        <v>431</v>
      </c>
      <c r="C82" s="2" t="s">
        <v>842</v>
      </c>
      <c r="D82" s="2" t="s">
        <v>27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27</v>
      </c>
      <c r="H82" s="4" t="str">
        <f>VLOOKUP(G82,corpsSet!$B$5:$C$46,2,0)</f>
        <v>曹操</v>
      </c>
      <c r="I82" s="4" t="s">
        <v>17</v>
      </c>
      <c r="J82" s="4" t="str">
        <f>VLOOKUP(I82,citySet!$B$5:$C$46,2,0)</f>
        <v>许昌</v>
      </c>
      <c r="K82" s="2" t="s">
        <v>844</v>
      </c>
      <c r="L82" s="2" t="s">
        <v>573</v>
      </c>
      <c r="M82" s="2" t="s">
        <v>845</v>
      </c>
      <c r="N82" s="4"/>
      <c r="O82" s="2" t="s">
        <v>843</v>
      </c>
      <c r="P82" s="2" t="s">
        <v>843</v>
      </c>
      <c r="Q82" s="4">
        <v>0</v>
      </c>
      <c r="R82" s="2" t="s">
        <v>370</v>
      </c>
      <c r="S82" s="2" t="s">
        <v>379</v>
      </c>
      <c r="T82" s="2" t="s">
        <v>380</v>
      </c>
      <c r="U82" s="2" t="s">
        <v>548</v>
      </c>
      <c r="V82" s="2" t="s">
        <v>200</v>
      </c>
      <c r="W82" s="4">
        <v>1</v>
      </c>
      <c r="X82" s="2" t="s">
        <v>365</v>
      </c>
      <c r="Y82" s="4">
        <v>0</v>
      </c>
      <c r="Z82" s="4" t="s">
        <v>39</v>
      </c>
      <c r="AA82" s="2" t="s">
        <v>185</v>
      </c>
      <c r="AB82" s="2" t="s">
        <v>515</v>
      </c>
      <c r="AC82" s="2" t="s">
        <v>261</v>
      </c>
      <c r="AD82" s="4">
        <v>49</v>
      </c>
      <c r="AE82" s="2" t="s">
        <v>432</v>
      </c>
      <c r="AF82" s="2" t="s">
        <v>445</v>
      </c>
      <c r="AG82" s="2" t="s">
        <v>738</v>
      </c>
      <c r="AH82" s="2" t="s">
        <v>185</v>
      </c>
      <c r="AI82" s="2" t="s">
        <v>256</v>
      </c>
      <c r="AJ82" s="4" t="s">
        <v>88</v>
      </c>
      <c r="AK82" s="2" t="s">
        <v>197</v>
      </c>
      <c r="AL82" s="4"/>
      <c r="AN82" s="4"/>
      <c r="AP82" s="4"/>
      <c r="AQ82" s="4"/>
      <c r="AS82" s="4">
        <v>1</v>
      </c>
      <c r="AT82" s="4">
        <v>0</v>
      </c>
      <c r="AU82" s="4">
        <v>1</v>
      </c>
      <c r="AV82" s="4">
        <v>2</v>
      </c>
      <c r="AW82" s="4">
        <v>0</v>
      </c>
      <c r="AX82" s="4">
        <v>0</v>
      </c>
      <c r="AZ82" s="2" t="s">
        <v>60</v>
      </c>
    </row>
    <row r="83" spans="2:52" x14ac:dyDescent="0.15">
      <c r="B83" s="2" t="s">
        <v>88</v>
      </c>
      <c r="C83" s="2" t="s">
        <v>197</v>
      </c>
      <c r="D83" s="2" t="s">
        <v>27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27</v>
      </c>
      <c r="H83" s="4" t="str">
        <f>VLOOKUP(G83,corpsSet!$B$5:$C$46,2,0)</f>
        <v>曹操</v>
      </c>
      <c r="I83" s="4" t="s">
        <v>17</v>
      </c>
      <c r="J83" s="4" t="str">
        <f>VLOOKUP(I83,citySet!$B$5:$C$46,2,0)</f>
        <v>许昌</v>
      </c>
      <c r="K83" s="2" t="s">
        <v>844</v>
      </c>
      <c r="L83" s="2" t="s">
        <v>847</v>
      </c>
      <c r="M83" s="2" t="s">
        <v>848</v>
      </c>
      <c r="N83" s="4"/>
      <c r="O83" s="2" t="s">
        <v>36</v>
      </c>
      <c r="P83" s="2" t="s">
        <v>36</v>
      </c>
      <c r="Q83" s="4">
        <v>0</v>
      </c>
      <c r="R83" s="2" t="s">
        <v>370</v>
      </c>
      <c r="S83" s="2" t="s">
        <v>435</v>
      </c>
      <c r="T83" s="2" t="s">
        <v>394</v>
      </c>
      <c r="U83" s="2" t="s">
        <v>702</v>
      </c>
      <c r="V83" s="2" t="s">
        <v>196</v>
      </c>
      <c r="W83" s="4">
        <v>1</v>
      </c>
      <c r="X83" s="2" t="s">
        <v>365</v>
      </c>
      <c r="Y83" s="4">
        <v>3</v>
      </c>
      <c r="Z83" s="4" t="s">
        <v>696</v>
      </c>
      <c r="AA83" s="2" t="s">
        <v>134</v>
      </c>
      <c r="AB83" s="2" t="s">
        <v>837</v>
      </c>
      <c r="AC83" s="2" t="s">
        <v>148</v>
      </c>
      <c r="AD83" s="4">
        <v>54</v>
      </c>
      <c r="AE83" s="2" t="s">
        <v>269</v>
      </c>
      <c r="AF83" s="2" t="s">
        <v>329</v>
      </c>
      <c r="AG83" s="2" t="s">
        <v>767</v>
      </c>
      <c r="AH83" s="2" t="s">
        <v>185</v>
      </c>
      <c r="AI83" s="2" t="s">
        <v>256</v>
      </c>
      <c r="AJ83" s="4"/>
      <c r="AK83" s="2" t="s">
        <v>846</v>
      </c>
      <c r="AL83" s="4"/>
      <c r="AN83" s="4"/>
      <c r="AP83" s="4"/>
      <c r="AQ83" s="4"/>
      <c r="AS83" s="4">
        <v>1</v>
      </c>
      <c r="AT83" s="4">
        <v>1</v>
      </c>
      <c r="AU83" s="4">
        <v>3</v>
      </c>
      <c r="AV83" s="4">
        <v>3</v>
      </c>
      <c r="AW83" s="4">
        <v>2</v>
      </c>
      <c r="AX83" s="4">
        <v>0</v>
      </c>
      <c r="AZ83" s="2" t="s">
        <v>60</v>
      </c>
    </row>
    <row r="84" spans="2:52" x14ac:dyDescent="0.15">
      <c r="B84" s="2" t="s">
        <v>329</v>
      </c>
      <c r="C84" s="2" t="s">
        <v>849</v>
      </c>
      <c r="D84" s="2" t="s">
        <v>27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27</v>
      </c>
      <c r="H84" s="4" t="str">
        <f>VLOOKUP(G84,corpsSet!$B$5:$C$46,2,0)</f>
        <v>曹操</v>
      </c>
      <c r="I84" s="4" t="s">
        <v>17</v>
      </c>
      <c r="J84" s="4" t="str">
        <f>VLOOKUP(I84,citySet!$B$5:$C$46,2,0)</f>
        <v>许昌</v>
      </c>
      <c r="K84" s="2" t="s">
        <v>844</v>
      </c>
      <c r="L84" s="2" t="s">
        <v>852</v>
      </c>
      <c r="N84" s="4"/>
      <c r="O84" s="2" t="s">
        <v>850</v>
      </c>
      <c r="P84" s="2" t="s">
        <v>850</v>
      </c>
      <c r="Q84" s="4">
        <v>0</v>
      </c>
      <c r="R84" s="2" t="s">
        <v>370</v>
      </c>
      <c r="S84" s="2" t="s">
        <v>407</v>
      </c>
      <c r="T84" s="2" t="s">
        <v>96</v>
      </c>
      <c r="U84" s="2" t="s">
        <v>406</v>
      </c>
      <c r="V84" s="2" t="s">
        <v>196</v>
      </c>
      <c r="W84" s="4">
        <v>1</v>
      </c>
      <c r="X84" s="2" t="s">
        <v>365</v>
      </c>
      <c r="Y84" s="4">
        <v>0</v>
      </c>
      <c r="Z84" s="4" t="s">
        <v>39</v>
      </c>
      <c r="AA84" s="2" t="s">
        <v>185</v>
      </c>
      <c r="AB84" s="2" t="s">
        <v>382</v>
      </c>
      <c r="AC84" s="2" t="s">
        <v>374</v>
      </c>
      <c r="AD84" s="4">
        <v>52</v>
      </c>
      <c r="AE84" s="2" t="s">
        <v>101</v>
      </c>
      <c r="AF84" s="2" t="s">
        <v>515</v>
      </c>
      <c r="AG84" s="2" t="s">
        <v>392</v>
      </c>
      <c r="AH84" s="2" t="s">
        <v>185</v>
      </c>
      <c r="AI84" s="2" t="s">
        <v>88</v>
      </c>
      <c r="AJ84" s="4"/>
      <c r="AL84" s="4"/>
      <c r="AN84" s="4"/>
      <c r="AP84" s="4"/>
      <c r="AQ84" s="4"/>
      <c r="AS84" s="4">
        <v>1</v>
      </c>
      <c r="AT84" s="4">
        <v>0</v>
      </c>
      <c r="AU84" s="4">
        <v>0</v>
      </c>
      <c r="AV84" s="4">
        <v>1</v>
      </c>
      <c r="AW84" s="4">
        <v>0</v>
      </c>
      <c r="AX84" s="4">
        <v>0</v>
      </c>
      <c r="AZ84" s="2" t="s">
        <v>60</v>
      </c>
    </row>
    <row r="85" spans="2:52" x14ac:dyDescent="0.15">
      <c r="B85" s="2" t="s">
        <v>235</v>
      </c>
      <c r="C85" s="2" t="s">
        <v>853</v>
      </c>
      <c r="D85" s="2" t="s">
        <v>27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27</v>
      </c>
      <c r="H85" s="4" t="str">
        <f>VLOOKUP(G85,corpsSet!$B$5:$C$46,2,0)</f>
        <v>曹操</v>
      </c>
      <c r="I85" s="4" t="s">
        <v>17</v>
      </c>
      <c r="J85" s="4" t="str">
        <f>VLOOKUP(I85,citySet!$B$5:$C$46,2,0)</f>
        <v>许昌</v>
      </c>
      <c r="K85" s="2" t="s">
        <v>844</v>
      </c>
      <c r="L85" s="2" t="s">
        <v>855</v>
      </c>
      <c r="M85" s="2" t="s">
        <v>856</v>
      </c>
      <c r="N85" s="4"/>
      <c r="O85" s="2" t="s">
        <v>453</v>
      </c>
      <c r="P85" s="2" t="s">
        <v>453</v>
      </c>
      <c r="Q85" s="4">
        <v>0</v>
      </c>
      <c r="R85" s="2" t="s">
        <v>370</v>
      </c>
      <c r="S85" s="2" t="s">
        <v>437</v>
      </c>
      <c r="T85" s="2" t="s">
        <v>505</v>
      </c>
      <c r="U85" s="2" t="s">
        <v>854</v>
      </c>
      <c r="V85" s="2" t="s">
        <v>200</v>
      </c>
      <c r="W85" s="4">
        <v>1</v>
      </c>
      <c r="X85" s="2" t="s">
        <v>365</v>
      </c>
      <c r="Y85" s="4">
        <v>0</v>
      </c>
      <c r="Z85" s="4" t="s">
        <v>39</v>
      </c>
      <c r="AA85" s="2" t="s">
        <v>185</v>
      </c>
      <c r="AB85" s="2" t="s">
        <v>414</v>
      </c>
      <c r="AC85" s="2" t="s">
        <v>7</v>
      </c>
      <c r="AD85" s="4">
        <v>70</v>
      </c>
      <c r="AE85" s="2" t="s">
        <v>434</v>
      </c>
      <c r="AF85" s="2" t="s">
        <v>444</v>
      </c>
      <c r="AG85" s="2" t="s">
        <v>503</v>
      </c>
      <c r="AH85" s="2" t="s">
        <v>185</v>
      </c>
      <c r="AI85" s="2" t="s">
        <v>256</v>
      </c>
      <c r="AJ85" s="4" t="s">
        <v>88</v>
      </c>
      <c r="AK85" s="2" t="s">
        <v>197</v>
      </c>
      <c r="AL85" s="4"/>
      <c r="AN85" s="4"/>
      <c r="AP85" s="4"/>
      <c r="AQ85" s="4"/>
      <c r="AS85" s="4">
        <v>0</v>
      </c>
      <c r="AT85" s="4">
        <v>0</v>
      </c>
      <c r="AU85" s="4">
        <v>0</v>
      </c>
      <c r="AV85" s="4">
        <v>1</v>
      </c>
      <c r="AW85" s="4">
        <v>1</v>
      </c>
      <c r="AX85" s="4">
        <v>0</v>
      </c>
      <c r="AZ85" s="2" t="s">
        <v>60</v>
      </c>
    </row>
    <row r="86" spans="2:52" x14ac:dyDescent="0.15">
      <c r="B86" s="2" t="s">
        <v>554</v>
      </c>
      <c r="C86" s="2" t="s">
        <v>857</v>
      </c>
      <c r="D86" s="2" t="s">
        <v>27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27</v>
      </c>
      <c r="H86" s="4" t="str">
        <f>VLOOKUP(G86,corpsSet!$B$5:$C$46,2,0)</f>
        <v>曹操</v>
      </c>
      <c r="I86" s="4" t="s">
        <v>17</v>
      </c>
      <c r="J86" s="4" t="str">
        <f>VLOOKUP(I86,citySet!$B$5:$C$46,2,0)</f>
        <v>许昌</v>
      </c>
      <c r="K86" s="2" t="s">
        <v>844</v>
      </c>
      <c r="L86" s="2" t="s">
        <v>858</v>
      </c>
      <c r="M86" s="2" t="s">
        <v>859</v>
      </c>
      <c r="N86" s="4"/>
      <c r="O86" s="2" t="s">
        <v>786</v>
      </c>
      <c r="P86" s="2" t="s">
        <v>786</v>
      </c>
      <c r="Q86" s="4">
        <v>0</v>
      </c>
      <c r="R86" s="2" t="s">
        <v>370</v>
      </c>
      <c r="S86" s="2" t="s">
        <v>456</v>
      </c>
      <c r="T86" s="2" t="s">
        <v>326</v>
      </c>
      <c r="U86" s="2" t="s">
        <v>368</v>
      </c>
      <c r="V86" s="2" t="s">
        <v>200</v>
      </c>
      <c r="W86" s="4">
        <v>1</v>
      </c>
      <c r="X86" s="2" t="s">
        <v>365</v>
      </c>
      <c r="Y86" s="4">
        <v>0</v>
      </c>
      <c r="Z86" s="4" t="s">
        <v>39</v>
      </c>
      <c r="AA86" s="2" t="s">
        <v>185</v>
      </c>
      <c r="AB86" s="2" t="s">
        <v>4</v>
      </c>
      <c r="AC86" s="2" t="s">
        <v>100</v>
      </c>
      <c r="AD86" s="4">
        <v>75</v>
      </c>
      <c r="AE86" s="2" t="s">
        <v>261</v>
      </c>
      <c r="AF86" s="2" t="s">
        <v>404</v>
      </c>
      <c r="AG86" s="2" t="s">
        <v>678</v>
      </c>
      <c r="AH86" s="2" t="s">
        <v>185</v>
      </c>
      <c r="AI86" s="2" t="s">
        <v>256</v>
      </c>
      <c r="AJ86" s="4" t="s">
        <v>88</v>
      </c>
      <c r="AK86" s="2" t="s">
        <v>197</v>
      </c>
      <c r="AL86" s="4"/>
      <c r="AN86" s="4"/>
      <c r="AP86" s="4"/>
      <c r="AQ86" s="4"/>
      <c r="AS86" s="4">
        <v>0</v>
      </c>
      <c r="AT86" s="4">
        <v>0</v>
      </c>
      <c r="AU86" s="4">
        <v>1</v>
      </c>
      <c r="AV86" s="4">
        <v>1</v>
      </c>
      <c r="AW86" s="4">
        <v>0</v>
      </c>
      <c r="AX86" s="4">
        <v>0</v>
      </c>
      <c r="AZ86" s="2" t="s">
        <v>60</v>
      </c>
    </row>
    <row r="87" spans="2:52" x14ac:dyDescent="0.15">
      <c r="B87" s="2" t="s">
        <v>397</v>
      </c>
      <c r="C87" s="2" t="s">
        <v>860</v>
      </c>
      <c r="D87" s="2" t="s">
        <v>226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226</v>
      </c>
      <c r="H87" s="4" t="str">
        <f>VLOOKUP(G87,corpsSet!$B$5:$C$46,2,0)</f>
        <v>毌丘俭</v>
      </c>
      <c r="I87" s="4" t="s">
        <v>24</v>
      </c>
      <c r="J87" s="4" t="str">
        <f>VLOOKUP(I87,citySet!$B$5:$C$46,2,0)</f>
        <v>寿春</v>
      </c>
      <c r="K87" s="2" t="s">
        <v>844</v>
      </c>
      <c r="L87" s="2" t="s">
        <v>863</v>
      </c>
      <c r="M87" s="2" t="s">
        <v>864</v>
      </c>
      <c r="N87" s="4"/>
      <c r="O87" s="2" t="s">
        <v>861</v>
      </c>
      <c r="P87" s="2" t="s">
        <v>861</v>
      </c>
      <c r="Q87" s="4">
        <v>0</v>
      </c>
      <c r="R87" s="2" t="s">
        <v>370</v>
      </c>
      <c r="S87" s="2" t="s">
        <v>512</v>
      </c>
      <c r="T87" s="2" t="s">
        <v>406</v>
      </c>
      <c r="U87" s="2" t="s">
        <v>621</v>
      </c>
      <c r="V87" s="2" t="s">
        <v>106</v>
      </c>
      <c r="W87" s="4">
        <v>1</v>
      </c>
      <c r="X87" s="2" t="s">
        <v>365</v>
      </c>
      <c r="Y87" s="4">
        <v>8</v>
      </c>
      <c r="Z87" s="4" t="s">
        <v>3079</v>
      </c>
      <c r="AA87" s="2" t="s">
        <v>185</v>
      </c>
      <c r="AB87" s="2" t="s">
        <v>3</v>
      </c>
      <c r="AC87" s="2" t="s">
        <v>21</v>
      </c>
      <c r="AD87" s="4">
        <v>75</v>
      </c>
      <c r="AE87" s="2" t="s">
        <v>150</v>
      </c>
      <c r="AF87" s="2" t="s">
        <v>404</v>
      </c>
      <c r="AG87" s="2" t="s">
        <v>781</v>
      </c>
      <c r="AH87" s="2" t="s">
        <v>185</v>
      </c>
      <c r="AI87" s="2" t="s">
        <v>256</v>
      </c>
      <c r="AJ87" s="4" t="s">
        <v>391</v>
      </c>
      <c r="AK87" s="2" t="s">
        <v>862</v>
      </c>
      <c r="AL87" s="4"/>
      <c r="AN87" s="4"/>
      <c r="AP87" s="4"/>
      <c r="AQ87" s="4"/>
      <c r="AS87" s="4">
        <v>0</v>
      </c>
      <c r="AT87" s="4">
        <v>1</v>
      </c>
      <c r="AU87" s="4">
        <v>1</v>
      </c>
      <c r="AV87" s="4">
        <v>0</v>
      </c>
      <c r="AW87" s="4">
        <v>1</v>
      </c>
      <c r="AX87" s="4">
        <v>0</v>
      </c>
      <c r="AZ87" s="2" t="s">
        <v>60</v>
      </c>
    </row>
    <row r="88" spans="2:52" x14ac:dyDescent="0.15">
      <c r="B88" s="2" t="s">
        <v>391</v>
      </c>
      <c r="C88" s="2" t="s">
        <v>862</v>
      </c>
      <c r="D88" s="2" t="s">
        <v>27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27</v>
      </c>
      <c r="H88" s="4" t="str">
        <f>VLOOKUP(G88,corpsSet!$B$5:$C$46,2,0)</f>
        <v>曹操</v>
      </c>
      <c r="I88" s="4" t="s">
        <v>17</v>
      </c>
      <c r="J88" s="4" t="str">
        <f>VLOOKUP(I88,citySet!$B$5:$C$46,2,0)</f>
        <v>许昌</v>
      </c>
      <c r="K88" s="2" t="s">
        <v>844</v>
      </c>
      <c r="L88" s="2" t="s">
        <v>532</v>
      </c>
      <c r="M88" s="2" t="s">
        <v>866</v>
      </c>
      <c r="N88" s="4"/>
      <c r="O88" s="2" t="s">
        <v>505</v>
      </c>
      <c r="P88" s="2" t="s">
        <v>505</v>
      </c>
      <c r="Q88" s="4">
        <v>0</v>
      </c>
      <c r="R88" s="2" t="s">
        <v>370</v>
      </c>
      <c r="S88" s="2" t="s">
        <v>479</v>
      </c>
      <c r="T88" s="2" t="s">
        <v>778</v>
      </c>
      <c r="U88" s="2" t="s">
        <v>373</v>
      </c>
      <c r="V88" s="2" t="s">
        <v>193</v>
      </c>
      <c r="W88" s="4">
        <v>1</v>
      </c>
      <c r="X88" s="2" t="s">
        <v>365</v>
      </c>
      <c r="Y88" s="4">
        <v>0</v>
      </c>
      <c r="Z88" s="4" t="s">
        <v>39</v>
      </c>
      <c r="AA88" s="2" t="s">
        <v>185</v>
      </c>
      <c r="AB88" s="2" t="s">
        <v>88</v>
      </c>
      <c r="AC88" s="2" t="s">
        <v>374</v>
      </c>
      <c r="AD88" s="4">
        <v>74</v>
      </c>
      <c r="AE88" s="2" t="s">
        <v>257</v>
      </c>
      <c r="AF88" s="2" t="s">
        <v>269</v>
      </c>
      <c r="AG88" s="2" t="s">
        <v>799</v>
      </c>
      <c r="AH88" s="2" t="s">
        <v>185</v>
      </c>
      <c r="AI88" s="2" t="s">
        <v>256</v>
      </c>
      <c r="AJ88" s="4"/>
      <c r="AK88" s="2" t="s">
        <v>865</v>
      </c>
      <c r="AL88" s="4"/>
      <c r="AN88" s="4"/>
      <c r="AP88" s="4"/>
      <c r="AQ88" s="4"/>
      <c r="AS88" s="4">
        <v>1</v>
      </c>
      <c r="AT88" s="4">
        <v>2</v>
      </c>
      <c r="AU88" s="4">
        <v>2</v>
      </c>
      <c r="AV88" s="4">
        <v>1</v>
      </c>
      <c r="AW88" s="4">
        <v>2</v>
      </c>
      <c r="AX88" s="4">
        <v>0</v>
      </c>
      <c r="AZ88" s="2" t="s">
        <v>60</v>
      </c>
    </row>
    <row r="89" spans="2:52" x14ac:dyDescent="0.15">
      <c r="B89" s="2" t="s">
        <v>256</v>
      </c>
      <c r="C89" s="2" t="s">
        <v>867</v>
      </c>
      <c r="D89" s="2" t="s">
        <v>27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27</v>
      </c>
      <c r="H89" s="4" t="str">
        <f>VLOOKUP(G89,corpsSet!$B$5:$C$46,2,0)</f>
        <v>曹操</v>
      </c>
      <c r="I89" s="4" t="s">
        <v>17</v>
      </c>
      <c r="J89" s="4" t="str">
        <f>VLOOKUP(I89,citySet!$B$5:$C$46,2,0)</f>
        <v>许昌</v>
      </c>
      <c r="K89" s="2" t="s">
        <v>844</v>
      </c>
      <c r="L89" s="2" t="s">
        <v>869</v>
      </c>
      <c r="N89" s="4"/>
      <c r="O89" s="2" t="s">
        <v>868</v>
      </c>
      <c r="P89" s="2" t="s">
        <v>868</v>
      </c>
      <c r="Q89" s="4">
        <v>0</v>
      </c>
      <c r="R89" s="2" t="s">
        <v>370</v>
      </c>
      <c r="S89" s="2" t="s">
        <v>425</v>
      </c>
      <c r="T89" s="2" t="s">
        <v>725</v>
      </c>
      <c r="U89" s="2" t="s">
        <v>379</v>
      </c>
      <c r="V89" s="2" t="s">
        <v>193</v>
      </c>
      <c r="W89" s="4">
        <v>1</v>
      </c>
      <c r="X89" s="2" t="s">
        <v>365</v>
      </c>
      <c r="Y89" s="4">
        <v>0</v>
      </c>
      <c r="Z89" s="4" t="s">
        <v>39</v>
      </c>
      <c r="AA89" s="2" t="s">
        <v>185</v>
      </c>
      <c r="AB89" s="2" t="s">
        <v>454</v>
      </c>
      <c r="AC89" s="2" t="s">
        <v>261</v>
      </c>
      <c r="AD89" s="4">
        <v>32</v>
      </c>
      <c r="AE89" s="2" t="s">
        <v>126</v>
      </c>
      <c r="AF89" s="2" t="s">
        <v>14</v>
      </c>
      <c r="AG89" s="2" t="s">
        <v>604</v>
      </c>
      <c r="AH89" s="2" t="s">
        <v>185</v>
      </c>
      <c r="AI89" s="2" t="s">
        <v>256</v>
      </c>
      <c r="AJ89" s="4"/>
      <c r="AK89" s="2" t="s">
        <v>865</v>
      </c>
      <c r="AL89" s="4"/>
      <c r="AN89" s="4"/>
      <c r="AP89" s="4"/>
      <c r="AQ89" s="4"/>
      <c r="AS89" s="4">
        <v>1</v>
      </c>
      <c r="AT89" s="4">
        <v>0</v>
      </c>
      <c r="AU89" s="4">
        <v>0</v>
      </c>
      <c r="AV89" s="4">
        <v>2</v>
      </c>
      <c r="AW89" s="4">
        <v>0</v>
      </c>
      <c r="AX89" s="4">
        <v>0</v>
      </c>
      <c r="AZ89" s="2" t="s">
        <v>60</v>
      </c>
    </row>
    <row r="90" spans="2:52" x14ac:dyDescent="0.15">
      <c r="B90" s="2" t="s">
        <v>258</v>
      </c>
      <c r="C90" s="2" t="s">
        <v>870</v>
      </c>
      <c r="D90" s="2" t="s">
        <v>27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27</v>
      </c>
      <c r="H90" s="4" t="str">
        <f>VLOOKUP(G90,corpsSet!$B$5:$C$46,2,0)</f>
        <v>曹操</v>
      </c>
      <c r="I90" s="4" t="s">
        <v>17</v>
      </c>
      <c r="J90" s="4" t="str">
        <f>VLOOKUP(I90,citySet!$B$5:$C$46,2,0)</f>
        <v>许昌</v>
      </c>
      <c r="K90" s="2" t="s">
        <v>844</v>
      </c>
      <c r="L90" s="2" t="s">
        <v>693</v>
      </c>
      <c r="M90" s="2" t="s">
        <v>874</v>
      </c>
      <c r="N90" s="4"/>
      <c r="O90" s="2" t="s">
        <v>872</v>
      </c>
      <c r="P90" s="2" t="s">
        <v>872</v>
      </c>
      <c r="Q90" s="4">
        <v>0</v>
      </c>
      <c r="R90" s="2" t="s">
        <v>370</v>
      </c>
      <c r="S90" s="2" t="s">
        <v>435</v>
      </c>
      <c r="T90" s="2" t="s">
        <v>824</v>
      </c>
      <c r="U90" s="2" t="s">
        <v>456</v>
      </c>
      <c r="V90" s="2" t="s">
        <v>196</v>
      </c>
      <c r="W90" s="4">
        <v>1</v>
      </c>
      <c r="X90" s="2" t="s">
        <v>365</v>
      </c>
      <c r="Y90" s="4">
        <v>4</v>
      </c>
      <c r="Z90" s="4" t="s">
        <v>1091</v>
      </c>
      <c r="AA90" s="2" t="s">
        <v>134</v>
      </c>
      <c r="AB90" s="2" t="s">
        <v>78</v>
      </c>
      <c r="AC90" s="2" t="s">
        <v>176</v>
      </c>
      <c r="AD90" s="4">
        <v>58</v>
      </c>
      <c r="AE90" s="2" t="s">
        <v>153</v>
      </c>
      <c r="AF90" s="2" t="s">
        <v>235</v>
      </c>
      <c r="AG90" s="2" t="s">
        <v>871</v>
      </c>
      <c r="AH90" s="2" t="s">
        <v>185</v>
      </c>
      <c r="AI90" s="2" t="s">
        <v>256</v>
      </c>
      <c r="AJ90" s="4"/>
      <c r="AK90" s="2" t="s">
        <v>873</v>
      </c>
      <c r="AL90" s="4"/>
      <c r="AN90" s="4"/>
      <c r="AP90" s="4"/>
      <c r="AQ90" s="4"/>
      <c r="AS90" s="4">
        <v>2</v>
      </c>
      <c r="AT90" s="4">
        <v>1</v>
      </c>
      <c r="AU90" s="4">
        <v>0</v>
      </c>
      <c r="AV90" s="4">
        <v>3</v>
      </c>
      <c r="AW90" s="4">
        <v>1</v>
      </c>
      <c r="AX90" s="4">
        <v>0</v>
      </c>
      <c r="AZ90" s="2" t="s">
        <v>60</v>
      </c>
    </row>
    <row r="91" spans="2:52" x14ac:dyDescent="0.15">
      <c r="B91" s="2" t="s">
        <v>837</v>
      </c>
      <c r="C91" s="2" t="s">
        <v>875</v>
      </c>
      <c r="D91" s="2" t="s">
        <v>27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27</v>
      </c>
      <c r="H91" s="4" t="str">
        <f>VLOOKUP(G91,corpsSet!$B$5:$C$46,2,0)</f>
        <v>曹操</v>
      </c>
      <c r="I91" s="4" t="s">
        <v>17</v>
      </c>
      <c r="J91" s="4" t="str">
        <f>VLOOKUP(I91,citySet!$B$5:$C$46,2,0)</f>
        <v>许昌</v>
      </c>
      <c r="K91" s="2" t="s">
        <v>844</v>
      </c>
      <c r="L91" s="2" t="s">
        <v>879</v>
      </c>
      <c r="M91" s="2" t="s">
        <v>880</v>
      </c>
      <c r="N91" s="4"/>
      <c r="O91" s="2" t="s">
        <v>329</v>
      </c>
      <c r="P91" s="2" t="s">
        <v>329</v>
      </c>
      <c r="Q91" s="4">
        <v>0</v>
      </c>
      <c r="R91" s="2" t="s">
        <v>370</v>
      </c>
      <c r="S91" s="2" t="s">
        <v>340</v>
      </c>
      <c r="T91" s="2" t="s">
        <v>536</v>
      </c>
      <c r="U91" s="2" t="s">
        <v>877</v>
      </c>
      <c r="V91" s="2" t="s">
        <v>189</v>
      </c>
      <c r="W91" s="4">
        <v>1</v>
      </c>
      <c r="X91" s="2" t="s">
        <v>365</v>
      </c>
      <c r="Y91" s="4">
        <v>0</v>
      </c>
      <c r="Z91" s="4" t="s">
        <v>39</v>
      </c>
      <c r="AA91" s="2" t="s">
        <v>185</v>
      </c>
      <c r="AB91" s="2" t="s">
        <v>88</v>
      </c>
      <c r="AC91" s="2" t="s">
        <v>391</v>
      </c>
      <c r="AD91" s="4">
        <v>77</v>
      </c>
      <c r="AE91" s="2" t="s">
        <v>254</v>
      </c>
      <c r="AF91" s="2" t="s">
        <v>515</v>
      </c>
      <c r="AG91" s="2" t="s">
        <v>876</v>
      </c>
      <c r="AH91" s="2" t="s">
        <v>185</v>
      </c>
      <c r="AI91" s="2" t="s">
        <v>256</v>
      </c>
      <c r="AJ91" s="4" t="s">
        <v>88</v>
      </c>
      <c r="AK91" s="2" t="s">
        <v>197</v>
      </c>
      <c r="AL91" s="4"/>
      <c r="AN91" s="4"/>
      <c r="AP91" s="4"/>
      <c r="AQ91" s="4"/>
      <c r="AS91" s="4">
        <v>2</v>
      </c>
      <c r="AT91" s="4">
        <v>1</v>
      </c>
      <c r="AU91" s="4">
        <v>1</v>
      </c>
      <c r="AV91" s="4">
        <v>2</v>
      </c>
      <c r="AW91" s="4">
        <v>0</v>
      </c>
      <c r="AX91" s="4">
        <v>0</v>
      </c>
      <c r="AZ91" s="2" t="s">
        <v>60</v>
      </c>
    </row>
    <row r="92" spans="2:52" x14ac:dyDescent="0.15">
      <c r="B92" s="2" t="s">
        <v>123</v>
      </c>
      <c r="C92" s="2" t="s">
        <v>881</v>
      </c>
      <c r="D92" s="2" t="s">
        <v>27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27</v>
      </c>
      <c r="H92" s="4" t="str">
        <f>VLOOKUP(G92,corpsSet!$B$5:$C$46,2,0)</f>
        <v>曹操</v>
      </c>
      <c r="I92" s="4" t="s">
        <v>17</v>
      </c>
      <c r="J92" s="4" t="str">
        <f>VLOOKUP(I92,citySet!$B$5:$C$46,2,0)</f>
        <v>许昌</v>
      </c>
      <c r="K92" s="2" t="s">
        <v>844</v>
      </c>
      <c r="L92" s="2" t="s">
        <v>882</v>
      </c>
      <c r="M92" s="2" t="s">
        <v>883</v>
      </c>
      <c r="N92" s="4"/>
      <c r="O92" s="2" t="s">
        <v>570</v>
      </c>
      <c r="P92" s="2" t="s">
        <v>570</v>
      </c>
      <c r="Q92" s="4">
        <v>0</v>
      </c>
      <c r="R92" s="2" t="s">
        <v>370</v>
      </c>
      <c r="S92" s="2" t="s">
        <v>332</v>
      </c>
      <c r="T92" s="2" t="s">
        <v>772</v>
      </c>
      <c r="U92" s="2" t="s">
        <v>679</v>
      </c>
      <c r="V92" s="2" t="s">
        <v>105</v>
      </c>
      <c r="W92" s="4">
        <v>1</v>
      </c>
      <c r="X92" s="2" t="s">
        <v>365</v>
      </c>
      <c r="Y92" s="4">
        <v>0</v>
      </c>
      <c r="Z92" s="4" t="s">
        <v>39</v>
      </c>
      <c r="AA92" s="2" t="s">
        <v>185</v>
      </c>
      <c r="AB92" s="2" t="s">
        <v>106</v>
      </c>
      <c r="AC92" s="2" t="s">
        <v>34</v>
      </c>
      <c r="AD92" s="4">
        <v>4</v>
      </c>
      <c r="AE92" s="2" t="s">
        <v>107</v>
      </c>
      <c r="AF92" s="2" t="s">
        <v>35</v>
      </c>
      <c r="AG92" s="2" t="s">
        <v>3</v>
      </c>
      <c r="AH92" s="2" t="s">
        <v>185</v>
      </c>
      <c r="AI92" s="2" t="s">
        <v>256</v>
      </c>
      <c r="AJ92" s="4" t="s">
        <v>258</v>
      </c>
      <c r="AK92" s="2" t="s">
        <v>870</v>
      </c>
      <c r="AL92" s="4"/>
      <c r="AN92" s="4"/>
      <c r="AP92" s="4"/>
      <c r="AQ92" s="4"/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Z92" s="2" t="s">
        <v>60</v>
      </c>
    </row>
    <row r="93" spans="2:52" x14ac:dyDescent="0.15">
      <c r="B93" s="2" t="s">
        <v>78</v>
      </c>
      <c r="C93" s="2" t="s">
        <v>884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41</v>
      </c>
      <c r="J93" s="4" t="str">
        <f>VLOOKUP(I93,citySet!$B$5:$C$46,2,0)</f>
        <v>陈留</v>
      </c>
      <c r="K93" s="2" t="s">
        <v>844</v>
      </c>
      <c r="L93" s="2" t="s">
        <v>885</v>
      </c>
      <c r="N93" s="4"/>
      <c r="O93" s="2" t="s">
        <v>795</v>
      </c>
      <c r="P93" s="2" t="s">
        <v>795</v>
      </c>
      <c r="Q93" s="4">
        <v>1</v>
      </c>
      <c r="R93" s="2" t="s">
        <v>577</v>
      </c>
      <c r="S93" s="2" t="s">
        <v>437</v>
      </c>
      <c r="T93" s="2" t="s">
        <v>505</v>
      </c>
      <c r="U93" s="2" t="s">
        <v>815</v>
      </c>
      <c r="V93" s="2" t="s">
        <v>106</v>
      </c>
      <c r="W93" s="4">
        <v>2</v>
      </c>
      <c r="X93" s="2" t="s">
        <v>2983</v>
      </c>
      <c r="Y93" s="4">
        <v>0</v>
      </c>
      <c r="Z93" s="4" t="s">
        <v>39</v>
      </c>
      <c r="AA93" s="2" t="s">
        <v>60</v>
      </c>
      <c r="AB93" s="2" t="s">
        <v>105</v>
      </c>
      <c r="AC93" s="2" t="s">
        <v>32</v>
      </c>
      <c r="AD93" s="4">
        <v>73</v>
      </c>
      <c r="AE93" s="2" t="s">
        <v>515</v>
      </c>
      <c r="AF93" s="2" t="s">
        <v>391</v>
      </c>
      <c r="AG93" s="2" t="s">
        <v>815</v>
      </c>
      <c r="AH93" s="2" t="s">
        <v>185</v>
      </c>
      <c r="AI93" s="2" t="s">
        <v>123</v>
      </c>
      <c r="AJ93" s="4"/>
      <c r="AL93" s="4"/>
      <c r="AN93" s="4"/>
      <c r="AP93" s="4"/>
      <c r="AQ93" s="4"/>
      <c r="AS93" s="4">
        <v>0</v>
      </c>
      <c r="AT93" s="4">
        <v>0</v>
      </c>
      <c r="AU93" s="4">
        <v>1</v>
      </c>
      <c r="AV93" s="4">
        <v>0</v>
      </c>
      <c r="AW93" s="4">
        <v>0</v>
      </c>
      <c r="AX93" s="4">
        <v>0</v>
      </c>
      <c r="AZ93" s="2" t="s">
        <v>60</v>
      </c>
    </row>
    <row r="94" spans="2:52" x14ac:dyDescent="0.15">
      <c r="B94" s="2" t="s">
        <v>176</v>
      </c>
      <c r="C94" s="2" t="s">
        <v>886</v>
      </c>
      <c r="D94" s="2" t="s">
        <v>18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18</v>
      </c>
      <c r="H94" s="4" t="str">
        <f>VLOOKUP(G94,corpsSet!$B$5:$C$46,2,0)</f>
        <v>司马懿</v>
      </c>
      <c r="I94" s="4" t="s">
        <v>18</v>
      </c>
      <c r="J94" s="4" t="str">
        <f>VLOOKUP(I94,citySet!$B$5:$C$46,2,0)</f>
        <v>洛阳</v>
      </c>
      <c r="K94" s="2" t="s">
        <v>749</v>
      </c>
      <c r="L94" s="2" t="s">
        <v>889</v>
      </c>
      <c r="M94" s="2" t="s">
        <v>890</v>
      </c>
      <c r="N94" s="4"/>
      <c r="O94" s="2" t="s">
        <v>887</v>
      </c>
      <c r="P94" s="2" t="s">
        <v>887</v>
      </c>
      <c r="Q94" s="4">
        <v>0</v>
      </c>
      <c r="R94" s="2" t="s">
        <v>370</v>
      </c>
      <c r="S94" s="2" t="s">
        <v>556</v>
      </c>
      <c r="T94" s="2" t="s">
        <v>371</v>
      </c>
      <c r="U94" s="2" t="s">
        <v>650</v>
      </c>
      <c r="V94" s="2" t="s">
        <v>213</v>
      </c>
      <c r="W94" s="4">
        <v>1</v>
      </c>
      <c r="X94" s="2" t="s">
        <v>365</v>
      </c>
      <c r="Y94" s="4">
        <v>0</v>
      </c>
      <c r="Z94" s="4" t="s">
        <v>39</v>
      </c>
      <c r="AA94" s="2" t="s">
        <v>185</v>
      </c>
      <c r="AB94" s="2" t="s">
        <v>3</v>
      </c>
      <c r="AC94" s="2" t="s">
        <v>213</v>
      </c>
      <c r="AD94" s="4">
        <v>89</v>
      </c>
      <c r="AE94" s="2" t="s">
        <v>256</v>
      </c>
      <c r="AF94" s="2" t="s">
        <v>32</v>
      </c>
      <c r="AG94" s="2" t="s">
        <v>645</v>
      </c>
      <c r="AH94" s="2" t="s">
        <v>185</v>
      </c>
      <c r="AI94" s="2" t="s">
        <v>432</v>
      </c>
      <c r="AJ94" s="4" t="s">
        <v>485</v>
      </c>
      <c r="AK94" s="2" t="s">
        <v>754</v>
      </c>
      <c r="AL94" s="4"/>
      <c r="AN94" s="4"/>
      <c r="AP94" s="4"/>
      <c r="AQ94" s="4"/>
      <c r="AS94" s="4">
        <v>0</v>
      </c>
      <c r="AT94" s="4">
        <v>1</v>
      </c>
      <c r="AU94" s="4">
        <v>0</v>
      </c>
      <c r="AV94" s="4">
        <v>0</v>
      </c>
      <c r="AW94" s="4">
        <v>0</v>
      </c>
      <c r="AX94" s="4">
        <v>0</v>
      </c>
      <c r="AZ94" s="2" t="s">
        <v>60</v>
      </c>
    </row>
    <row r="95" spans="2:52" x14ac:dyDescent="0.15">
      <c r="B95" s="2" t="s">
        <v>148</v>
      </c>
      <c r="C95" s="2" t="s">
        <v>891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193</v>
      </c>
      <c r="J95" s="4" t="str">
        <f>VLOOKUP(I95,citySet!$B$5:$C$46,2,0)</f>
        <v>吴</v>
      </c>
      <c r="K95" s="2" t="s">
        <v>734</v>
      </c>
      <c r="L95" s="2" t="s">
        <v>894</v>
      </c>
      <c r="N95" s="4"/>
      <c r="O95" s="2" t="s">
        <v>892</v>
      </c>
      <c r="P95" s="2" t="s">
        <v>892</v>
      </c>
      <c r="Q95" s="4">
        <v>0</v>
      </c>
      <c r="R95" s="2" t="s">
        <v>370</v>
      </c>
      <c r="S95" s="2" t="s">
        <v>453</v>
      </c>
      <c r="T95" s="2" t="s">
        <v>424</v>
      </c>
      <c r="U95" s="2" t="s">
        <v>893</v>
      </c>
      <c r="V95" s="2" t="s">
        <v>221</v>
      </c>
      <c r="W95" s="4">
        <v>2</v>
      </c>
      <c r="X95" s="2" t="s">
        <v>2983</v>
      </c>
      <c r="Y95" s="4">
        <v>0</v>
      </c>
      <c r="Z95" s="4" t="s">
        <v>39</v>
      </c>
      <c r="AA95" s="2" t="s">
        <v>60</v>
      </c>
      <c r="AB95" s="2" t="s">
        <v>8</v>
      </c>
      <c r="AC95" s="2" t="s">
        <v>193</v>
      </c>
      <c r="AD95" s="4">
        <v>26</v>
      </c>
      <c r="AE95" s="2" t="s">
        <v>204</v>
      </c>
      <c r="AF95" s="2" t="s">
        <v>7</v>
      </c>
      <c r="AG95" s="2" t="s">
        <v>821</v>
      </c>
      <c r="AH95" s="2" t="s">
        <v>185</v>
      </c>
      <c r="AI95" s="2" t="s">
        <v>176</v>
      </c>
      <c r="AJ95" s="4"/>
      <c r="AL95" s="4"/>
      <c r="AN95" s="4"/>
      <c r="AP95" s="4"/>
      <c r="AQ95" s="4"/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Z95" s="2" t="s">
        <v>60</v>
      </c>
    </row>
    <row r="96" spans="2:52" x14ac:dyDescent="0.15">
      <c r="B96" s="2" t="s">
        <v>150</v>
      </c>
      <c r="C96" s="2" t="s">
        <v>895</v>
      </c>
      <c r="D96" s="2" t="s">
        <v>208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208</v>
      </c>
      <c r="H96" s="4" t="str">
        <f>VLOOKUP(G96,corpsSet!$B$5:$C$46,2,0)</f>
        <v>何进</v>
      </c>
      <c r="I96" s="4" t="s">
        <v>104</v>
      </c>
      <c r="J96" s="4" t="str">
        <f>VLOOKUP(I96,citySet!$B$5:$C$46,2,0)</f>
        <v>长安</v>
      </c>
      <c r="K96" s="2" t="s">
        <v>734</v>
      </c>
      <c r="L96" s="2" t="s">
        <v>810</v>
      </c>
      <c r="M96" s="2" t="s">
        <v>897</v>
      </c>
      <c r="N96" s="4"/>
      <c r="O96" s="2" t="s">
        <v>896</v>
      </c>
      <c r="P96" s="2" t="s">
        <v>896</v>
      </c>
      <c r="Q96" s="4">
        <v>0</v>
      </c>
      <c r="R96" s="2" t="s">
        <v>370</v>
      </c>
      <c r="S96" s="2" t="s">
        <v>435</v>
      </c>
      <c r="T96" s="2" t="s">
        <v>706</v>
      </c>
      <c r="U96" s="2" t="s">
        <v>393</v>
      </c>
      <c r="V96" s="2" t="s">
        <v>176</v>
      </c>
      <c r="W96" s="4">
        <v>3</v>
      </c>
      <c r="X96" s="2" t="s">
        <v>2</v>
      </c>
      <c r="Y96" s="4">
        <v>0</v>
      </c>
      <c r="Z96" s="4" t="s">
        <v>39</v>
      </c>
      <c r="AA96" s="2" t="s">
        <v>185</v>
      </c>
      <c r="AB96" s="2" t="s">
        <v>21</v>
      </c>
      <c r="AC96" s="2" t="s">
        <v>126</v>
      </c>
      <c r="AD96" s="4">
        <v>6</v>
      </c>
      <c r="AE96" s="2" t="s">
        <v>237</v>
      </c>
      <c r="AF96" s="2" t="s">
        <v>321</v>
      </c>
      <c r="AG96" s="2" t="s">
        <v>407</v>
      </c>
      <c r="AH96" s="2" t="s">
        <v>185</v>
      </c>
      <c r="AI96" s="2" t="s">
        <v>148</v>
      </c>
      <c r="AJ96" s="4"/>
      <c r="AL96" s="4"/>
      <c r="AN96" s="4"/>
      <c r="AP96" s="4"/>
      <c r="AQ96" s="4"/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Z96" s="2" t="s">
        <v>60</v>
      </c>
    </row>
    <row r="97" spans="2:52" x14ac:dyDescent="0.15">
      <c r="B97" s="2" t="s">
        <v>130</v>
      </c>
      <c r="C97" s="2" t="s">
        <v>898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196</v>
      </c>
      <c r="J97" s="4" t="str">
        <f>VLOOKUP(I97,citySet!$B$5:$C$46,2,0)</f>
        <v>会稽</v>
      </c>
      <c r="K97" s="2" t="s">
        <v>900</v>
      </c>
      <c r="L97" s="2" t="s">
        <v>901</v>
      </c>
      <c r="M97" s="2" t="s">
        <v>902</v>
      </c>
      <c r="N97" s="4"/>
      <c r="O97" s="2" t="s">
        <v>278</v>
      </c>
      <c r="P97" s="2" t="s">
        <v>278</v>
      </c>
      <c r="Q97" s="4">
        <v>0</v>
      </c>
      <c r="R97" s="2" t="s">
        <v>370</v>
      </c>
      <c r="S97" s="2" t="s">
        <v>393</v>
      </c>
      <c r="T97" s="2" t="s">
        <v>579</v>
      </c>
      <c r="U97" s="2" t="s">
        <v>519</v>
      </c>
      <c r="V97" s="2" t="s">
        <v>557</v>
      </c>
      <c r="W97" s="4">
        <v>2</v>
      </c>
      <c r="X97" s="2" t="s">
        <v>2983</v>
      </c>
      <c r="Y97" s="4">
        <v>0</v>
      </c>
      <c r="Z97" s="4" t="s">
        <v>39</v>
      </c>
      <c r="AA97" s="2" t="s">
        <v>60</v>
      </c>
      <c r="AB97" s="2" t="s">
        <v>397</v>
      </c>
      <c r="AC97" s="2" t="s">
        <v>431</v>
      </c>
      <c r="AD97" s="4">
        <v>72</v>
      </c>
      <c r="AE97" s="2" t="s">
        <v>444</v>
      </c>
      <c r="AF97" s="2" t="s">
        <v>261</v>
      </c>
      <c r="AG97" s="2" t="s">
        <v>899</v>
      </c>
      <c r="AH97" s="2" t="s">
        <v>185</v>
      </c>
      <c r="AI97" s="2" t="s">
        <v>150</v>
      </c>
      <c r="AJ97" s="4"/>
      <c r="AL97" s="4"/>
      <c r="AN97" s="4"/>
      <c r="AP97" s="4"/>
      <c r="AQ97" s="4"/>
      <c r="AS97" s="4">
        <v>2</v>
      </c>
      <c r="AT97" s="4">
        <v>2</v>
      </c>
      <c r="AU97" s="4">
        <v>2</v>
      </c>
      <c r="AV97" s="4">
        <v>0</v>
      </c>
      <c r="AW97" s="4">
        <v>2</v>
      </c>
      <c r="AX97" s="4">
        <v>3</v>
      </c>
      <c r="AZ97" s="2" t="s">
        <v>60</v>
      </c>
    </row>
    <row r="98" spans="2:52" x14ac:dyDescent="0.15">
      <c r="B98" s="2" t="s">
        <v>175</v>
      </c>
      <c r="C98" s="2" t="s">
        <v>3071</v>
      </c>
      <c r="D98" s="2" t="s">
        <v>41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41</v>
      </c>
      <c r="H98" s="4" t="str">
        <f>VLOOKUP(G98,corpsSet!$B$5:$C$46,2,0)</f>
        <v>公孙度</v>
      </c>
      <c r="I98" s="4" t="s">
        <v>27</v>
      </c>
      <c r="J98" s="4" t="str">
        <f>VLOOKUP(I98,citySet!$B$5:$C$46,2,0)</f>
        <v>襄平</v>
      </c>
      <c r="K98" s="2" t="s">
        <v>749</v>
      </c>
      <c r="L98" s="2" t="s">
        <v>905</v>
      </c>
      <c r="N98" s="4"/>
      <c r="O98" s="2" t="s">
        <v>464</v>
      </c>
      <c r="P98" s="2" t="s">
        <v>464</v>
      </c>
      <c r="Q98" s="4">
        <v>0</v>
      </c>
      <c r="R98" s="2" t="s">
        <v>370</v>
      </c>
      <c r="S98" s="2" t="s">
        <v>437</v>
      </c>
      <c r="T98" s="2" t="s">
        <v>536</v>
      </c>
      <c r="U98" s="2" t="s">
        <v>626</v>
      </c>
      <c r="V98" s="2" t="s">
        <v>409</v>
      </c>
      <c r="W98" s="4">
        <v>1</v>
      </c>
      <c r="X98" s="2" t="s">
        <v>365</v>
      </c>
      <c r="Y98" s="4">
        <v>6</v>
      </c>
      <c r="Z98" s="4" t="s">
        <v>614</v>
      </c>
      <c r="AA98" s="2" t="s">
        <v>185</v>
      </c>
      <c r="AB98" s="2" t="s">
        <v>93</v>
      </c>
      <c r="AC98" s="2" t="s">
        <v>423</v>
      </c>
      <c r="AD98" s="4">
        <v>73</v>
      </c>
      <c r="AE98" s="2" t="s">
        <v>423</v>
      </c>
      <c r="AF98" s="2" t="s">
        <v>423</v>
      </c>
      <c r="AG98" s="2" t="s">
        <v>903</v>
      </c>
      <c r="AH98" s="2" t="s">
        <v>185</v>
      </c>
      <c r="AI98" s="2" t="s">
        <v>130</v>
      </c>
      <c r="AJ98" s="4"/>
      <c r="AL98" s="4"/>
      <c r="AN98" s="4"/>
      <c r="AP98" s="4"/>
      <c r="AQ98" s="4"/>
      <c r="AS98" s="4">
        <v>0</v>
      </c>
      <c r="AT98" s="4">
        <v>0</v>
      </c>
      <c r="AU98" s="4">
        <v>1</v>
      </c>
      <c r="AV98" s="4">
        <v>0</v>
      </c>
      <c r="AW98" s="4">
        <v>1</v>
      </c>
      <c r="AX98" s="4">
        <v>0</v>
      </c>
      <c r="AZ98" s="2" t="s">
        <v>60</v>
      </c>
    </row>
    <row r="99" spans="2:52" x14ac:dyDescent="0.15">
      <c r="B99" s="2" t="s">
        <v>79</v>
      </c>
      <c r="C99" s="2" t="s">
        <v>906</v>
      </c>
      <c r="D99" s="2" t="s">
        <v>200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200</v>
      </c>
      <c r="H99" s="4" t="str">
        <f>VLOOKUP(G99,corpsSet!$B$5:$C$46,2,0)</f>
        <v>孟获</v>
      </c>
      <c r="I99" s="4" t="s">
        <v>98</v>
      </c>
      <c r="J99" s="4" t="str">
        <f>VLOOKUP(I99,citySet!$B$5:$C$46,2,0)</f>
        <v>云南</v>
      </c>
      <c r="K99" s="2" t="s">
        <v>912</v>
      </c>
      <c r="L99" s="2" t="s">
        <v>913</v>
      </c>
      <c r="N99" s="4"/>
      <c r="O99" s="2" t="s">
        <v>908</v>
      </c>
      <c r="P99" s="2" t="s">
        <v>908</v>
      </c>
      <c r="Q99" s="4">
        <v>1</v>
      </c>
      <c r="R99" s="2" t="s">
        <v>577</v>
      </c>
      <c r="S99" s="2" t="s">
        <v>489</v>
      </c>
      <c r="T99" s="2" t="s">
        <v>490</v>
      </c>
      <c r="U99" s="2" t="s">
        <v>427</v>
      </c>
      <c r="V99" s="2" t="s">
        <v>93</v>
      </c>
      <c r="W99" s="4">
        <v>1</v>
      </c>
      <c r="X99" s="2" t="s">
        <v>365</v>
      </c>
      <c r="Y99" s="4">
        <v>0</v>
      </c>
      <c r="Z99" s="4" t="s">
        <v>39</v>
      </c>
      <c r="AA99" s="2" t="s">
        <v>134</v>
      </c>
      <c r="AB99" s="2" t="s">
        <v>454</v>
      </c>
      <c r="AC99" s="2" t="s">
        <v>554</v>
      </c>
      <c r="AD99" s="4">
        <v>32</v>
      </c>
      <c r="AE99" s="2" t="s">
        <v>200</v>
      </c>
      <c r="AF99" s="2" t="s">
        <v>153</v>
      </c>
      <c r="AG99" s="2" t="s">
        <v>907</v>
      </c>
      <c r="AH99" s="2" t="s">
        <v>185</v>
      </c>
      <c r="AI99" s="2" t="s">
        <v>909</v>
      </c>
      <c r="AJ99" s="4" t="s">
        <v>1317</v>
      </c>
      <c r="AK99" s="2" t="s">
        <v>910</v>
      </c>
      <c r="AL99" s="4" t="s">
        <v>732</v>
      </c>
      <c r="AM99" s="2" t="s">
        <v>911</v>
      </c>
      <c r="AN99" s="4"/>
      <c r="AP99" s="4"/>
      <c r="AQ99" s="4"/>
      <c r="AS99" s="4">
        <v>2</v>
      </c>
      <c r="AT99" s="4">
        <v>2</v>
      </c>
      <c r="AU99" s="4">
        <v>0</v>
      </c>
      <c r="AV99" s="4">
        <v>1</v>
      </c>
      <c r="AW99" s="4">
        <v>0</v>
      </c>
      <c r="AX99" s="4">
        <v>0</v>
      </c>
      <c r="AZ99" s="2" t="s">
        <v>60</v>
      </c>
    </row>
    <row r="100" spans="2:52" x14ac:dyDescent="0.15">
      <c r="B100" s="2" t="s">
        <v>195</v>
      </c>
      <c r="C100" s="2" t="s">
        <v>87</v>
      </c>
      <c r="D100" s="2" t="s">
        <v>36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36</v>
      </c>
      <c r="H100" s="4" t="str">
        <f>VLOOKUP(G100,corpsSet!$B$5:$C$46,2,0)</f>
        <v>董卓</v>
      </c>
      <c r="I100" s="4" t="s">
        <v>106</v>
      </c>
      <c r="J100" s="4" t="str">
        <f>VLOOKUP(I100,citySet!$B$5:$C$46,2,0)</f>
        <v>安定</v>
      </c>
      <c r="K100" s="2" t="s">
        <v>750</v>
      </c>
      <c r="L100" s="2" t="s">
        <v>915</v>
      </c>
      <c r="N100" s="4"/>
      <c r="O100" s="2" t="s">
        <v>30</v>
      </c>
      <c r="P100" s="2" t="s">
        <v>30</v>
      </c>
      <c r="Q100" s="4">
        <v>0</v>
      </c>
      <c r="R100" s="2" t="s">
        <v>370</v>
      </c>
      <c r="S100" s="2" t="s">
        <v>435</v>
      </c>
      <c r="T100" s="2" t="s">
        <v>524</v>
      </c>
      <c r="U100" s="2" t="s">
        <v>372</v>
      </c>
      <c r="V100" s="2" t="s">
        <v>27</v>
      </c>
      <c r="W100" s="4">
        <v>1</v>
      </c>
      <c r="X100" s="2" t="s">
        <v>365</v>
      </c>
      <c r="Y100" s="4">
        <v>3</v>
      </c>
      <c r="Z100" s="4" t="s">
        <v>696</v>
      </c>
      <c r="AA100" s="2" t="s">
        <v>185</v>
      </c>
      <c r="AB100" s="2" t="s">
        <v>235</v>
      </c>
      <c r="AC100" s="2" t="s">
        <v>150</v>
      </c>
      <c r="AD100" s="4">
        <v>56</v>
      </c>
      <c r="AE100" s="2" t="s">
        <v>126</v>
      </c>
      <c r="AF100" s="2" t="s">
        <v>432</v>
      </c>
      <c r="AG100" s="2" t="s">
        <v>781</v>
      </c>
      <c r="AH100" s="2" t="s">
        <v>185</v>
      </c>
      <c r="AI100" s="2" t="s">
        <v>79</v>
      </c>
      <c r="AJ100" s="4"/>
      <c r="AL100" s="4"/>
      <c r="AN100" s="4"/>
      <c r="AP100" s="4"/>
      <c r="AQ100" s="4"/>
      <c r="AS100" s="4">
        <v>1</v>
      </c>
      <c r="AT100" s="4">
        <v>1</v>
      </c>
      <c r="AU100" s="4">
        <v>0</v>
      </c>
      <c r="AV100" s="4">
        <v>3</v>
      </c>
      <c r="AW100" s="4">
        <v>0</v>
      </c>
      <c r="AX100" s="4">
        <v>0</v>
      </c>
      <c r="AZ100" s="2" t="s">
        <v>60</v>
      </c>
    </row>
    <row r="101" spans="2:52" x14ac:dyDescent="0.15">
      <c r="B101" s="2" t="s">
        <v>413</v>
      </c>
      <c r="C101" s="2" t="s">
        <v>916</v>
      </c>
      <c r="D101" s="2" t="s">
        <v>35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35</v>
      </c>
      <c r="H101" s="4" t="str">
        <f>VLOOKUP(G101,corpsSet!$B$5:$C$46,2,0)</f>
        <v>刘备</v>
      </c>
      <c r="I101" s="4" t="s">
        <v>213</v>
      </c>
      <c r="J101" s="4" t="str">
        <f>VLOOKUP(I101,citySet!$B$5:$C$46,2,0)</f>
        <v>江陵</v>
      </c>
      <c r="K101" s="2" t="s">
        <v>920</v>
      </c>
      <c r="L101" s="2" t="s">
        <v>921</v>
      </c>
      <c r="N101" s="4"/>
      <c r="O101" s="2" t="s">
        <v>918</v>
      </c>
      <c r="P101" s="2" t="s">
        <v>918</v>
      </c>
      <c r="Q101" s="4">
        <v>0</v>
      </c>
      <c r="R101" s="2" t="s">
        <v>370</v>
      </c>
      <c r="S101" s="2" t="s">
        <v>762</v>
      </c>
      <c r="T101" s="2" t="s">
        <v>702</v>
      </c>
      <c r="U101" s="2" t="s">
        <v>919</v>
      </c>
      <c r="V101" s="2" t="s">
        <v>481</v>
      </c>
      <c r="W101" s="4">
        <v>1</v>
      </c>
      <c r="X101" s="2" t="s">
        <v>365</v>
      </c>
      <c r="Y101" s="4">
        <v>0</v>
      </c>
      <c r="Z101" s="4" t="s">
        <v>39</v>
      </c>
      <c r="AA101" s="2" t="s">
        <v>185</v>
      </c>
      <c r="AB101" s="2" t="s">
        <v>4</v>
      </c>
      <c r="AC101" s="2" t="s">
        <v>423</v>
      </c>
      <c r="AD101" s="4">
        <v>44</v>
      </c>
      <c r="AE101" s="2" t="s">
        <v>14</v>
      </c>
      <c r="AF101" s="2" t="s">
        <v>486</v>
      </c>
      <c r="AG101" s="2" t="s">
        <v>917</v>
      </c>
      <c r="AH101" s="2" t="s">
        <v>185</v>
      </c>
      <c r="AI101" s="2" t="s">
        <v>228</v>
      </c>
      <c r="AJ101" s="4">
        <v>18</v>
      </c>
      <c r="AK101" s="2" t="s">
        <v>210</v>
      </c>
      <c r="AL101" s="4"/>
      <c r="AN101" s="4"/>
      <c r="AP101" s="4"/>
      <c r="AQ101" s="4"/>
      <c r="AS101" s="4">
        <v>0</v>
      </c>
      <c r="AT101" s="4">
        <v>1</v>
      </c>
      <c r="AU101" s="4">
        <v>1</v>
      </c>
      <c r="AV101" s="4">
        <v>0</v>
      </c>
      <c r="AW101" s="4">
        <v>0</v>
      </c>
      <c r="AX101" s="4">
        <v>0</v>
      </c>
      <c r="AZ101" s="2" t="s">
        <v>60</v>
      </c>
    </row>
    <row r="102" spans="2:52" x14ac:dyDescent="0.15">
      <c r="B102" s="2" t="s">
        <v>228</v>
      </c>
      <c r="C102" s="2" t="s">
        <v>922</v>
      </c>
      <c r="D102" s="2" t="s">
        <v>29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29</v>
      </c>
      <c r="H102" s="4" t="str">
        <f>VLOOKUP(G102,corpsSet!$B$5:$C$46,2,0)</f>
        <v>袁术</v>
      </c>
      <c r="I102" s="4" t="s">
        <v>200</v>
      </c>
      <c r="J102" s="4" t="str">
        <f>VLOOKUP(I102,citySet!$B$5:$C$46,2,0)</f>
        <v>庐江</v>
      </c>
      <c r="K102" s="2" t="s">
        <v>923</v>
      </c>
      <c r="L102" s="2" t="s">
        <v>483</v>
      </c>
      <c r="N102" s="4"/>
      <c r="O102" s="2" t="s">
        <v>610</v>
      </c>
      <c r="P102" s="2" t="s">
        <v>610</v>
      </c>
      <c r="Q102" s="4">
        <v>0</v>
      </c>
      <c r="R102" s="2" t="s">
        <v>370</v>
      </c>
      <c r="S102" s="2" t="s">
        <v>435</v>
      </c>
      <c r="T102" s="2" t="s">
        <v>524</v>
      </c>
      <c r="U102" s="2" t="s">
        <v>425</v>
      </c>
      <c r="V102" s="2" t="s">
        <v>458</v>
      </c>
      <c r="W102" s="4">
        <v>1</v>
      </c>
      <c r="X102" s="2" t="s">
        <v>365</v>
      </c>
      <c r="Y102" s="4">
        <v>5</v>
      </c>
      <c r="Z102" s="4" t="s">
        <v>575</v>
      </c>
      <c r="AA102" s="2" t="s">
        <v>403</v>
      </c>
      <c r="AB102" s="2" t="s">
        <v>200</v>
      </c>
      <c r="AC102" s="2" t="s">
        <v>208</v>
      </c>
      <c r="AD102" s="4">
        <v>64</v>
      </c>
      <c r="AE102" s="2" t="s">
        <v>3</v>
      </c>
      <c r="AF102" s="2" t="s">
        <v>100</v>
      </c>
      <c r="AG102" s="2" t="s">
        <v>371</v>
      </c>
      <c r="AH102" s="2" t="s">
        <v>185</v>
      </c>
      <c r="AI102" s="2" t="s">
        <v>413</v>
      </c>
      <c r="AJ102" s="4"/>
      <c r="AL102" s="4"/>
      <c r="AN102" s="4"/>
      <c r="AP102" s="4"/>
      <c r="AQ102" s="4"/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Z102" s="2" t="s">
        <v>60</v>
      </c>
    </row>
    <row r="103" spans="2:52" x14ac:dyDescent="0.15">
      <c r="B103" s="2" t="s">
        <v>403</v>
      </c>
      <c r="C103" s="2" t="s">
        <v>924</v>
      </c>
      <c r="D103" s="2" t="s">
        <v>35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35</v>
      </c>
      <c r="H103" s="4" t="str">
        <f>VLOOKUP(G103,corpsSet!$B$5:$C$46,2,0)</f>
        <v>刘备</v>
      </c>
      <c r="I103" s="4" t="s">
        <v>213</v>
      </c>
      <c r="J103" s="4" t="str">
        <f>VLOOKUP(I103,citySet!$B$5:$C$46,2,0)</f>
        <v>江陵</v>
      </c>
      <c r="K103" s="2" t="s">
        <v>920</v>
      </c>
      <c r="L103" s="2" t="s">
        <v>926</v>
      </c>
      <c r="M103" s="2" t="s">
        <v>927</v>
      </c>
      <c r="N103" s="4"/>
      <c r="O103" s="2" t="s">
        <v>35</v>
      </c>
      <c r="P103" s="2" t="s">
        <v>35</v>
      </c>
      <c r="Q103" s="4">
        <v>0</v>
      </c>
      <c r="R103" s="2" t="s">
        <v>370</v>
      </c>
      <c r="S103" s="2" t="s">
        <v>435</v>
      </c>
      <c r="T103" s="2" t="s">
        <v>394</v>
      </c>
      <c r="U103" s="2" t="s">
        <v>702</v>
      </c>
      <c r="V103" s="2" t="s">
        <v>481</v>
      </c>
      <c r="W103" s="4">
        <v>1</v>
      </c>
      <c r="X103" s="2" t="s">
        <v>365</v>
      </c>
      <c r="Y103" s="4">
        <v>4</v>
      </c>
      <c r="Z103" s="4" t="s">
        <v>1091</v>
      </c>
      <c r="AA103" s="2" t="s">
        <v>86</v>
      </c>
      <c r="AB103" s="2" t="s">
        <v>79</v>
      </c>
      <c r="AC103" s="2" t="s">
        <v>413</v>
      </c>
      <c r="AD103" s="4">
        <v>75</v>
      </c>
      <c r="AE103" s="2" t="s">
        <v>423</v>
      </c>
      <c r="AF103" s="2" t="s">
        <v>130</v>
      </c>
      <c r="AG103" s="2" t="s">
        <v>276</v>
      </c>
      <c r="AH103" s="2" t="s">
        <v>185</v>
      </c>
      <c r="AI103" s="2" t="s">
        <v>228</v>
      </c>
      <c r="AJ103" s="4"/>
      <c r="AL103" s="4"/>
      <c r="AN103" s="4"/>
      <c r="AP103" s="4" t="s">
        <v>999</v>
      </c>
      <c r="AQ103" s="4"/>
      <c r="AS103" s="4">
        <v>3</v>
      </c>
      <c r="AT103" s="4">
        <v>3</v>
      </c>
      <c r="AU103" s="4">
        <v>1</v>
      </c>
      <c r="AV103" s="4">
        <v>2</v>
      </c>
      <c r="AW103" s="4">
        <v>0</v>
      </c>
      <c r="AX103" s="4">
        <v>2</v>
      </c>
      <c r="AZ103" s="2" t="s">
        <v>60</v>
      </c>
    </row>
    <row r="104" spans="2:52" x14ac:dyDescent="0.15">
      <c r="B104" s="2" t="s">
        <v>185</v>
      </c>
      <c r="C104" s="2" t="s">
        <v>928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5</v>
      </c>
      <c r="J104" s="4" t="str">
        <f>VLOOKUP(I104,citySet!$B$5:$C$46,2,0)</f>
        <v>长沙</v>
      </c>
      <c r="K104" s="2" t="s">
        <v>929</v>
      </c>
      <c r="L104" s="2" t="s">
        <v>930</v>
      </c>
      <c r="M104" s="2" t="s">
        <v>931</v>
      </c>
      <c r="N104" s="4"/>
      <c r="O104" s="2" t="s">
        <v>448</v>
      </c>
      <c r="P104" s="2" t="s">
        <v>448</v>
      </c>
      <c r="Q104" s="4">
        <v>0</v>
      </c>
      <c r="R104" s="2" t="s">
        <v>370</v>
      </c>
      <c r="S104" s="2" t="s">
        <v>435</v>
      </c>
      <c r="T104" s="2" t="s">
        <v>824</v>
      </c>
      <c r="U104" s="2" t="s">
        <v>437</v>
      </c>
      <c r="V104" s="2" t="s">
        <v>34</v>
      </c>
      <c r="W104" s="4">
        <v>2</v>
      </c>
      <c r="X104" s="2" t="s">
        <v>2983</v>
      </c>
      <c r="Y104" s="4">
        <v>0</v>
      </c>
      <c r="Z104" s="4" t="s">
        <v>39</v>
      </c>
      <c r="AA104" s="2" t="s">
        <v>60</v>
      </c>
      <c r="AB104" s="2" t="s">
        <v>32</v>
      </c>
      <c r="AC104" s="2" t="s">
        <v>200</v>
      </c>
      <c r="AD104" s="4">
        <v>67</v>
      </c>
      <c r="AE104" s="2" t="s">
        <v>431</v>
      </c>
      <c r="AF104" s="2" t="s">
        <v>454</v>
      </c>
      <c r="AG104" s="2" t="s">
        <v>487</v>
      </c>
      <c r="AH104" s="2" t="s">
        <v>185</v>
      </c>
      <c r="AI104" s="2" t="s">
        <v>403</v>
      </c>
      <c r="AJ104" s="4"/>
      <c r="AL104" s="4"/>
      <c r="AN104" s="4"/>
      <c r="AP104" s="4"/>
      <c r="AQ104" s="4"/>
      <c r="AS104" s="4">
        <v>0</v>
      </c>
      <c r="AT104" s="4">
        <v>0</v>
      </c>
      <c r="AU104" s="4">
        <v>0</v>
      </c>
      <c r="AV104" s="4">
        <v>0</v>
      </c>
      <c r="AW104" s="4">
        <v>2</v>
      </c>
      <c r="AX104" s="4">
        <v>0</v>
      </c>
      <c r="AZ104" s="2" t="s">
        <v>60</v>
      </c>
    </row>
    <row r="105" spans="2:52" x14ac:dyDescent="0.15">
      <c r="B105" s="2" t="s">
        <v>390</v>
      </c>
      <c r="C105" s="2" t="s">
        <v>932</v>
      </c>
      <c r="D105" s="2" t="s">
        <v>25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25</v>
      </c>
      <c r="H105" s="4" t="str">
        <f>VLOOKUP(G105,corpsSet!$B$5:$C$46,2,0)</f>
        <v>张角</v>
      </c>
      <c r="I105" s="4" t="s">
        <v>20</v>
      </c>
      <c r="J105" s="4" t="str">
        <f>VLOOKUP(I105,citySet!$B$5:$C$46,2,0)</f>
        <v>濮阳</v>
      </c>
      <c r="K105" s="2" t="s">
        <v>934</v>
      </c>
      <c r="L105" s="2" t="s">
        <v>935</v>
      </c>
      <c r="N105" s="4"/>
      <c r="O105" s="2" t="s">
        <v>86</v>
      </c>
      <c r="P105" s="2" t="s">
        <v>86</v>
      </c>
      <c r="Q105" s="4">
        <v>0</v>
      </c>
      <c r="R105" s="2" t="s">
        <v>370</v>
      </c>
      <c r="S105" s="2" t="s">
        <v>435</v>
      </c>
      <c r="T105" s="2" t="s">
        <v>933</v>
      </c>
      <c r="U105" s="2" t="s">
        <v>467</v>
      </c>
      <c r="V105" s="2" t="s">
        <v>34</v>
      </c>
      <c r="W105" s="4">
        <v>1</v>
      </c>
      <c r="X105" s="2" t="s">
        <v>365</v>
      </c>
      <c r="Y105" s="4">
        <v>0</v>
      </c>
      <c r="Z105" s="4" t="s">
        <v>39</v>
      </c>
      <c r="AA105" s="2" t="s">
        <v>185</v>
      </c>
      <c r="AB105" s="2" t="s">
        <v>153</v>
      </c>
      <c r="AC105" s="2" t="s">
        <v>554</v>
      </c>
      <c r="AD105" s="4">
        <v>10</v>
      </c>
      <c r="AE105" s="2" t="s">
        <v>33</v>
      </c>
      <c r="AF105" s="2" t="s">
        <v>196</v>
      </c>
      <c r="AG105" s="2" t="s">
        <v>585</v>
      </c>
      <c r="AH105" s="2" t="s">
        <v>185</v>
      </c>
      <c r="AI105" s="2" t="s">
        <v>185</v>
      </c>
      <c r="AJ105" s="4"/>
      <c r="AL105" s="4"/>
      <c r="AN105" s="4"/>
      <c r="AP105" s="4"/>
      <c r="AQ105" s="4"/>
      <c r="AS105" s="4">
        <v>1</v>
      </c>
      <c r="AT105" s="4">
        <v>0</v>
      </c>
      <c r="AU105" s="4">
        <v>0</v>
      </c>
      <c r="AV105" s="4">
        <v>2</v>
      </c>
      <c r="AW105" s="4">
        <v>1</v>
      </c>
      <c r="AX105" s="4">
        <v>0</v>
      </c>
      <c r="AZ105" s="2" t="s">
        <v>60</v>
      </c>
    </row>
    <row r="106" spans="2:52" x14ac:dyDescent="0.15">
      <c r="B106" s="2" t="s">
        <v>366</v>
      </c>
      <c r="C106" s="2" t="s">
        <v>164</v>
      </c>
      <c r="D106" s="2" t="s">
        <v>226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226</v>
      </c>
      <c r="H106" s="4" t="str">
        <f>VLOOKUP(G106,corpsSet!$B$5:$C$46,2,0)</f>
        <v>毌丘俭</v>
      </c>
      <c r="I106" s="4" t="s">
        <v>24</v>
      </c>
      <c r="J106" s="4" t="str">
        <f>VLOOKUP(I106,citySet!$B$5:$C$46,2,0)</f>
        <v>寿春</v>
      </c>
      <c r="K106" s="2" t="s">
        <v>937</v>
      </c>
      <c r="L106" s="2" t="s">
        <v>938</v>
      </c>
      <c r="M106" s="2" t="s">
        <v>939</v>
      </c>
      <c r="N106" s="4"/>
      <c r="O106" s="2" t="s">
        <v>712</v>
      </c>
      <c r="P106" s="2" t="s">
        <v>712</v>
      </c>
      <c r="Q106" s="4">
        <v>0</v>
      </c>
      <c r="R106" s="2" t="s">
        <v>370</v>
      </c>
      <c r="S106" s="2" t="s">
        <v>456</v>
      </c>
      <c r="T106" s="2" t="s">
        <v>536</v>
      </c>
      <c r="U106" s="2" t="s">
        <v>86</v>
      </c>
      <c r="V106" s="2" t="s">
        <v>21</v>
      </c>
      <c r="W106" s="4">
        <v>3</v>
      </c>
      <c r="X106" s="2" t="s">
        <v>2</v>
      </c>
      <c r="Y106" s="4">
        <v>0</v>
      </c>
      <c r="Z106" s="4" t="s">
        <v>39</v>
      </c>
      <c r="AA106" s="2" t="s">
        <v>185</v>
      </c>
      <c r="AB106" s="2" t="s">
        <v>431</v>
      </c>
      <c r="AC106" s="2" t="s">
        <v>367</v>
      </c>
      <c r="AD106" s="4">
        <v>52</v>
      </c>
      <c r="AE106" s="2" t="s">
        <v>201</v>
      </c>
      <c r="AF106" s="2" t="s">
        <v>3</v>
      </c>
      <c r="AG106" s="2" t="s">
        <v>868</v>
      </c>
      <c r="AH106" s="2" t="s">
        <v>185</v>
      </c>
      <c r="AI106" s="2" t="s">
        <v>390</v>
      </c>
      <c r="AJ106" s="4"/>
      <c r="AK106" s="2" t="s">
        <v>936</v>
      </c>
      <c r="AL106" s="4"/>
      <c r="AN106" s="4"/>
      <c r="AP106" s="4"/>
      <c r="AQ106" s="4"/>
      <c r="AS106" s="4">
        <v>2</v>
      </c>
      <c r="AT106" s="4">
        <v>1</v>
      </c>
      <c r="AU106" s="4">
        <v>1</v>
      </c>
      <c r="AV106" s="4">
        <v>2</v>
      </c>
      <c r="AW106" s="4">
        <v>2</v>
      </c>
      <c r="AX106" s="4">
        <v>0</v>
      </c>
      <c r="AZ106" s="2" t="s">
        <v>60</v>
      </c>
    </row>
    <row r="107" spans="2:52" x14ac:dyDescent="0.15">
      <c r="B107" s="2" t="s">
        <v>475</v>
      </c>
      <c r="C107" s="2" t="s">
        <v>940</v>
      </c>
      <c r="D107" s="2" t="s">
        <v>226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226</v>
      </c>
      <c r="H107" s="4" t="str">
        <f>VLOOKUP(G107,corpsSet!$B$5:$C$46,2,0)</f>
        <v>毌丘俭</v>
      </c>
      <c r="I107" s="4" t="s">
        <v>24</v>
      </c>
      <c r="J107" s="4" t="str">
        <f>VLOOKUP(I107,citySet!$B$5:$C$46,2,0)</f>
        <v>寿春</v>
      </c>
      <c r="K107" s="2" t="s">
        <v>937</v>
      </c>
      <c r="L107" s="2" t="s">
        <v>942</v>
      </c>
      <c r="N107" s="4"/>
      <c r="O107" s="2" t="s">
        <v>941</v>
      </c>
      <c r="P107" s="2" t="s">
        <v>941</v>
      </c>
      <c r="Q107" s="4">
        <v>0</v>
      </c>
      <c r="R107" s="2" t="s">
        <v>370</v>
      </c>
      <c r="S107" s="2" t="s">
        <v>373</v>
      </c>
      <c r="T107" s="2" t="s">
        <v>326</v>
      </c>
      <c r="U107" s="2" t="s">
        <v>854</v>
      </c>
      <c r="V107" s="2" t="s">
        <v>21</v>
      </c>
      <c r="W107" s="4">
        <v>1</v>
      </c>
      <c r="X107" s="2" t="s">
        <v>365</v>
      </c>
      <c r="Y107" s="4">
        <v>0</v>
      </c>
      <c r="Z107" s="4" t="s">
        <v>39</v>
      </c>
      <c r="AA107" s="2" t="s">
        <v>134</v>
      </c>
      <c r="AB107" s="2" t="s">
        <v>485</v>
      </c>
      <c r="AC107" s="2" t="s">
        <v>423</v>
      </c>
      <c r="AD107" s="4">
        <v>33</v>
      </c>
      <c r="AE107" s="2" t="s">
        <v>207</v>
      </c>
      <c r="AF107" s="2" t="s">
        <v>7</v>
      </c>
      <c r="AG107" s="2" t="s">
        <v>368</v>
      </c>
      <c r="AH107" s="2" t="s">
        <v>185</v>
      </c>
      <c r="AI107" s="2" t="s">
        <v>390</v>
      </c>
      <c r="AJ107" s="4"/>
      <c r="AK107" s="2" t="s">
        <v>936</v>
      </c>
      <c r="AL107" s="4"/>
      <c r="AN107" s="4"/>
      <c r="AP107" s="4"/>
      <c r="AQ107" s="4"/>
      <c r="AS107" s="4">
        <v>0</v>
      </c>
      <c r="AT107" s="4">
        <v>0</v>
      </c>
      <c r="AU107" s="4">
        <v>1</v>
      </c>
      <c r="AV107" s="4">
        <v>1</v>
      </c>
      <c r="AW107" s="4">
        <v>0</v>
      </c>
      <c r="AX107" s="4">
        <v>0</v>
      </c>
      <c r="AZ107" s="2" t="s">
        <v>60</v>
      </c>
    </row>
    <row r="108" spans="2:52" x14ac:dyDescent="0.15">
      <c r="B108" s="2" t="s">
        <v>334</v>
      </c>
      <c r="C108" s="2" t="s">
        <v>943</v>
      </c>
      <c r="D108" s="2" t="s">
        <v>226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226</v>
      </c>
      <c r="H108" s="4" t="str">
        <f>VLOOKUP(G108,corpsSet!$B$5:$C$46,2,0)</f>
        <v>毌丘俭</v>
      </c>
      <c r="I108" s="4" t="s">
        <v>24</v>
      </c>
      <c r="J108" s="4" t="str">
        <f>VLOOKUP(I108,citySet!$B$5:$C$46,2,0)</f>
        <v>寿春</v>
      </c>
      <c r="K108" s="2" t="s">
        <v>937</v>
      </c>
      <c r="L108" s="2" t="s">
        <v>946</v>
      </c>
      <c r="M108" s="2" t="s">
        <v>947</v>
      </c>
      <c r="N108" s="4"/>
      <c r="O108" s="2" t="s">
        <v>893</v>
      </c>
      <c r="P108" s="2" t="s">
        <v>893</v>
      </c>
      <c r="Q108" s="4">
        <v>0</v>
      </c>
      <c r="R108" s="2" t="s">
        <v>370</v>
      </c>
      <c r="S108" s="2" t="s">
        <v>843</v>
      </c>
      <c r="T108" s="2" t="s">
        <v>633</v>
      </c>
      <c r="U108" s="2" t="s">
        <v>86</v>
      </c>
      <c r="V108" s="2" t="s">
        <v>21</v>
      </c>
      <c r="W108" s="4">
        <v>1</v>
      </c>
      <c r="X108" s="2" t="s">
        <v>365</v>
      </c>
      <c r="Y108" s="4">
        <v>0</v>
      </c>
      <c r="Z108" s="4" t="s">
        <v>39</v>
      </c>
      <c r="AA108" s="2" t="s">
        <v>134</v>
      </c>
      <c r="AB108" s="2" t="s">
        <v>382</v>
      </c>
      <c r="AC108" s="2" t="s">
        <v>93</v>
      </c>
      <c r="AD108" s="4">
        <v>69</v>
      </c>
      <c r="AE108" s="2" t="s">
        <v>153</v>
      </c>
      <c r="AF108" s="2" t="s">
        <v>257</v>
      </c>
      <c r="AG108" s="2" t="s">
        <v>944</v>
      </c>
      <c r="AH108" s="2" t="s">
        <v>185</v>
      </c>
      <c r="AI108" s="2" t="s">
        <v>390</v>
      </c>
      <c r="AJ108" s="4">
        <v>12</v>
      </c>
      <c r="AK108" s="2" t="s">
        <v>164</v>
      </c>
      <c r="AL108" s="4"/>
      <c r="AN108" s="4"/>
      <c r="AP108" s="4"/>
      <c r="AQ108" s="4"/>
      <c r="AS108" s="4">
        <v>0</v>
      </c>
      <c r="AT108" s="4">
        <v>1</v>
      </c>
      <c r="AU108" s="4">
        <v>1</v>
      </c>
      <c r="AV108" s="4">
        <v>1</v>
      </c>
      <c r="AW108" s="4">
        <v>1</v>
      </c>
      <c r="AX108" s="4">
        <v>0</v>
      </c>
      <c r="AZ108" s="2" t="s">
        <v>60</v>
      </c>
    </row>
    <row r="109" spans="2:52" x14ac:dyDescent="0.15">
      <c r="B109" s="2" t="s">
        <v>538</v>
      </c>
      <c r="C109" s="2" t="s">
        <v>948</v>
      </c>
      <c r="D109" s="2" t="s">
        <v>30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30</v>
      </c>
      <c r="H109" s="4" t="str">
        <f>VLOOKUP(G109,corpsSet!$B$5:$C$46,2,0)</f>
        <v>袁绍</v>
      </c>
      <c r="I109" s="4" t="s">
        <v>37</v>
      </c>
      <c r="J109" s="4" t="str">
        <f>VLOOKUP(I109,citySet!$B$5:$C$46,2,0)</f>
        <v>南皮</v>
      </c>
      <c r="K109" s="2" t="s">
        <v>923</v>
      </c>
      <c r="L109" s="2" t="s">
        <v>951</v>
      </c>
      <c r="N109" s="4"/>
      <c r="O109" s="2" t="s">
        <v>949</v>
      </c>
      <c r="P109" s="2" t="s">
        <v>949</v>
      </c>
      <c r="Q109" s="4">
        <v>0</v>
      </c>
      <c r="R109" s="2" t="s">
        <v>370</v>
      </c>
      <c r="S109" s="2" t="s">
        <v>435</v>
      </c>
      <c r="T109" s="2" t="s">
        <v>545</v>
      </c>
      <c r="U109" s="2" t="s">
        <v>950</v>
      </c>
      <c r="V109" s="2" t="s">
        <v>228</v>
      </c>
      <c r="W109" s="4">
        <v>1</v>
      </c>
      <c r="X109" s="2" t="s">
        <v>365</v>
      </c>
      <c r="Y109" s="4">
        <v>0</v>
      </c>
      <c r="Z109" s="4" t="s">
        <v>39</v>
      </c>
      <c r="AA109" s="2" t="s">
        <v>228</v>
      </c>
      <c r="AB109" s="2" t="s">
        <v>7</v>
      </c>
      <c r="AC109" s="2" t="s">
        <v>486</v>
      </c>
      <c r="AD109" s="4">
        <v>51</v>
      </c>
      <c r="AE109" s="2" t="s">
        <v>102</v>
      </c>
      <c r="AF109" s="2" t="s">
        <v>14</v>
      </c>
      <c r="AG109" s="2" t="s">
        <v>679</v>
      </c>
      <c r="AH109" s="2" t="s">
        <v>185</v>
      </c>
      <c r="AI109" s="2" t="s">
        <v>334</v>
      </c>
      <c r="AJ109" s="4"/>
      <c r="AL109" s="4"/>
      <c r="AN109" s="4"/>
      <c r="AP109" s="4"/>
      <c r="AQ109" s="4"/>
      <c r="AS109" s="4">
        <v>0</v>
      </c>
      <c r="AT109" s="4">
        <v>0</v>
      </c>
      <c r="AU109" s="4">
        <v>1</v>
      </c>
      <c r="AV109" s="4">
        <v>1</v>
      </c>
      <c r="AW109" s="4">
        <v>0</v>
      </c>
      <c r="AX109" s="4">
        <v>0</v>
      </c>
      <c r="AZ109" s="2" t="s">
        <v>60</v>
      </c>
    </row>
    <row r="110" spans="2:52" x14ac:dyDescent="0.15">
      <c r="B110" s="2" t="s">
        <v>384</v>
      </c>
      <c r="C110" s="2" t="s">
        <v>952</v>
      </c>
      <c r="D110" s="2" t="s">
        <v>213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213</v>
      </c>
      <c r="H110" s="4" t="str">
        <f>VLOOKUP(G110,corpsSet!$B$5:$C$46,2,0)</f>
        <v>韩玄</v>
      </c>
      <c r="I110" s="4" t="s">
        <v>5</v>
      </c>
      <c r="J110" s="4" t="str">
        <f>VLOOKUP(I110,citySet!$B$5:$C$46,2,0)</f>
        <v>长沙</v>
      </c>
      <c r="K110" s="2" t="s">
        <v>923</v>
      </c>
      <c r="L110" s="2" t="s">
        <v>863</v>
      </c>
      <c r="N110" s="4"/>
      <c r="O110" s="2" t="s">
        <v>14</v>
      </c>
      <c r="P110" s="2" t="s">
        <v>14</v>
      </c>
      <c r="Q110" s="4">
        <v>0</v>
      </c>
      <c r="R110" s="2" t="s">
        <v>370</v>
      </c>
      <c r="S110" s="2" t="s">
        <v>435</v>
      </c>
      <c r="T110" s="2" t="s">
        <v>478</v>
      </c>
      <c r="U110" s="2" t="s">
        <v>406</v>
      </c>
      <c r="V110" s="2" t="s">
        <v>29</v>
      </c>
      <c r="W110" s="4">
        <v>3</v>
      </c>
      <c r="X110" s="2" t="s">
        <v>2</v>
      </c>
      <c r="Y110" s="4">
        <v>0</v>
      </c>
      <c r="Z110" s="4" t="s">
        <v>39</v>
      </c>
      <c r="AA110" s="2" t="s">
        <v>185</v>
      </c>
      <c r="AB110" s="2" t="s">
        <v>10</v>
      </c>
      <c r="AC110" s="2" t="s">
        <v>95</v>
      </c>
      <c r="AD110" s="4">
        <v>7</v>
      </c>
      <c r="AE110" s="2" t="s">
        <v>37</v>
      </c>
      <c r="AF110" s="2" t="s">
        <v>27</v>
      </c>
      <c r="AG110" s="2" t="s">
        <v>445</v>
      </c>
      <c r="AH110" s="2" t="s">
        <v>185</v>
      </c>
      <c r="AI110" s="2" t="s">
        <v>538</v>
      </c>
      <c r="AJ110" s="4"/>
      <c r="AK110" s="2" t="s">
        <v>953</v>
      </c>
      <c r="AL110" s="4"/>
      <c r="AN110" s="4"/>
      <c r="AP110" s="4"/>
      <c r="AQ110" s="4"/>
      <c r="AS110" s="4">
        <v>1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Z110" s="2" t="s">
        <v>60</v>
      </c>
    </row>
    <row r="111" spans="2:52" x14ac:dyDescent="0.15">
      <c r="B111" s="2" t="s">
        <v>561</v>
      </c>
      <c r="C111" s="2" t="s">
        <v>955</v>
      </c>
      <c r="D111" s="2" t="s">
        <v>213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213</v>
      </c>
      <c r="H111" s="4" t="str">
        <f>VLOOKUP(G111,corpsSet!$B$5:$C$46,2,0)</f>
        <v>韩玄</v>
      </c>
      <c r="I111" s="4" t="s">
        <v>5</v>
      </c>
      <c r="J111" s="4" t="str">
        <f>VLOOKUP(I111,citySet!$B$5:$C$46,2,0)</f>
        <v>长沙</v>
      </c>
      <c r="K111" s="2" t="s">
        <v>923</v>
      </c>
      <c r="L111" s="2" t="s">
        <v>958</v>
      </c>
      <c r="M111" s="2" t="s">
        <v>959</v>
      </c>
      <c r="N111" s="4"/>
      <c r="O111" s="2" t="s">
        <v>726</v>
      </c>
      <c r="P111" s="2" t="s">
        <v>726</v>
      </c>
      <c r="Q111" s="4">
        <v>0</v>
      </c>
      <c r="R111" s="2" t="s">
        <v>370</v>
      </c>
      <c r="S111" s="2" t="s">
        <v>435</v>
      </c>
      <c r="T111" s="2" t="s">
        <v>957</v>
      </c>
      <c r="U111" s="2" t="s">
        <v>379</v>
      </c>
      <c r="V111" s="2" t="s">
        <v>204</v>
      </c>
      <c r="W111" s="4">
        <v>1</v>
      </c>
      <c r="X111" s="2" t="s">
        <v>365</v>
      </c>
      <c r="Y111" s="4">
        <v>8</v>
      </c>
      <c r="Z111" s="4" t="s">
        <v>3079</v>
      </c>
      <c r="AA111" s="2" t="s">
        <v>134</v>
      </c>
      <c r="AB111" s="2" t="s">
        <v>454</v>
      </c>
      <c r="AC111" s="2" t="s">
        <v>374</v>
      </c>
      <c r="AD111" s="4">
        <v>68</v>
      </c>
      <c r="AE111" s="2" t="s">
        <v>837</v>
      </c>
      <c r="AF111" s="2" t="s">
        <v>423</v>
      </c>
      <c r="AG111" s="2" t="s">
        <v>956</v>
      </c>
      <c r="AH111" s="2" t="s">
        <v>185</v>
      </c>
      <c r="AI111" s="2" t="s">
        <v>538</v>
      </c>
      <c r="AJ111" s="4"/>
      <c r="AK111" s="2" t="s">
        <v>953</v>
      </c>
      <c r="AL111" s="4"/>
      <c r="AN111" s="4"/>
      <c r="AP111" s="4"/>
      <c r="AQ111" s="4"/>
      <c r="AS111" s="4">
        <v>1</v>
      </c>
      <c r="AT111" s="4">
        <v>0</v>
      </c>
      <c r="AU111" s="4">
        <v>0</v>
      </c>
      <c r="AV111" s="4">
        <v>1</v>
      </c>
      <c r="AW111" s="4">
        <v>0</v>
      </c>
      <c r="AX111" s="4">
        <v>0</v>
      </c>
      <c r="AZ111" s="2" t="s">
        <v>60</v>
      </c>
    </row>
    <row r="112" spans="2:52" x14ac:dyDescent="0.15">
      <c r="B112" s="2" t="s">
        <v>227</v>
      </c>
      <c r="C112" s="2" t="s">
        <v>210</v>
      </c>
      <c r="D112" s="2" t="s">
        <v>35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35</v>
      </c>
      <c r="H112" s="4" t="str">
        <f>VLOOKUP(G112,corpsSet!$B$5:$C$46,2,0)</f>
        <v>刘备</v>
      </c>
      <c r="I112" s="4" t="s">
        <v>213</v>
      </c>
      <c r="J112" s="4" t="str">
        <f>VLOOKUP(I112,citySet!$B$5:$C$46,2,0)</f>
        <v>江陵</v>
      </c>
      <c r="K112" s="2" t="s">
        <v>920</v>
      </c>
      <c r="L112" s="2" t="s">
        <v>962</v>
      </c>
      <c r="M112" s="2" t="s">
        <v>963</v>
      </c>
      <c r="N112" s="4"/>
      <c r="O112" s="2" t="s">
        <v>235</v>
      </c>
      <c r="P112" s="2" t="s">
        <v>235</v>
      </c>
      <c r="Q112" s="4">
        <v>0</v>
      </c>
      <c r="R112" s="2" t="s">
        <v>370</v>
      </c>
      <c r="S112" s="2" t="s">
        <v>961</v>
      </c>
      <c r="T112" s="2" t="s">
        <v>479</v>
      </c>
      <c r="U112" s="2" t="s">
        <v>609</v>
      </c>
      <c r="V112" s="2" t="s">
        <v>481</v>
      </c>
      <c r="W112" s="4">
        <v>1</v>
      </c>
      <c r="X112" s="2" t="s">
        <v>365</v>
      </c>
      <c r="Y112" s="4">
        <v>0</v>
      </c>
      <c r="Z112" s="4" t="s">
        <v>39</v>
      </c>
      <c r="AA112" s="2" t="s">
        <v>134</v>
      </c>
      <c r="AB112" s="2" t="s">
        <v>434</v>
      </c>
      <c r="AC112" s="2" t="s">
        <v>258</v>
      </c>
      <c r="AD112" s="4">
        <v>62</v>
      </c>
      <c r="AE112" s="2" t="s">
        <v>485</v>
      </c>
      <c r="AF112" s="2" t="s">
        <v>481</v>
      </c>
      <c r="AG112" s="2" t="s">
        <v>960</v>
      </c>
      <c r="AH112" s="2" t="s">
        <v>185</v>
      </c>
      <c r="AI112" s="2" t="s">
        <v>228</v>
      </c>
      <c r="AJ112" s="4" t="s">
        <v>403</v>
      </c>
      <c r="AK112" s="2" t="s">
        <v>924</v>
      </c>
      <c r="AL112" s="4"/>
      <c r="AN112" s="4"/>
      <c r="AP112" s="4" t="s">
        <v>1981</v>
      </c>
      <c r="AQ112" s="4"/>
      <c r="AS112" s="4">
        <v>2</v>
      </c>
      <c r="AT112" s="4">
        <v>3</v>
      </c>
      <c r="AU112" s="4">
        <v>1</v>
      </c>
      <c r="AV112" s="4">
        <v>2</v>
      </c>
      <c r="AW112" s="4">
        <v>0</v>
      </c>
      <c r="AX112" s="4">
        <v>1</v>
      </c>
      <c r="AZ112" s="2" t="s">
        <v>60</v>
      </c>
    </row>
    <row r="113" spans="2:52" x14ac:dyDescent="0.15">
      <c r="B113" s="2" t="s">
        <v>396</v>
      </c>
      <c r="C113" s="2" t="s">
        <v>964</v>
      </c>
      <c r="D113" s="2" t="s">
        <v>35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35</v>
      </c>
      <c r="H113" s="4" t="str">
        <f>VLOOKUP(G113,corpsSet!$B$5:$C$46,2,0)</f>
        <v>刘备</v>
      </c>
      <c r="I113" s="4" t="s">
        <v>213</v>
      </c>
      <c r="J113" s="4" t="str">
        <f>VLOOKUP(I113,citySet!$B$5:$C$46,2,0)</f>
        <v>江陵</v>
      </c>
      <c r="K113" s="2" t="s">
        <v>920</v>
      </c>
      <c r="L113" s="2" t="s">
        <v>965</v>
      </c>
      <c r="N113" s="4"/>
      <c r="O113" s="2" t="s">
        <v>554</v>
      </c>
      <c r="P113" s="2" t="s">
        <v>554</v>
      </c>
      <c r="Q113" s="4">
        <v>0</v>
      </c>
      <c r="R113" s="2" t="s">
        <v>370</v>
      </c>
      <c r="S113" s="2" t="s">
        <v>675</v>
      </c>
      <c r="T113" s="2" t="s">
        <v>950</v>
      </c>
      <c r="U113" s="2" t="s">
        <v>427</v>
      </c>
      <c r="V113" s="2" t="s">
        <v>481</v>
      </c>
      <c r="W113" s="4">
        <v>1</v>
      </c>
      <c r="X113" s="2" t="s">
        <v>365</v>
      </c>
      <c r="Y113" s="4">
        <v>0</v>
      </c>
      <c r="Z113" s="4" t="s">
        <v>39</v>
      </c>
      <c r="AA113" s="2" t="s">
        <v>134</v>
      </c>
      <c r="AB113" s="2" t="s">
        <v>367</v>
      </c>
      <c r="AC113" s="2" t="s">
        <v>123</v>
      </c>
      <c r="AD113" s="4">
        <v>52</v>
      </c>
      <c r="AE113" s="2" t="s">
        <v>191</v>
      </c>
      <c r="AF113" s="2" t="s">
        <v>367</v>
      </c>
      <c r="AG113" s="2" t="s">
        <v>596</v>
      </c>
      <c r="AH113" s="2" t="s">
        <v>185</v>
      </c>
      <c r="AI113" s="2" t="s">
        <v>228</v>
      </c>
      <c r="AJ113" s="4" t="s">
        <v>403</v>
      </c>
      <c r="AK113" s="2" t="s">
        <v>924</v>
      </c>
      <c r="AL113" s="4"/>
      <c r="AN113" s="4"/>
      <c r="AP113" s="4"/>
      <c r="AQ113" s="4"/>
      <c r="AS113" s="4">
        <v>1</v>
      </c>
      <c r="AT113" s="4">
        <v>2</v>
      </c>
      <c r="AU113" s="4">
        <v>0</v>
      </c>
      <c r="AV113" s="4">
        <v>3</v>
      </c>
      <c r="AW113" s="4">
        <v>0</v>
      </c>
      <c r="AX113" s="4">
        <v>2</v>
      </c>
      <c r="AZ113" s="2" t="s">
        <v>60</v>
      </c>
    </row>
    <row r="114" spans="2:52" x14ac:dyDescent="0.15">
      <c r="B114" s="2" t="s">
        <v>319</v>
      </c>
      <c r="C114" s="2" t="s">
        <v>171</v>
      </c>
      <c r="D114" s="2" t="s">
        <v>107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107</v>
      </c>
      <c r="H114" s="4" t="str">
        <f>VLOOKUP(G114,corpsSet!$B$5:$C$46,2,0)</f>
        <v>韩遂</v>
      </c>
      <c r="I114" s="4" t="s">
        <v>107</v>
      </c>
      <c r="J114" s="4" t="str">
        <f>VLOOKUP(I114,citySet!$B$5:$C$46,2,0)</f>
        <v>天水</v>
      </c>
      <c r="K114" s="2" t="s">
        <v>923</v>
      </c>
      <c r="L114" s="2" t="s">
        <v>966</v>
      </c>
      <c r="M114" s="2" t="s">
        <v>967</v>
      </c>
      <c r="N114" s="4"/>
      <c r="O114" s="2" t="s">
        <v>397</v>
      </c>
      <c r="P114" s="2" t="s">
        <v>397</v>
      </c>
      <c r="Q114" s="4">
        <v>0</v>
      </c>
      <c r="R114" s="2" t="s">
        <v>370</v>
      </c>
      <c r="S114" s="2" t="s">
        <v>435</v>
      </c>
      <c r="T114" s="2" t="s">
        <v>904</v>
      </c>
      <c r="U114" s="2" t="s">
        <v>332</v>
      </c>
      <c r="V114" s="2" t="s">
        <v>414</v>
      </c>
      <c r="W114" s="4">
        <v>3</v>
      </c>
      <c r="X114" s="2" t="s">
        <v>2</v>
      </c>
      <c r="Y114" s="4">
        <v>0</v>
      </c>
      <c r="Z114" s="4" t="s">
        <v>39</v>
      </c>
      <c r="AA114" s="2" t="s">
        <v>185</v>
      </c>
      <c r="AB114" s="2" t="s">
        <v>78</v>
      </c>
      <c r="AC114" s="2" t="s">
        <v>153</v>
      </c>
      <c r="AD114" s="4">
        <v>77</v>
      </c>
      <c r="AE114" s="2" t="s">
        <v>269</v>
      </c>
      <c r="AF114" s="2" t="s">
        <v>329</v>
      </c>
      <c r="AG114" s="2" t="s">
        <v>654</v>
      </c>
      <c r="AH114" s="2" t="s">
        <v>185</v>
      </c>
      <c r="AI114" s="2" t="s">
        <v>396</v>
      </c>
      <c r="AJ114" s="4"/>
      <c r="AL114" s="4"/>
      <c r="AN114" s="4"/>
      <c r="AP114" s="4">
        <v>11</v>
      </c>
      <c r="AQ114" s="4"/>
      <c r="AS114" s="4">
        <v>2</v>
      </c>
      <c r="AT114" s="4">
        <v>3</v>
      </c>
      <c r="AU114" s="4">
        <v>0</v>
      </c>
      <c r="AV114" s="4">
        <v>3</v>
      </c>
      <c r="AW114" s="4">
        <v>2</v>
      </c>
      <c r="AX114" s="4">
        <v>0</v>
      </c>
      <c r="AZ114" s="2" t="s">
        <v>60</v>
      </c>
    </row>
    <row r="115" spans="2:52" x14ac:dyDescent="0.15">
      <c r="B115" s="2" t="s">
        <v>231</v>
      </c>
      <c r="C115" s="2" t="s">
        <v>968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119</v>
      </c>
      <c r="J115" s="4" t="str">
        <f>VLOOKUP(I115,citySet!$B$5:$C$46,2,0)</f>
        <v>襄阳</v>
      </c>
      <c r="K115" s="2" t="s">
        <v>923</v>
      </c>
      <c r="L115" s="2" t="s">
        <v>969</v>
      </c>
      <c r="M115" s="2" t="s">
        <v>970</v>
      </c>
      <c r="N115" s="4"/>
      <c r="O115" s="2" t="s">
        <v>487</v>
      </c>
      <c r="P115" s="2" t="s">
        <v>487</v>
      </c>
      <c r="Q115" s="4">
        <v>0</v>
      </c>
      <c r="R115" s="2" t="s">
        <v>370</v>
      </c>
      <c r="S115" s="2" t="s">
        <v>435</v>
      </c>
      <c r="T115" s="2" t="s">
        <v>535</v>
      </c>
      <c r="U115" s="2" t="s">
        <v>685</v>
      </c>
      <c r="V115" s="2" t="s">
        <v>126</v>
      </c>
      <c r="W115" s="4">
        <v>2</v>
      </c>
      <c r="X115" s="2" t="s">
        <v>2983</v>
      </c>
      <c r="Y115" s="4">
        <v>0</v>
      </c>
      <c r="Z115" s="4" t="s">
        <v>39</v>
      </c>
      <c r="AA115" s="2" t="s">
        <v>60</v>
      </c>
      <c r="AB115" s="2" t="s">
        <v>196</v>
      </c>
      <c r="AC115" s="2" t="s">
        <v>8</v>
      </c>
      <c r="AD115" s="4">
        <v>70</v>
      </c>
      <c r="AE115" s="2" t="s">
        <v>422</v>
      </c>
      <c r="AF115" s="2" t="s">
        <v>269</v>
      </c>
      <c r="AG115" s="2" t="s">
        <v>646</v>
      </c>
      <c r="AH115" s="2" t="s">
        <v>185</v>
      </c>
      <c r="AI115" s="2" t="s">
        <v>319</v>
      </c>
      <c r="AJ115" s="4"/>
      <c r="AL115" s="4"/>
      <c r="AN115" s="4"/>
      <c r="AP115" s="4"/>
      <c r="AQ115" s="4"/>
      <c r="AS115" s="4">
        <v>0</v>
      </c>
      <c r="AT115" s="4">
        <v>0</v>
      </c>
      <c r="AU115" s="4">
        <v>0</v>
      </c>
      <c r="AV115" s="4">
        <v>0</v>
      </c>
      <c r="AW115" s="4">
        <v>1</v>
      </c>
      <c r="AX115" s="4">
        <v>0</v>
      </c>
      <c r="AZ115" s="2" t="s">
        <v>60</v>
      </c>
    </row>
    <row r="116" spans="2:52" x14ac:dyDescent="0.15">
      <c r="B116" s="2" t="s">
        <v>449</v>
      </c>
      <c r="C116" s="2" t="s">
        <v>971</v>
      </c>
      <c r="D116" s="2" t="s">
        <v>20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20</v>
      </c>
      <c r="H116" s="4" t="str">
        <f>VLOOKUP(G116,corpsSet!$B$5:$C$46,2,0)</f>
        <v>公孙瓒</v>
      </c>
      <c r="I116" s="4" t="s">
        <v>35</v>
      </c>
      <c r="J116" s="4" t="str">
        <f>VLOOKUP(I116,citySet!$B$5:$C$46,2,0)</f>
        <v>北平</v>
      </c>
      <c r="K116" s="2" t="s">
        <v>920</v>
      </c>
      <c r="L116" s="2" t="s">
        <v>974</v>
      </c>
      <c r="M116" s="2" t="s">
        <v>975</v>
      </c>
      <c r="N116" s="4"/>
      <c r="O116" s="2" t="s">
        <v>972</v>
      </c>
      <c r="P116" s="2" t="s">
        <v>972</v>
      </c>
      <c r="Q116" s="4">
        <v>0</v>
      </c>
      <c r="R116" s="2" t="s">
        <v>370</v>
      </c>
      <c r="S116" s="2" t="s">
        <v>435</v>
      </c>
      <c r="T116" s="2" t="s">
        <v>545</v>
      </c>
      <c r="U116" s="2" t="s">
        <v>479</v>
      </c>
      <c r="V116" s="2" t="s">
        <v>257</v>
      </c>
      <c r="W116" s="4">
        <v>1</v>
      </c>
      <c r="X116" s="2" t="s">
        <v>365</v>
      </c>
      <c r="Y116" s="4">
        <v>8</v>
      </c>
      <c r="Z116" s="4" t="s">
        <v>3079</v>
      </c>
      <c r="AA116" s="2" t="s">
        <v>185</v>
      </c>
      <c r="AB116" s="2" t="s">
        <v>15</v>
      </c>
      <c r="AC116" s="2" t="s">
        <v>14</v>
      </c>
      <c r="AD116" s="4">
        <v>72</v>
      </c>
      <c r="AE116" s="2" t="s">
        <v>382</v>
      </c>
      <c r="AF116" s="2" t="s">
        <v>98</v>
      </c>
      <c r="AG116" s="2" t="s">
        <v>854</v>
      </c>
      <c r="AH116" s="2" t="s">
        <v>185</v>
      </c>
      <c r="AI116" s="2" t="s">
        <v>231</v>
      </c>
      <c r="AJ116" s="4"/>
      <c r="AL116" s="4"/>
      <c r="AN116" s="4"/>
      <c r="AP116" s="4"/>
      <c r="AQ116" s="4"/>
      <c r="AS116" s="4">
        <v>0</v>
      </c>
      <c r="AT116" s="4">
        <v>0</v>
      </c>
      <c r="AU116" s="4">
        <v>0</v>
      </c>
      <c r="AV116" s="4">
        <v>1</v>
      </c>
      <c r="AW116" s="4">
        <v>0</v>
      </c>
      <c r="AX116" s="4">
        <v>0</v>
      </c>
      <c r="AZ116" s="2" t="s">
        <v>60</v>
      </c>
    </row>
    <row r="117" spans="2:52" x14ac:dyDescent="0.15">
      <c r="B117" s="2" t="s">
        <v>122</v>
      </c>
      <c r="C117" s="2" t="s">
        <v>976</v>
      </c>
      <c r="D117" s="2" t="s">
        <v>25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25</v>
      </c>
      <c r="H117" s="4" t="str">
        <f>VLOOKUP(G117,corpsSet!$B$5:$C$46,2,0)</f>
        <v>张角</v>
      </c>
      <c r="I117" s="4" t="s">
        <v>20</v>
      </c>
      <c r="J117" s="4" t="str">
        <f>VLOOKUP(I117,citySet!$B$5:$C$46,2,0)</f>
        <v>濮阳</v>
      </c>
      <c r="K117" s="2" t="s">
        <v>923</v>
      </c>
      <c r="L117" s="2" t="s">
        <v>978</v>
      </c>
      <c r="N117" s="4"/>
      <c r="O117" s="2" t="s">
        <v>738</v>
      </c>
      <c r="P117" s="2" t="s">
        <v>738</v>
      </c>
      <c r="Q117" s="4">
        <v>0</v>
      </c>
      <c r="R117" s="2" t="s">
        <v>370</v>
      </c>
      <c r="S117" s="2" t="s">
        <v>435</v>
      </c>
      <c r="T117" s="2" t="s">
        <v>436</v>
      </c>
      <c r="U117" s="2" t="s">
        <v>327</v>
      </c>
      <c r="V117" s="2" t="s">
        <v>30</v>
      </c>
      <c r="W117" s="4">
        <v>1</v>
      </c>
      <c r="X117" s="2" t="s">
        <v>365</v>
      </c>
      <c r="Y117" s="4">
        <v>0</v>
      </c>
      <c r="Z117" s="4" t="s">
        <v>39</v>
      </c>
      <c r="AA117" s="2" t="s">
        <v>185</v>
      </c>
      <c r="AB117" s="2" t="s">
        <v>454</v>
      </c>
      <c r="AC117" s="2" t="s">
        <v>404</v>
      </c>
      <c r="AD117" s="4">
        <v>36</v>
      </c>
      <c r="AE117" s="2" t="s">
        <v>104</v>
      </c>
      <c r="AF117" s="2" t="s">
        <v>7</v>
      </c>
      <c r="AG117" s="2" t="s">
        <v>977</v>
      </c>
      <c r="AH117" s="2" t="s">
        <v>185</v>
      </c>
      <c r="AI117" s="2" t="s">
        <v>449</v>
      </c>
      <c r="AJ117" s="4"/>
      <c r="AL117" s="4"/>
      <c r="AN117" s="4"/>
      <c r="AP117" s="4"/>
      <c r="AQ117" s="4"/>
      <c r="AS117" s="4">
        <v>1</v>
      </c>
      <c r="AT117" s="4">
        <v>0</v>
      </c>
      <c r="AU117" s="4">
        <v>1</v>
      </c>
      <c r="AV117" s="4">
        <v>0</v>
      </c>
      <c r="AW117" s="4">
        <v>0</v>
      </c>
      <c r="AX117" s="4">
        <v>0</v>
      </c>
      <c r="AZ117" s="2" t="s">
        <v>60</v>
      </c>
    </row>
    <row r="118" spans="2:52" x14ac:dyDescent="0.15">
      <c r="B118" s="2" t="s">
        <v>221</v>
      </c>
      <c r="C118" s="2" t="s">
        <v>979</v>
      </c>
      <c r="D118" s="2" t="s">
        <v>31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31</v>
      </c>
      <c r="H118" s="4" t="str">
        <f>VLOOKUP(G118,corpsSet!$B$5:$C$46,2,0)</f>
        <v>孙坚</v>
      </c>
      <c r="I118" s="4" t="s">
        <v>204</v>
      </c>
      <c r="J118" s="4" t="str">
        <f>VLOOKUP(I118,citySet!$B$5:$C$46,2,0)</f>
        <v>柴桑</v>
      </c>
      <c r="K118" s="2" t="s">
        <v>983</v>
      </c>
      <c r="L118" s="2" t="s">
        <v>984</v>
      </c>
      <c r="M118" s="2" t="s">
        <v>985</v>
      </c>
      <c r="N118" s="4"/>
      <c r="O118" s="2" t="s">
        <v>549</v>
      </c>
      <c r="P118" s="2" t="s">
        <v>549</v>
      </c>
      <c r="Q118" s="4">
        <v>0</v>
      </c>
      <c r="R118" s="2" t="s">
        <v>370</v>
      </c>
      <c r="S118" s="2" t="s">
        <v>772</v>
      </c>
      <c r="T118" s="2" t="s">
        <v>981</v>
      </c>
      <c r="U118" s="2" t="s">
        <v>198</v>
      </c>
      <c r="V118" s="2" t="s">
        <v>369</v>
      </c>
      <c r="W118" s="4">
        <v>1</v>
      </c>
      <c r="X118" s="2" t="s">
        <v>365</v>
      </c>
      <c r="Y118" s="4">
        <v>0</v>
      </c>
      <c r="Z118" s="4" t="s">
        <v>39</v>
      </c>
      <c r="AA118" s="2" t="s">
        <v>185</v>
      </c>
      <c r="AB118" s="2" t="s">
        <v>99</v>
      </c>
      <c r="AC118" s="2" t="s">
        <v>233</v>
      </c>
      <c r="AD118" s="4">
        <v>83</v>
      </c>
      <c r="AE118" s="2" t="s">
        <v>258</v>
      </c>
      <c r="AF118" s="2" t="s">
        <v>261</v>
      </c>
      <c r="AG118" s="2" t="s">
        <v>980</v>
      </c>
      <c r="AH118" s="2" t="s">
        <v>185</v>
      </c>
      <c r="AI118" s="2" t="s">
        <v>122</v>
      </c>
      <c r="AJ118" s="4"/>
      <c r="AL118" s="4"/>
      <c r="AN118" s="4"/>
      <c r="AP118" s="4"/>
      <c r="AQ118" s="4"/>
      <c r="AS118" s="4">
        <v>0</v>
      </c>
      <c r="AT118" s="4">
        <v>0</v>
      </c>
      <c r="AU118" s="4">
        <v>1</v>
      </c>
      <c r="AV118" s="4">
        <v>0</v>
      </c>
      <c r="AW118" s="4">
        <v>1</v>
      </c>
      <c r="AX118" s="4">
        <v>1</v>
      </c>
      <c r="AZ118" s="2" t="s">
        <v>60</v>
      </c>
    </row>
    <row r="119" spans="2:52" x14ac:dyDescent="0.15">
      <c r="B119" s="2" t="s">
        <v>129</v>
      </c>
      <c r="C119" s="2" t="s">
        <v>986</v>
      </c>
      <c r="D119" s="2" t="s">
        <v>25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25</v>
      </c>
      <c r="H119" s="4" t="str">
        <f>VLOOKUP(G119,corpsSet!$B$5:$C$46,2,0)</f>
        <v>张角</v>
      </c>
      <c r="I119" s="4" t="s">
        <v>20</v>
      </c>
      <c r="J119" s="4" t="str">
        <f>VLOOKUP(I119,citySet!$B$5:$C$46,2,0)</f>
        <v>濮阳</v>
      </c>
      <c r="K119" s="2" t="s">
        <v>923</v>
      </c>
      <c r="L119" s="2" t="s">
        <v>676</v>
      </c>
      <c r="N119" s="4"/>
      <c r="O119" s="2" t="s">
        <v>987</v>
      </c>
      <c r="P119" s="2" t="s">
        <v>987</v>
      </c>
      <c r="Q119" s="4">
        <v>0</v>
      </c>
      <c r="R119" s="2" t="s">
        <v>370</v>
      </c>
      <c r="S119" s="2" t="s">
        <v>435</v>
      </c>
      <c r="T119" s="2" t="s">
        <v>634</v>
      </c>
      <c r="U119" s="2" t="s">
        <v>435</v>
      </c>
      <c r="V119" s="2" t="s">
        <v>34</v>
      </c>
      <c r="W119" s="4">
        <v>1</v>
      </c>
      <c r="X119" s="2" t="s">
        <v>365</v>
      </c>
      <c r="Y119" s="4">
        <v>0</v>
      </c>
      <c r="Z119" s="4" t="s">
        <v>39</v>
      </c>
      <c r="AA119" s="2" t="s">
        <v>228</v>
      </c>
      <c r="AB119" s="2" t="s">
        <v>444</v>
      </c>
      <c r="AC119" s="2" t="s">
        <v>445</v>
      </c>
      <c r="AD119" s="4">
        <v>18</v>
      </c>
      <c r="AE119" s="2" t="s">
        <v>20</v>
      </c>
      <c r="AF119" s="2" t="s">
        <v>189</v>
      </c>
      <c r="AG119" s="2" t="s">
        <v>435</v>
      </c>
      <c r="AH119" s="2" t="s">
        <v>185</v>
      </c>
      <c r="AI119" s="2" t="s">
        <v>221</v>
      </c>
      <c r="AJ119" s="4"/>
      <c r="AL119" s="4"/>
      <c r="AN119" s="4"/>
      <c r="AP119" s="4"/>
      <c r="AQ119" s="4"/>
      <c r="AS119" s="4">
        <v>1</v>
      </c>
      <c r="AT119" s="4">
        <v>1</v>
      </c>
      <c r="AU119" s="4">
        <v>0</v>
      </c>
      <c r="AV119" s="4">
        <v>0</v>
      </c>
      <c r="AW119" s="4">
        <v>0</v>
      </c>
      <c r="AX119" s="4">
        <v>0</v>
      </c>
      <c r="AZ119" s="2" t="s">
        <v>60</v>
      </c>
    </row>
    <row r="120" spans="2:52" x14ac:dyDescent="0.15">
      <c r="B120" s="2" t="s">
        <v>147</v>
      </c>
      <c r="C120" s="2" t="s">
        <v>989</v>
      </c>
      <c r="D120" s="2" t="s">
        <v>35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35</v>
      </c>
      <c r="H120" s="4" t="str">
        <f>VLOOKUP(G120,corpsSet!$B$5:$C$46,2,0)</f>
        <v>刘备</v>
      </c>
      <c r="I120" s="4" t="s">
        <v>213</v>
      </c>
      <c r="J120" s="4" t="str">
        <f>VLOOKUP(I120,citySet!$B$5:$C$46,2,0)</f>
        <v>江陵</v>
      </c>
      <c r="K120" s="2" t="s">
        <v>920</v>
      </c>
      <c r="L120" s="2" t="s">
        <v>993</v>
      </c>
      <c r="N120" s="4"/>
      <c r="O120" s="2" t="s">
        <v>990</v>
      </c>
      <c r="P120" s="2" t="s">
        <v>990</v>
      </c>
      <c r="Q120" s="4">
        <v>0</v>
      </c>
      <c r="R120" s="2" t="s">
        <v>370</v>
      </c>
      <c r="S120" s="2" t="s">
        <v>991</v>
      </c>
      <c r="T120" s="2" t="s">
        <v>379</v>
      </c>
      <c r="U120" s="2" t="s">
        <v>679</v>
      </c>
      <c r="V120" s="2" t="s">
        <v>481</v>
      </c>
      <c r="W120" s="4">
        <v>1</v>
      </c>
      <c r="X120" s="2" t="s">
        <v>365</v>
      </c>
      <c r="Y120" s="4">
        <v>0</v>
      </c>
      <c r="Z120" s="4" t="s">
        <v>39</v>
      </c>
      <c r="AA120" s="2" t="s">
        <v>185</v>
      </c>
      <c r="AB120" s="2" t="s">
        <v>382</v>
      </c>
      <c r="AC120" s="2" t="s">
        <v>93</v>
      </c>
      <c r="AD120" s="4">
        <v>61</v>
      </c>
      <c r="AE120" s="2" t="s">
        <v>382</v>
      </c>
      <c r="AF120" s="2" t="s">
        <v>481</v>
      </c>
      <c r="AG120" s="2" t="s">
        <v>240</v>
      </c>
      <c r="AH120" s="2" t="s">
        <v>185</v>
      </c>
      <c r="AI120" s="2" t="s">
        <v>228</v>
      </c>
      <c r="AJ120" s="4">
        <v>18</v>
      </c>
      <c r="AK120" s="2" t="s">
        <v>210</v>
      </c>
      <c r="AL120" s="4"/>
      <c r="AN120" s="4"/>
      <c r="AP120" s="4"/>
      <c r="AQ120" s="4"/>
      <c r="AS120" s="4">
        <v>0</v>
      </c>
      <c r="AT120" s="4">
        <v>2</v>
      </c>
      <c r="AU120" s="4">
        <v>2</v>
      </c>
      <c r="AV120" s="4">
        <v>0</v>
      </c>
      <c r="AW120" s="4">
        <v>0</v>
      </c>
      <c r="AX120" s="4">
        <v>1</v>
      </c>
      <c r="AZ120" s="2" t="s">
        <v>60</v>
      </c>
    </row>
    <row r="121" spans="2:52" x14ac:dyDescent="0.15">
      <c r="B121" s="2" t="s">
        <v>159</v>
      </c>
      <c r="C121" s="2" t="s">
        <v>994</v>
      </c>
      <c r="D121" s="2" t="s">
        <v>31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31</v>
      </c>
      <c r="H121" s="4" t="str">
        <f>VLOOKUP(G121,corpsSet!$B$5:$C$46,2,0)</f>
        <v>孙坚</v>
      </c>
      <c r="I121" s="4" t="s">
        <v>204</v>
      </c>
      <c r="J121" s="4" t="str">
        <f>VLOOKUP(I121,citySet!$B$5:$C$46,2,0)</f>
        <v>柴桑</v>
      </c>
      <c r="K121" s="2" t="s">
        <v>923</v>
      </c>
      <c r="L121" s="2" t="s">
        <v>996</v>
      </c>
      <c r="M121" s="2" t="s">
        <v>997</v>
      </c>
      <c r="N121" s="4"/>
      <c r="O121" s="2" t="s">
        <v>995</v>
      </c>
      <c r="P121" s="2" t="s">
        <v>995</v>
      </c>
      <c r="Q121" s="4">
        <v>0</v>
      </c>
      <c r="R121" s="2" t="s">
        <v>370</v>
      </c>
      <c r="S121" s="2" t="s">
        <v>435</v>
      </c>
      <c r="T121" s="2" t="s">
        <v>824</v>
      </c>
      <c r="U121" s="2" t="s">
        <v>373</v>
      </c>
      <c r="V121" s="2" t="s">
        <v>335</v>
      </c>
      <c r="W121" s="4">
        <v>1</v>
      </c>
      <c r="X121" s="2" t="s">
        <v>365</v>
      </c>
      <c r="Y121" s="4">
        <v>1</v>
      </c>
      <c r="Z121" s="4" t="s">
        <v>1243</v>
      </c>
      <c r="AA121" s="2" t="s">
        <v>134</v>
      </c>
      <c r="AB121" s="2" t="s">
        <v>434</v>
      </c>
      <c r="AC121" s="2" t="s">
        <v>256</v>
      </c>
      <c r="AD121" s="4">
        <v>56</v>
      </c>
      <c r="AE121" s="2" t="s">
        <v>7</v>
      </c>
      <c r="AF121" s="2" t="s">
        <v>321</v>
      </c>
      <c r="AG121" s="2" t="s">
        <v>520</v>
      </c>
      <c r="AH121" s="2" t="s">
        <v>185</v>
      </c>
      <c r="AI121" s="2" t="s">
        <v>147</v>
      </c>
      <c r="AJ121" s="4"/>
      <c r="AL121" s="4"/>
      <c r="AN121" s="4"/>
      <c r="AP121" s="4"/>
      <c r="AQ121" s="4"/>
      <c r="AS121" s="4">
        <v>2</v>
      </c>
      <c r="AT121" s="4">
        <v>1</v>
      </c>
      <c r="AU121" s="4">
        <v>1</v>
      </c>
      <c r="AV121" s="4">
        <v>2</v>
      </c>
      <c r="AW121" s="4">
        <v>0</v>
      </c>
      <c r="AX121" s="4">
        <v>3</v>
      </c>
      <c r="AZ121" s="2" t="s">
        <v>60</v>
      </c>
    </row>
    <row r="122" spans="2:52" x14ac:dyDescent="0.15">
      <c r="B122" s="2" t="s">
        <v>137</v>
      </c>
      <c r="C122" s="2" t="s">
        <v>998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106</v>
      </c>
      <c r="J122" s="4" t="str">
        <f>VLOOKUP(I122,citySet!$B$5:$C$46,2,0)</f>
        <v>安定</v>
      </c>
      <c r="K122" s="2" t="s">
        <v>923</v>
      </c>
      <c r="L122" s="2" t="s">
        <v>869</v>
      </c>
      <c r="N122" s="4"/>
      <c r="O122" s="2" t="s">
        <v>999</v>
      </c>
      <c r="P122" s="2" t="s">
        <v>999</v>
      </c>
      <c r="Q122" s="4">
        <v>0</v>
      </c>
      <c r="R122" s="2" t="s">
        <v>370</v>
      </c>
      <c r="S122" s="2" t="s">
        <v>479</v>
      </c>
      <c r="T122" s="2" t="s">
        <v>579</v>
      </c>
      <c r="U122" s="2" t="s">
        <v>667</v>
      </c>
      <c r="V122" s="2" t="s">
        <v>105</v>
      </c>
      <c r="W122" s="4">
        <v>2</v>
      </c>
      <c r="X122" s="2" t="s">
        <v>2983</v>
      </c>
      <c r="Y122" s="4">
        <v>0</v>
      </c>
      <c r="Z122" s="4" t="s">
        <v>39</v>
      </c>
      <c r="AA122" s="2" t="s">
        <v>60</v>
      </c>
      <c r="AB122" s="2" t="s">
        <v>382</v>
      </c>
      <c r="AC122" s="2" t="s">
        <v>434</v>
      </c>
      <c r="AD122" s="4">
        <v>25</v>
      </c>
      <c r="AE122" s="2" t="s">
        <v>18</v>
      </c>
      <c r="AF122" s="2" t="s">
        <v>3</v>
      </c>
      <c r="AG122" s="2" t="s">
        <v>609</v>
      </c>
      <c r="AH122" s="2" t="s">
        <v>185</v>
      </c>
      <c r="AI122" s="2" t="s">
        <v>159</v>
      </c>
      <c r="AJ122" s="4"/>
      <c r="AL122" s="4"/>
      <c r="AN122" s="4"/>
      <c r="AP122" s="4"/>
      <c r="AQ122" s="4"/>
      <c r="AS122" s="4">
        <v>0</v>
      </c>
      <c r="AT122" s="4">
        <v>2</v>
      </c>
      <c r="AU122" s="4">
        <v>0</v>
      </c>
      <c r="AV122" s="4">
        <v>2</v>
      </c>
      <c r="AW122" s="4">
        <v>0</v>
      </c>
      <c r="AX122" s="4">
        <v>0</v>
      </c>
      <c r="AZ122" s="2" t="s">
        <v>60</v>
      </c>
    </row>
    <row r="123" spans="2:52" x14ac:dyDescent="0.15">
      <c r="B123" s="2" t="s">
        <v>141</v>
      </c>
      <c r="C123" s="2" t="s">
        <v>3085</v>
      </c>
      <c r="D123" s="2" t="s">
        <v>31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31</v>
      </c>
      <c r="H123" s="4" t="str">
        <f>VLOOKUP(G123,corpsSet!$B$5:$C$46,2,0)</f>
        <v>孙坚</v>
      </c>
      <c r="I123" s="4" t="s">
        <v>204</v>
      </c>
      <c r="J123" s="4" t="str">
        <f>VLOOKUP(I123,citySet!$B$5:$C$46,2,0)</f>
        <v>柴桑</v>
      </c>
      <c r="K123" s="2" t="s">
        <v>1002</v>
      </c>
      <c r="L123" s="2" t="s">
        <v>1003</v>
      </c>
      <c r="M123" s="2" t="s">
        <v>1004</v>
      </c>
      <c r="N123" s="4"/>
      <c r="O123" s="2" t="s">
        <v>103</v>
      </c>
      <c r="P123" s="2" t="s">
        <v>103</v>
      </c>
      <c r="Q123" s="4">
        <v>0</v>
      </c>
      <c r="R123" s="2" t="s">
        <v>370</v>
      </c>
      <c r="S123" s="2" t="s">
        <v>467</v>
      </c>
      <c r="T123" s="2" t="s">
        <v>1001</v>
      </c>
      <c r="U123" s="2" t="s">
        <v>512</v>
      </c>
      <c r="V123" s="2" t="s">
        <v>603</v>
      </c>
      <c r="W123" s="4">
        <v>1</v>
      </c>
      <c r="X123" s="2" t="s">
        <v>365</v>
      </c>
      <c r="Y123" s="4">
        <v>0</v>
      </c>
      <c r="Z123" s="4" t="s">
        <v>39</v>
      </c>
      <c r="AA123" s="2" t="s">
        <v>185</v>
      </c>
      <c r="AB123" s="2" t="s">
        <v>258</v>
      </c>
      <c r="AC123" s="2" t="s">
        <v>175</v>
      </c>
      <c r="AD123" s="4">
        <v>76</v>
      </c>
      <c r="AE123" s="2" t="s">
        <v>104</v>
      </c>
      <c r="AF123" s="2" t="s">
        <v>485</v>
      </c>
      <c r="AG123" s="2" t="s">
        <v>265</v>
      </c>
      <c r="AH123" s="2" t="s">
        <v>185</v>
      </c>
      <c r="AI123" s="2" t="s">
        <v>137</v>
      </c>
      <c r="AJ123" s="4"/>
      <c r="AL123" s="4"/>
      <c r="AN123" s="4"/>
      <c r="AP123" s="4"/>
      <c r="AQ123" s="4"/>
      <c r="AS123" s="4">
        <v>3</v>
      </c>
      <c r="AT123" s="4">
        <v>2</v>
      </c>
      <c r="AU123" s="4">
        <v>2</v>
      </c>
      <c r="AV123" s="4">
        <v>2</v>
      </c>
      <c r="AW123" s="4">
        <v>3</v>
      </c>
      <c r="AX123" s="4">
        <v>3</v>
      </c>
      <c r="AZ123" s="2" t="s">
        <v>60</v>
      </c>
    </row>
    <row r="124" spans="2:52" x14ac:dyDescent="0.15">
      <c r="B124" s="2" t="s">
        <v>134</v>
      </c>
      <c r="C124" s="2" t="s">
        <v>3086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32</v>
      </c>
      <c r="J124" s="4" t="str">
        <f>VLOOKUP(I124,citySet!$B$5:$C$46,2,0)</f>
        <v>小沛</v>
      </c>
      <c r="K124" s="2" t="s">
        <v>929</v>
      </c>
      <c r="L124" s="2" t="s">
        <v>905</v>
      </c>
      <c r="M124" s="2" t="s">
        <v>1005</v>
      </c>
      <c r="N124" s="4"/>
      <c r="O124" s="2" t="s">
        <v>903</v>
      </c>
      <c r="P124" s="2" t="s">
        <v>903</v>
      </c>
      <c r="Q124" s="4">
        <v>0</v>
      </c>
      <c r="R124" s="2" t="s">
        <v>370</v>
      </c>
      <c r="S124" s="2" t="s">
        <v>379</v>
      </c>
      <c r="T124" s="2" t="s">
        <v>479</v>
      </c>
      <c r="U124" s="2" t="s">
        <v>732</v>
      </c>
      <c r="V124" s="2" t="s">
        <v>107</v>
      </c>
      <c r="W124" s="4">
        <v>2</v>
      </c>
      <c r="X124" s="2" t="s">
        <v>2983</v>
      </c>
      <c r="Y124" s="4">
        <v>0</v>
      </c>
      <c r="Z124" s="4" t="s">
        <v>39</v>
      </c>
      <c r="AA124" s="2" t="s">
        <v>60</v>
      </c>
      <c r="AB124" s="2" t="s">
        <v>106</v>
      </c>
      <c r="AC124" s="2" t="s">
        <v>24</v>
      </c>
      <c r="AD124" s="4">
        <v>78</v>
      </c>
      <c r="AE124" s="2" t="s">
        <v>367</v>
      </c>
      <c r="AF124" s="2" t="s">
        <v>7</v>
      </c>
      <c r="AG124" s="2" t="s">
        <v>609</v>
      </c>
      <c r="AH124" s="2" t="s">
        <v>185</v>
      </c>
      <c r="AI124" s="2" t="s">
        <v>141</v>
      </c>
      <c r="AJ124" s="4"/>
      <c r="AL124" s="4"/>
      <c r="AN124" s="4"/>
      <c r="AP124" s="4"/>
      <c r="AQ124" s="4"/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Z124" s="2" t="s">
        <v>60</v>
      </c>
    </row>
    <row r="125" spans="2:52" x14ac:dyDescent="0.15">
      <c r="B125" s="2" t="s">
        <v>557</v>
      </c>
      <c r="C125" s="2" t="s">
        <v>1006</v>
      </c>
      <c r="D125" s="2" t="s">
        <v>8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8</v>
      </c>
      <c r="H125" s="4" t="str">
        <f>VLOOKUP(G125,corpsSet!$B$5:$C$46,2,0)</f>
        <v>韩馥</v>
      </c>
      <c r="I125" s="4" t="s">
        <v>34</v>
      </c>
      <c r="J125" s="4" t="str">
        <f>VLOOKUP(I125,citySet!$B$5:$C$46,2,0)</f>
        <v>邺</v>
      </c>
      <c r="K125" s="2" t="s">
        <v>923</v>
      </c>
      <c r="L125" s="2" t="s">
        <v>1008</v>
      </c>
      <c r="M125" s="2" t="s">
        <v>1009</v>
      </c>
      <c r="N125" s="4"/>
      <c r="O125" s="2" t="s">
        <v>19</v>
      </c>
      <c r="P125" s="2" t="s">
        <v>19</v>
      </c>
      <c r="Q125" s="4">
        <v>0</v>
      </c>
      <c r="R125" s="2" t="s">
        <v>370</v>
      </c>
      <c r="S125" s="2" t="s">
        <v>435</v>
      </c>
      <c r="T125" s="2" t="s">
        <v>1007</v>
      </c>
      <c r="U125" s="2" t="s">
        <v>564</v>
      </c>
      <c r="V125" s="2" t="s">
        <v>130</v>
      </c>
      <c r="W125" s="4">
        <v>3</v>
      </c>
      <c r="X125" s="2" t="s">
        <v>2</v>
      </c>
      <c r="Y125" s="4">
        <v>0</v>
      </c>
      <c r="Z125" s="4" t="s">
        <v>39</v>
      </c>
      <c r="AA125" s="2" t="s">
        <v>185</v>
      </c>
      <c r="AB125" s="2" t="s">
        <v>41</v>
      </c>
      <c r="AC125" s="2" t="s">
        <v>31</v>
      </c>
      <c r="AD125" s="4">
        <v>27</v>
      </c>
      <c r="AE125" s="2" t="s">
        <v>423</v>
      </c>
      <c r="AF125" s="2" t="s">
        <v>93</v>
      </c>
      <c r="AG125" s="2" t="s">
        <v>499</v>
      </c>
      <c r="AH125" s="2" t="s">
        <v>185</v>
      </c>
      <c r="AI125" s="2" t="s">
        <v>134</v>
      </c>
      <c r="AJ125" s="4"/>
      <c r="AL125" s="4"/>
      <c r="AN125" s="4"/>
      <c r="AP125" s="4"/>
      <c r="AQ125" s="4"/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Z125" s="2" t="s">
        <v>60</v>
      </c>
    </row>
    <row r="126" spans="2:52" x14ac:dyDescent="0.15">
      <c r="B126" s="2" t="s">
        <v>1012</v>
      </c>
      <c r="C126" s="2" t="s">
        <v>1010</v>
      </c>
      <c r="D126" s="2" t="s">
        <v>35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35</v>
      </c>
      <c r="H126" s="4" t="str">
        <f>VLOOKUP(G126,corpsSet!$B$5:$C$46,2,0)</f>
        <v>刘备</v>
      </c>
      <c r="I126" s="4" t="s">
        <v>213</v>
      </c>
      <c r="J126" s="4" t="str">
        <f>VLOOKUP(I126,citySet!$B$5:$C$46,2,0)</f>
        <v>江陵</v>
      </c>
      <c r="K126" s="2" t="s">
        <v>920</v>
      </c>
      <c r="L126" s="2" t="s">
        <v>698</v>
      </c>
      <c r="N126" s="4"/>
      <c r="O126" s="2" t="s">
        <v>104</v>
      </c>
      <c r="P126" s="2" t="s">
        <v>104</v>
      </c>
      <c r="Q126" s="4">
        <v>0</v>
      </c>
      <c r="R126" s="2" t="s">
        <v>370</v>
      </c>
      <c r="S126" s="2" t="s">
        <v>950</v>
      </c>
      <c r="T126" s="2" t="s">
        <v>707</v>
      </c>
      <c r="U126" s="2" t="s">
        <v>702</v>
      </c>
      <c r="V126" s="2" t="s">
        <v>481</v>
      </c>
      <c r="W126" s="4">
        <v>1</v>
      </c>
      <c r="X126" s="2" t="s">
        <v>365</v>
      </c>
      <c r="Y126" s="4">
        <v>0</v>
      </c>
      <c r="Z126" s="4" t="s">
        <v>39</v>
      </c>
      <c r="AA126" s="2" t="s">
        <v>134</v>
      </c>
      <c r="AB126" s="2" t="s">
        <v>422</v>
      </c>
      <c r="AC126" s="2" t="s">
        <v>554</v>
      </c>
      <c r="AD126" s="4">
        <v>68</v>
      </c>
      <c r="AE126" s="2" t="s">
        <v>93</v>
      </c>
      <c r="AF126" s="2" t="s">
        <v>434</v>
      </c>
      <c r="AG126" s="2" t="s">
        <v>1011</v>
      </c>
      <c r="AH126" s="2" t="s">
        <v>185</v>
      </c>
      <c r="AI126" s="2" t="s">
        <v>228</v>
      </c>
      <c r="AJ126" s="4" t="s">
        <v>403</v>
      </c>
      <c r="AK126" s="2" t="s">
        <v>924</v>
      </c>
      <c r="AL126" s="4"/>
      <c r="AN126" s="4"/>
      <c r="AP126" s="4"/>
      <c r="AQ126" s="4"/>
      <c r="AS126" s="4">
        <v>3</v>
      </c>
      <c r="AT126" s="4">
        <v>2</v>
      </c>
      <c r="AU126" s="4">
        <v>1</v>
      </c>
      <c r="AV126" s="4">
        <v>2</v>
      </c>
      <c r="AW126" s="4">
        <v>0</v>
      </c>
      <c r="AX126" s="4">
        <v>1</v>
      </c>
      <c r="AZ126" s="2" t="s">
        <v>60</v>
      </c>
    </row>
    <row r="127" spans="2:52" x14ac:dyDescent="0.15">
      <c r="B127" s="2" t="s">
        <v>1018</v>
      </c>
      <c r="C127" s="2" t="s">
        <v>1013</v>
      </c>
      <c r="D127" s="2" t="s">
        <v>35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35</v>
      </c>
      <c r="H127" s="4" t="str">
        <f>VLOOKUP(G127,corpsSet!$B$5:$C$46,2,0)</f>
        <v>刘备</v>
      </c>
      <c r="I127" s="4" t="s">
        <v>213</v>
      </c>
      <c r="J127" s="4" t="str">
        <f>VLOOKUP(I127,citySet!$B$5:$C$46,2,0)</f>
        <v>江陵</v>
      </c>
      <c r="K127" s="2" t="s">
        <v>1015</v>
      </c>
      <c r="L127" s="2" t="s">
        <v>1016</v>
      </c>
      <c r="M127" s="2" t="s">
        <v>1017</v>
      </c>
      <c r="N127" s="4"/>
      <c r="O127" s="2" t="s">
        <v>1001</v>
      </c>
      <c r="P127" s="2" t="s">
        <v>1001</v>
      </c>
      <c r="Q127" s="4">
        <v>0</v>
      </c>
      <c r="R127" s="2" t="s">
        <v>370</v>
      </c>
      <c r="S127" s="2" t="s">
        <v>435</v>
      </c>
      <c r="T127" s="2" t="s">
        <v>957</v>
      </c>
      <c r="U127" s="2" t="s">
        <v>373</v>
      </c>
      <c r="V127" s="2" t="s">
        <v>261</v>
      </c>
      <c r="W127" s="4">
        <v>1</v>
      </c>
      <c r="X127" s="2" t="s">
        <v>365</v>
      </c>
      <c r="Y127" s="4">
        <v>0</v>
      </c>
      <c r="Z127" s="4" t="s">
        <v>39</v>
      </c>
      <c r="AA127" s="2" t="s">
        <v>185</v>
      </c>
      <c r="AB127" s="2" t="s">
        <v>106</v>
      </c>
      <c r="AC127" s="2" t="s">
        <v>5</v>
      </c>
      <c r="AD127" s="4">
        <v>74</v>
      </c>
      <c r="AE127" s="2" t="s">
        <v>515</v>
      </c>
      <c r="AF127" s="2" t="s">
        <v>367</v>
      </c>
      <c r="AG127" s="2" t="s">
        <v>1014</v>
      </c>
      <c r="AH127" s="2" t="s">
        <v>185</v>
      </c>
      <c r="AI127" s="2" t="s">
        <v>1012</v>
      </c>
      <c r="AJ127" s="4"/>
      <c r="AL127" s="4"/>
      <c r="AN127" s="4"/>
      <c r="AP127" s="4"/>
      <c r="AQ127" s="4"/>
      <c r="AS127" s="4">
        <v>0</v>
      </c>
      <c r="AT127" s="4">
        <v>0</v>
      </c>
      <c r="AU127" s="4">
        <v>0</v>
      </c>
      <c r="AV127" s="4">
        <v>0</v>
      </c>
      <c r="AW127" s="4">
        <v>1</v>
      </c>
      <c r="AX127" s="4">
        <v>0</v>
      </c>
      <c r="AZ127" s="2" t="s">
        <v>60</v>
      </c>
    </row>
    <row r="128" spans="2:52" x14ac:dyDescent="0.15">
      <c r="B128" s="2" t="s">
        <v>469</v>
      </c>
      <c r="C128" s="2" t="s">
        <v>136</v>
      </c>
      <c r="D128" s="2" t="s">
        <v>30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30</v>
      </c>
      <c r="H128" s="4" t="str">
        <f>VLOOKUP(G128,corpsSet!$B$5:$C$46,2,0)</f>
        <v>袁绍</v>
      </c>
      <c r="I128" s="4" t="s">
        <v>37</v>
      </c>
      <c r="J128" s="4" t="str">
        <f>VLOOKUP(I128,citySet!$B$5:$C$46,2,0)</f>
        <v>南皮</v>
      </c>
      <c r="K128" s="2" t="s">
        <v>1020</v>
      </c>
      <c r="L128" s="2" t="s">
        <v>746</v>
      </c>
      <c r="N128" s="4"/>
      <c r="O128" s="2" t="s">
        <v>32</v>
      </c>
      <c r="P128" s="2" t="s">
        <v>32</v>
      </c>
      <c r="Q128" s="4">
        <v>0</v>
      </c>
      <c r="R128" s="2" t="s">
        <v>370</v>
      </c>
      <c r="S128" s="2" t="s">
        <v>435</v>
      </c>
      <c r="T128" s="2" t="s">
        <v>933</v>
      </c>
      <c r="U128" s="2" t="s">
        <v>950</v>
      </c>
      <c r="V128" s="2" t="s">
        <v>366</v>
      </c>
      <c r="W128" s="4">
        <v>1</v>
      </c>
      <c r="X128" s="2" t="s">
        <v>365</v>
      </c>
      <c r="Y128" s="4">
        <v>4</v>
      </c>
      <c r="Z128" s="4" t="s">
        <v>1091</v>
      </c>
      <c r="AA128" s="2" t="s">
        <v>185</v>
      </c>
      <c r="AB128" s="2" t="s">
        <v>88</v>
      </c>
      <c r="AC128" s="2" t="s">
        <v>130</v>
      </c>
      <c r="AD128" s="4">
        <v>42</v>
      </c>
      <c r="AE128" s="2" t="s">
        <v>5</v>
      </c>
      <c r="AF128" s="2" t="s">
        <v>19</v>
      </c>
      <c r="AG128" s="2" t="s">
        <v>1019</v>
      </c>
      <c r="AH128" s="2" t="s">
        <v>185</v>
      </c>
      <c r="AI128" s="2" t="s">
        <v>1018</v>
      </c>
      <c r="AJ128" s="4"/>
      <c r="AL128" s="4"/>
      <c r="AN128" s="4"/>
      <c r="AP128" s="4"/>
      <c r="AQ128" s="4"/>
      <c r="AS128" s="4">
        <v>2</v>
      </c>
      <c r="AT128" s="4">
        <v>2</v>
      </c>
      <c r="AU128" s="4">
        <v>0</v>
      </c>
      <c r="AV128" s="4">
        <v>3</v>
      </c>
      <c r="AW128" s="4">
        <v>0</v>
      </c>
      <c r="AX128" s="4">
        <v>0</v>
      </c>
      <c r="AZ128" s="2" t="s">
        <v>60</v>
      </c>
    </row>
    <row r="129" spans="2:52" x14ac:dyDescent="0.15">
      <c r="B129" s="2" t="s">
        <v>521</v>
      </c>
      <c r="C129" s="2" t="s">
        <v>1021</v>
      </c>
      <c r="D129" s="2" t="s">
        <v>213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213</v>
      </c>
      <c r="H129" s="4" t="str">
        <f>VLOOKUP(G129,corpsSet!$B$5:$C$46,2,0)</f>
        <v>韩玄</v>
      </c>
      <c r="I129" s="4" t="s">
        <v>5</v>
      </c>
      <c r="J129" s="4" t="str">
        <f>VLOOKUP(I129,citySet!$B$5:$C$46,2,0)</f>
        <v>长沙</v>
      </c>
      <c r="K129" s="2" t="s">
        <v>1022</v>
      </c>
      <c r="L129" s="2" t="s">
        <v>1023</v>
      </c>
      <c r="M129" s="2" t="s">
        <v>1024</v>
      </c>
      <c r="N129" s="4"/>
      <c r="O129" s="2" t="s">
        <v>8</v>
      </c>
      <c r="P129" s="2" t="s">
        <v>8</v>
      </c>
      <c r="Q129" s="4">
        <v>0</v>
      </c>
      <c r="R129" s="2" t="s">
        <v>370</v>
      </c>
      <c r="S129" s="2" t="s">
        <v>407</v>
      </c>
      <c r="T129" s="2" t="s">
        <v>97</v>
      </c>
      <c r="U129" s="2" t="s">
        <v>609</v>
      </c>
      <c r="V129" s="2" t="s">
        <v>329</v>
      </c>
      <c r="W129" s="4">
        <v>1</v>
      </c>
      <c r="X129" s="2" t="s">
        <v>365</v>
      </c>
      <c r="Y129" s="4">
        <v>3</v>
      </c>
      <c r="Z129" s="4" t="s">
        <v>696</v>
      </c>
      <c r="AA129" s="2" t="s">
        <v>195</v>
      </c>
      <c r="AB129" s="2" t="s">
        <v>235</v>
      </c>
      <c r="AC129" s="2" t="s">
        <v>150</v>
      </c>
      <c r="AD129" s="4">
        <v>69</v>
      </c>
      <c r="AE129" s="2" t="s">
        <v>233</v>
      </c>
      <c r="AF129" s="2" t="s">
        <v>101</v>
      </c>
      <c r="AG129" s="2" t="s">
        <v>520</v>
      </c>
      <c r="AH129" s="2" t="s">
        <v>185</v>
      </c>
      <c r="AI129" s="2" t="s">
        <v>469</v>
      </c>
      <c r="AJ129" s="4"/>
      <c r="AL129" s="4"/>
      <c r="AN129" s="4"/>
      <c r="AP129" s="4"/>
      <c r="AQ129" s="4"/>
      <c r="AS129" s="4">
        <v>2</v>
      </c>
      <c r="AT129" s="4">
        <v>3</v>
      </c>
      <c r="AU129" s="4">
        <v>1</v>
      </c>
      <c r="AV129" s="4">
        <v>2</v>
      </c>
      <c r="AW129" s="4">
        <v>0</v>
      </c>
      <c r="AX129" s="4">
        <v>0</v>
      </c>
      <c r="AZ129" s="2" t="s">
        <v>60</v>
      </c>
    </row>
    <row r="130" spans="2:52" x14ac:dyDescent="0.15">
      <c r="B130" s="2" t="s">
        <v>335</v>
      </c>
      <c r="C130" s="2" t="s">
        <v>3087</v>
      </c>
      <c r="D130" s="2" t="s">
        <v>30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30</v>
      </c>
      <c r="H130" s="4" t="str">
        <f>VLOOKUP(G130,corpsSet!$B$5:$C$46,2,0)</f>
        <v>袁绍</v>
      </c>
      <c r="I130" s="4" t="s">
        <v>37</v>
      </c>
      <c r="J130" s="4" t="str">
        <f>VLOOKUP(I130,citySet!$B$5:$C$46,2,0)</f>
        <v>南皮</v>
      </c>
      <c r="K130" s="2" t="s">
        <v>1025</v>
      </c>
      <c r="L130" s="2" t="s">
        <v>1026</v>
      </c>
      <c r="N130" s="4"/>
      <c r="O130" s="2" t="s">
        <v>679</v>
      </c>
      <c r="P130" s="2" t="s">
        <v>679</v>
      </c>
      <c r="Q130" s="4">
        <v>0</v>
      </c>
      <c r="R130" s="2" t="s">
        <v>370</v>
      </c>
      <c r="S130" s="2" t="s">
        <v>435</v>
      </c>
      <c r="T130" s="2" t="s">
        <v>550</v>
      </c>
      <c r="U130" s="2" t="s">
        <v>564</v>
      </c>
      <c r="V130" s="2" t="s">
        <v>403</v>
      </c>
      <c r="W130" s="4">
        <v>1</v>
      </c>
      <c r="X130" s="2" t="s">
        <v>365</v>
      </c>
      <c r="Y130" s="4">
        <v>1</v>
      </c>
      <c r="Z130" s="4" t="s">
        <v>1243</v>
      </c>
      <c r="AA130" s="2" t="s">
        <v>195</v>
      </c>
      <c r="AB130" s="2" t="s">
        <v>554</v>
      </c>
      <c r="AC130" s="2" t="s">
        <v>431</v>
      </c>
      <c r="AD130" s="4">
        <v>51</v>
      </c>
      <c r="AE130" s="2" t="s">
        <v>104</v>
      </c>
      <c r="AF130" s="2" t="s">
        <v>226</v>
      </c>
      <c r="AG130" s="2" t="s">
        <v>604</v>
      </c>
      <c r="AH130" s="2" t="s">
        <v>185</v>
      </c>
      <c r="AI130" s="2" t="s">
        <v>521</v>
      </c>
      <c r="AJ130" s="4"/>
      <c r="AL130" s="4"/>
      <c r="AN130" s="4"/>
      <c r="AP130" s="4"/>
      <c r="AQ130" s="4"/>
      <c r="AS130" s="4">
        <v>2</v>
      </c>
      <c r="AT130" s="4">
        <v>0</v>
      </c>
      <c r="AU130" s="4">
        <v>3</v>
      </c>
      <c r="AV130" s="4">
        <v>2</v>
      </c>
      <c r="AW130" s="4">
        <v>0</v>
      </c>
      <c r="AX130" s="4">
        <v>0</v>
      </c>
      <c r="AZ130" s="2" t="s">
        <v>60</v>
      </c>
    </row>
    <row r="131" spans="2:52" x14ac:dyDescent="0.15">
      <c r="B131" s="2" t="s">
        <v>369</v>
      </c>
      <c r="C131" s="2" t="s">
        <v>1027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17</v>
      </c>
      <c r="J131" s="4" t="str">
        <f>VLOOKUP(I131,citySet!$B$5:$C$46,2,0)</f>
        <v>许昌</v>
      </c>
      <c r="K131" s="2" t="s">
        <v>1029</v>
      </c>
      <c r="L131" s="2" t="s">
        <v>1030</v>
      </c>
      <c r="N131" s="4"/>
      <c r="O131" s="2" t="s">
        <v>1028</v>
      </c>
      <c r="P131" s="2" t="s">
        <v>1028</v>
      </c>
      <c r="Q131" s="4">
        <v>0</v>
      </c>
      <c r="R131" s="2" t="s">
        <v>370</v>
      </c>
      <c r="S131" s="2" t="s">
        <v>435</v>
      </c>
      <c r="T131" s="2" t="s">
        <v>476</v>
      </c>
      <c r="U131" s="2" t="s">
        <v>407</v>
      </c>
      <c r="V131" s="2" t="s">
        <v>10</v>
      </c>
      <c r="W131" s="4">
        <v>2</v>
      </c>
      <c r="X131" s="2" t="s">
        <v>2983</v>
      </c>
      <c r="Y131" s="4">
        <v>0</v>
      </c>
      <c r="Z131" s="4" t="s">
        <v>39</v>
      </c>
      <c r="AA131" s="2" t="s">
        <v>60</v>
      </c>
      <c r="AB131" s="2" t="s">
        <v>189</v>
      </c>
      <c r="AC131" s="2" t="s">
        <v>34</v>
      </c>
      <c r="AD131" s="4">
        <v>88</v>
      </c>
      <c r="AE131" s="2" t="s">
        <v>261</v>
      </c>
      <c r="AF131" s="2" t="s">
        <v>485</v>
      </c>
      <c r="AG131" s="2" t="s">
        <v>732</v>
      </c>
      <c r="AH131" s="2" t="s">
        <v>185</v>
      </c>
      <c r="AI131" s="2" t="s">
        <v>335</v>
      </c>
      <c r="AJ131" s="4"/>
      <c r="AL131" s="4"/>
      <c r="AN131" s="4"/>
      <c r="AP131" s="4"/>
      <c r="AQ131" s="4"/>
      <c r="AS131" s="4">
        <v>0</v>
      </c>
      <c r="AT131" s="4">
        <v>0</v>
      </c>
      <c r="AU131" s="4">
        <v>0</v>
      </c>
      <c r="AV131" s="4">
        <v>0</v>
      </c>
      <c r="AW131" s="4">
        <v>1</v>
      </c>
      <c r="AX131" s="4">
        <v>0</v>
      </c>
      <c r="AZ131" s="2" t="s">
        <v>60</v>
      </c>
    </row>
    <row r="132" spans="2:52" x14ac:dyDescent="0.15">
      <c r="B132" s="2" t="s">
        <v>608</v>
      </c>
      <c r="C132" s="2" t="s">
        <v>1031</v>
      </c>
      <c r="D132" s="2" t="s">
        <v>24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24</v>
      </c>
      <c r="H132" s="4" t="str">
        <f>VLOOKUP(G132,corpsSet!$B$5:$C$46,2,0)</f>
        <v>吕布</v>
      </c>
      <c r="I132" s="4" t="s">
        <v>29</v>
      </c>
      <c r="J132" s="4" t="str">
        <f>VLOOKUP(I132,citySet!$B$5:$C$46,2,0)</f>
        <v>下邳</v>
      </c>
      <c r="K132" s="2" t="s">
        <v>1022</v>
      </c>
      <c r="L132" s="2" t="s">
        <v>1032</v>
      </c>
      <c r="N132" s="4"/>
      <c r="O132" s="2" t="s">
        <v>240</v>
      </c>
      <c r="P132" s="2" t="s">
        <v>240</v>
      </c>
      <c r="Q132" s="4">
        <v>0</v>
      </c>
      <c r="R132" s="2" t="s">
        <v>370</v>
      </c>
      <c r="S132" s="2" t="s">
        <v>435</v>
      </c>
      <c r="T132" s="2" t="s">
        <v>824</v>
      </c>
      <c r="U132" s="2" t="s">
        <v>950</v>
      </c>
      <c r="V132" s="2" t="s">
        <v>719</v>
      </c>
      <c r="W132" s="4">
        <v>1</v>
      </c>
      <c r="X132" s="2" t="s">
        <v>365</v>
      </c>
      <c r="Y132" s="4">
        <v>0</v>
      </c>
      <c r="Z132" s="4" t="s">
        <v>39</v>
      </c>
      <c r="AA132" s="2" t="s">
        <v>228</v>
      </c>
      <c r="AB132" s="2" t="s">
        <v>445</v>
      </c>
      <c r="AC132" s="2" t="s">
        <v>431</v>
      </c>
      <c r="AD132" s="4">
        <v>31</v>
      </c>
      <c r="AE132" s="2" t="s">
        <v>5</v>
      </c>
      <c r="AF132" s="2" t="s">
        <v>21</v>
      </c>
      <c r="AG132" s="2" t="s">
        <v>861</v>
      </c>
      <c r="AH132" s="2" t="s">
        <v>185</v>
      </c>
      <c r="AI132" s="2" t="s">
        <v>369</v>
      </c>
      <c r="AJ132" s="4"/>
      <c r="AL132" s="4"/>
      <c r="AN132" s="4"/>
      <c r="AP132" s="4"/>
      <c r="AQ132" s="4"/>
      <c r="AS132" s="4">
        <v>1</v>
      </c>
      <c r="AT132" s="4">
        <v>1</v>
      </c>
      <c r="AU132" s="4">
        <v>0</v>
      </c>
      <c r="AV132" s="4">
        <v>2</v>
      </c>
      <c r="AW132" s="4">
        <v>0</v>
      </c>
      <c r="AX132" s="4">
        <v>0</v>
      </c>
      <c r="AZ132" s="2" t="s">
        <v>60</v>
      </c>
    </row>
    <row r="133" spans="2:52" x14ac:dyDescent="0.15">
      <c r="B133" s="2" t="s">
        <v>603</v>
      </c>
      <c r="C133" s="2" t="s">
        <v>1033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189</v>
      </c>
      <c r="J133" s="4" t="str">
        <f>VLOOKUP(I133,citySet!$B$5:$C$46,2,0)</f>
        <v>建业</v>
      </c>
      <c r="K133" s="2" t="s">
        <v>1022</v>
      </c>
      <c r="L133" s="2" t="s">
        <v>1036</v>
      </c>
      <c r="N133" s="4"/>
      <c r="O133" s="2" t="s">
        <v>1034</v>
      </c>
      <c r="P133" s="2" t="s">
        <v>1034</v>
      </c>
      <c r="Q133" s="4">
        <v>0</v>
      </c>
      <c r="R133" s="2" t="s">
        <v>370</v>
      </c>
      <c r="S133" s="2" t="s">
        <v>977</v>
      </c>
      <c r="T133" s="2" t="s">
        <v>437</v>
      </c>
      <c r="U133" s="2" t="s">
        <v>659</v>
      </c>
      <c r="V133" s="2" t="s">
        <v>603</v>
      </c>
      <c r="W133" s="4">
        <v>2</v>
      </c>
      <c r="X133" s="2" t="s">
        <v>2983</v>
      </c>
      <c r="Y133" s="4">
        <v>0</v>
      </c>
      <c r="Z133" s="4" t="s">
        <v>39</v>
      </c>
      <c r="AA133" s="2" t="s">
        <v>60</v>
      </c>
      <c r="AB133" s="2" t="s">
        <v>432</v>
      </c>
      <c r="AC133" s="2" t="s">
        <v>423</v>
      </c>
      <c r="AD133" s="4">
        <v>59</v>
      </c>
      <c r="AE133" s="2" t="s">
        <v>3</v>
      </c>
      <c r="AF133" s="2" t="s">
        <v>257</v>
      </c>
      <c r="AG133" s="2" t="s">
        <v>627</v>
      </c>
      <c r="AH133" s="2" t="s">
        <v>185</v>
      </c>
      <c r="AI133" s="2" t="s">
        <v>608</v>
      </c>
      <c r="AJ133" s="4"/>
      <c r="AL133" s="4"/>
      <c r="AN133" s="4"/>
      <c r="AP133" s="4"/>
      <c r="AQ133" s="4"/>
      <c r="AS133" s="4">
        <v>1</v>
      </c>
      <c r="AT133" s="4">
        <v>1</v>
      </c>
      <c r="AU133" s="4">
        <v>0</v>
      </c>
      <c r="AV133" s="4">
        <v>0</v>
      </c>
      <c r="AW133" s="4">
        <v>0</v>
      </c>
      <c r="AX133" s="4">
        <v>0</v>
      </c>
      <c r="AZ133" s="2" t="s">
        <v>60</v>
      </c>
    </row>
    <row r="134" spans="2:52" x14ac:dyDescent="0.15">
      <c r="B134" s="2" t="s">
        <v>80</v>
      </c>
      <c r="C134" s="2" t="s">
        <v>1037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32</v>
      </c>
      <c r="J134" s="4" t="str">
        <f>VLOOKUP(I134,citySet!$B$5:$C$46,2,0)</f>
        <v>小沛</v>
      </c>
      <c r="K134" s="2" t="s">
        <v>1022</v>
      </c>
      <c r="L134" s="2" t="s">
        <v>1039</v>
      </c>
      <c r="M134" s="2" t="s">
        <v>1040</v>
      </c>
      <c r="N134" s="4"/>
      <c r="O134" s="2" t="s">
        <v>1038</v>
      </c>
      <c r="P134" s="2" t="s">
        <v>1038</v>
      </c>
      <c r="Q134" s="4">
        <v>0</v>
      </c>
      <c r="R134" s="2" t="s">
        <v>370</v>
      </c>
      <c r="S134" s="2" t="s">
        <v>772</v>
      </c>
      <c r="T134" s="2" t="s">
        <v>981</v>
      </c>
      <c r="U134" s="2" t="s">
        <v>702</v>
      </c>
      <c r="V134" s="2" t="s">
        <v>226</v>
      </c>
      <c r="W134" s="4">
        <v>2</v>
      </c>
      <c r="X134" s="2" t="s">
        <v>2983</v>
      </c>
      <c r="Y134" s="4">
        <v>0</v>
      </c>
      <c r="Z134" s="4" t="s">
        <v>39</v>
      </c>
      <c r="AA134" s="2" t="s">
        <v>60</v>
      </c>
      <c r="AB134" s="2" t="s">
        <v>14</v>
      </c>
      <c r="AC134" s="2" t="s">
        <v>189</v>
      </c>
      <c r="AD134" s="4">
        <v>72</v>
      </c>
      <c r="AE134" s="2" t="s">
        <v>431</v>
      </c>
      <c r="AF134" s="2" t="s">
        <v>258</v>
      </c>
      <c r="AG134" s="2" t="s">
        <v>800</v>
      </c>
      <c r="AH134" s="2" t="s">
        <v>185</v>
      </c>
      <c r="AI134" s="2" t="s">
        <v>603</v>
      </c>
      <c r="AJ134" s="4"/>
      <c r="AL134" s="4"/>
      <c r="AN134" s="4"/>
      <c r="AP134" s="4"/>
      <c r="AQ134" s="4"/>
      <c r="AS134" s="4">
        <v>1</v>
      </c>
      <c r="AT134" s="4">
        <v>0</v>
      </c>
      <c r="AU134" s="4">
        <v>0</v>
      </c>
      <c r="AV134" s="4">
        <v>0</v>
      </c>
      <c r="AW134" s="4">
        <v>1</v>
      </c>
      <c r="AX134" s="4">
        <v>0</v>
      </c>
      <c r="AZ134" s="2" t="s">
        <v>60</v>
      </c>
    </row>
    <row r="135" spans="2:52" x14ac:dyDescent="0.15">
      <c r="B135" s="2" t="s">
        <v>684</v>
      </c>
      <c r="C135" s="2" t="s">
        <v>1041</v>
      </c>
      <c r="D135" s="2" t="s">
        <v>17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17</v>
      </c>
      <c r="H135" s="4" t="str">
        <f>VLOOKUP(G135,corpsSet!$B$5:$C$46,2,0)</f>
        <v>刘虞</v>
      </c>
      <c r="I135" s="4" t="s">
        <v>31</v>
      </c>
      <c r="J135" s="4" t="str">
        <f>VLOOKUP(I135,citySet!$B$5:$C$46,2,0)</f>
        <v>蓟</v>
      </c>
      <c r="K135" s="2" t="s">
        <v>1022</v>
      </c>
      <c r="L135" s="2" t="s">
        <v>1044</v>
      </c>
      <c r="N135" s="4"/>
      <c r="O135" s="2" t="s">
        <v>1043</v>
      </c>
      <c r="P135" s="2" t="s">
        <v>1043</v>
      </c>
      <c r="Q135" s="4">
        <v>0</v>
      </c>
      <c r="R135" s="2" t="s">
        <v>370</v>
      </c>
      <c r="S135" s="2" t="s">
        <v>435</v>
      </c>
      <c r="T135" s="2" t="s">
        <v>634</v>
      </c>
      <c r="U135" s="2" t="s">
        <v>467</v>
      </c>
      <c r="V135" s="2" t="s">
        <v>195</v>
      </c>
      <c r="W135" s="4">
        <v>1</v>
      </c>
      <c r="X135" s="2" t="s">
        <v>365</v>
      </c>
      <c r="Y135" s="4">
        <v>8</v>
      </c>
      <c r="Z135" s="4" t="s">
        <v>3079</v>
      </c>
      <c r="AA135" s="2" t="s">
        <v>185</v>
      </c>
      <c r="AB135" s="2" t="s">
        <v>102</v>
      </c>
      <c r="AC135" s="2" t="s">
        <v>208</v>
      </c>
      <c r="AD135" s="4">
        <v>73</v>
      </c>
      <c r="AE135" s="2" t="s">
        <v>367</v>
      </c>
      <c r="AF135" s="2" t="s">
        <v>321</v>
      </c>
      <c r="AG135" s="2" t="s">
        <v>1042</v>
      </c>
      <c r="AH135" s="2" t="s">
        <v>185</v>
      </c>
      <c r="AI135" s="2" t="s">
        <v>80</v>
      </c>
      <c r="AJ135" s="4"/>
      <c r="AL135" s="4"/>
      <c r="AN135" s="4"/>
      <c r="AP135" s="4"/>
      <c r="AQ135" s="4"/>
      <c r="AS135" s="4">
        <v>0</v>
      </c>
      <c r="AT135" s="4">
        <v>0</v>
      </c>
      <c r="AU135" s="4">
        <v>1</v>
      </c>
      <c r="AV135" s="4">
        <v>0</v>
      </c>
      <c r="AW135" s="4">
        <v>1</v>
      </c>
      <c r="AX135" s="4">
        <v>0</v>
      </c>
      <c r="AZ135" s="2" t="s">
        <v>60</v>
      </c>
    </row>
    <row r="136" spans="2:52" x14ac:dyDescent="0.15">
      <c r="B136" s="2" t="s">
        <v>1035</v>
      </c>
      <c r="C136" s="2" t="s">
        <v>1045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103</v>
      </c>
      <c r="J136" s="4" t="str">
        <f>VLOOKUP(I136,citySet!$B$5:$C$46,2,0)</f>
        <v>宛</v>
      </c>
      <c r="K136" s="2" t="s">
        <v>1047</v>
      </c>
      <c r="L136" s="2" t="s">
        <v>1048</v>
      </c>
      <c r="N136" s="4"/>
      <c r="O136" s="2" t="s">
        <v>535</v>
      </c>
      <c r="P136" s="2" t="s">
        <v>535</v>
      </c>
      <c r="Q136" s="4">
        <v>0</v>
      </c>
      <c r="R136" s="2" t="s">
        <v>370</v>
      </c>
      <c r="S136" s="2" t="s">
        <v>772</v>
      </c>
      <c r="T136" s="2" t="s">
        <v>549</v>
      </c>
      <c r="U136" s="2" t="s">
        <v>395</v>
      </c>
      <c r="V136" s="2" t="s">
        <v>204</v>
      </c>
      <c r="W136" s="4">
        <v>2</v>
      </c>
      <c r="X136" s="2" t="s">
        <v>2983</v>
      </c>
      <c r="Y136" s="4">
        <v>0</v>
      </c>
      <c r="Z136" s="4" t="s">
        <v>39</v>
      </c>
      <c r="AA136" s="2" t="s">
        <v>60</v>
      </c>
      <c r="AB136" s="2" t="s">
        <v>374</v>
      </c>
      <c r="AC136" s="2" t="s">
        <v>88</v>
      </c>
      <c r="AD136" s="4">
        <v>38</v>
      </c>
      <c r="AE136" s="2" t="s">
        <v>126</v>
      </c>
      <c r="AF136" s="2" t="s">
        <v>101</v>
      </c>
      <c r="AG136" s="2" t="s">
        <v>1046</v>
      </c>
      <c r="AH136" s="2" t="s">
        <v>185</v>
      </c>
      <c r="AI136" s="2" t="s">
        <v>684</v>
      </c>
      <c r="AJ136" s="4"/>
      <c r="AL136" s="4"/>
      <c r="AN136" s="4"/>
      <c r="AP136" s="4"/>
      <c r="AQ136" s="4"/>
      <c r="AS136" s="4">
        <v>1</v>
      </c>
      <c r="AT136" s="4">
        <v>2</v>
      </c>
      <c r="AU136" s="4">
        <v>0</v>
      </c>
      <c r="AV136" s="4">
        <v>2</v>
      </c>
      <c r="AW136" s="4">
        <v>0</v>
      </c>
      <c r="AX136" s="4">
        <v>0</v>
      </c>
      <c r="AZ136" s="2" t="s">
        <v>60</v>
      </c>
    </row>
    <row r="137" spans="2:52" x14ac:dyDescent="0.15">
      <c r="B137" s="2" t="s">
        <v>81</v>
      </c>
      <c r="C137" s="2" t="s">
        <v>1049</v>
      </c>
      <c r="D137" s="2" t="s">
        <v>220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220</v>
      </c>
      <c r="H137" s="4" t="str">
        <f>VLOOKUP(G137,corpsSet!$B$5:$C$46,2,0)</f>
        <v>锺会</v>
      </c>
      <c r="I137" s="4" t="s">
        <v>207</v>
      </c>
      <c r="J137" s="4" t="str">
        <f>VLOOKUP(I137,citySet!$B$5:$C$46,2,0)</f>
        <v>梓潼</v>
      </c>
      <c r="K137" s="2" t="s">
        <v>1051</v>
      </c>
      <c r="L137" s="2" t="s">
        <v>1052</v>
      </c>
      <c r="N137" s="4"/>
      <c r="O137" s="2" t="s">
        <v>1050</v>
      </c>
      <c r="P137" s="2" t="s">
        <v>1050</v>
      </c>
      <c r="Q137" s="4">
        <v>0</v>
      </c>
      <c r="R137" s="2" t="s">
        <v>370</v>
      </c>
      <c r="S137" s="2" t="s">
        <v>548</v>
      </c>
      <c r="T137" s="2" t="s">
        <v>427</v>
      </c>
      <c r="U137" s="2" t="s">
        <v>658</v>
      </c>
      <c r="V137" s="2" t="s">
        <v>95</v>
      </c>
      <c r="W137" s="4">
        <v>1</v>
      </c>
      <c r="X137" s="2" t="s">
        <v>365</v>
      </c>
      <c r="Y137" s="4">
        <v>7</v>
      </c>
      <c r="Z137" s="4" t="s">
        <v>3078</v>
      </c>
      <c r="AA137" s="2" t="s">
        <v>195</v>
      </c>
      <c r="AB137" s="2" t="s">
        <v>21</v>
      </c>
      <c r="AC137" s="2" t="s">
        <v>14</v>
      </c>
      <c r="AD137" s="4">
        <v>65</v>
      </c>
      <c r="AE137" s="2" t="s">
        <v>14</v>
      </c>
      <c r="AF137" s="2" t="s">
        <v>7</v>
      </c>
      <c r="AG137" s="2" t="s">
        <v>679</v>
      </c>
      <c r="AH137" s="2" t="s">
        <v>185</v>
      </c>
      <c r="AI137" s="2" t="s">
        <v>1035</v>
      </c>
      <c r="AJ137" s="4"/>
      <c r="AL137" s="4"/>
      <c r="AN137" s="4"/>
      <c r="AP137" s="4"/>
      <c r="AQ137" s="4"/>
      <c r="AS137" s="4">
        <v>1</v>
      </c>
      <c r="AT137" s="4">
        <v>1</v>
      </c>
      <c r="AU137" s="4">
        <v>0</v>
      </c>
      <c r="AV137" s="4">
        <v>0</v>
      </c>
      <c r="AW137" s="4">
        <v>1</v>
      </c>
      <c r="AX137" s="4">
        <v>0</v>
      </c>
      <c r="AZ137" s="2" t="s">
        <v>60</v>
      </c>
    </row>
    <row r="138" spans="2:52" x14ac:dyDescent="0.15">
      <c r="B138" s="2" t="s">
        <v>537</v>
      </c>
      <c r="C138" s="2" t="s">
        <v>1053</v>
      </c>
      <c r="D138" s="2" t="s">
        <v>36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36</v>
      </c>
      <c r="H138" s="4" t="str">
        <f>VLOOKUP(G138,corpsSet!$B$5:$C$46,2,0)</f>
        <v>董卓</v>
      </c>
      <c r="I138" s="4" t="s">
        <v>106</v>
      </c>
      <c r="J138" s="4" t="str">
        <f>VLOOKUP(I138,citySet!$B$5:$C$46,2,0)</f>
        <v>安定</v>
      </c>
      <c r="K138" s="2" t="s">
        <v>1047</v>
      </c>
      <c r="L138" s="2" t="s">
        <v>1056</v>
      </c>
      <c r="N138" s="4"/>
      <c r="O138" s="2" t="s">
        <v>1054</v>
      </c>
      <c r="P138" s="2" t="s">
        <v>1054</v>
      </c>
      <c r="Q138" s="4">
        <v>0</v>
      </c>
      <c r="R138" s="2" t="s">
        <v>370</v>
      </c>
      <c r="S138" s="2" t="s">
        <v>435</v>
      </c>
      <c r="T138" s="2" t="s">
        <v>436</v>
      </c>
      <c r="U138" s="2" t="s">
        <v>585</v>
      </c>
      <c r="V138" s="2" t="s">
        <v>27</v>
      </c>
      <c r="W138" s="4">
        <v>1</v>
      </c>
      <c r="X138" s="2" t="s">
        <v>365</v>
      </c>
      <c r="Y138" s="4">
        <v>1</v>
      </c>
      <c r="Z138" s="4" t="s">
        <v>1243</v>
      </c>
      <c r="AA138" s="2" t="s">
        <v>134</v>
      </c>
      <c r="AB138" s="2" t="s">
        <v>207</v>
      </c>
      <c r="AC138" s="2" t="s">
        <v>93</v>
      </c>
      <c r="AD138" s="4">
        <v>21</v>
      </c>
      <c r="AE138" s="2" t="s">
        <v>200</v>
      </c>
      <c r="AF138" s="2" t="s">
        <v>226</v>
      </c>
      <c r="AG138" s="2" t="s">
        <v>981</v>
      </c>
      <c r="AH138" s="2" t="s">
        <v>185</v>
      </c>
      <c r="AI138" s="2" t="s">
        <v>1028</v>
      </c>
      <c r="AJ138" s="4" t="s">
        <v>1054</v>
      </c>
      <c r="AK138" s="2" t="s">
        <v>1055</v>
      </c>
      <c r="AL138" s="4"/>
      <c r="AN138" s="4"/>
      <c r="AP138" s="4"/>
      <c r="AQ138" s="4"/>
      <c r="AS138" s="4">
        <v>0</v>
      </c>
      <c r="AT138" s="4">
        <v>1</v>
      </c>
      <c r="AU138" s="4">
        <v>0</v>
      </c>
      <c r="AV138" s="4">
        <v>1</v>
      </c>
      <c r="AW138" s="4">
        <v>0</v>
      </c>
      <c r="AX138" s="4">
        <v>0</v>
      </c>
      <c r="AZ138" s="2" t="s">
        <v>60</v>
      </c>
    </row>
    <row r="139" spans="2:52" x14ac:dyDescent="0.15">
      <c r="B139" s="2" t="s">
        <v>706</v>
      </c>
      <c r="C139" s="2" t="s">
        <v>1057</v>
      </c>
      <c r="D139" s="2" t="s">
        <v>15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15</v>
      </c>
      <c r="H139" s="4" t="str">
        <f>VLOOKUP(G139,corpsSet!$B$5:$C$46,2,0)</f>
        <v>邓艾</v>
      </c>
      <c r="I139" s="4" t="s">
        <v>21</v>
      </c>
      <c r="J139" s="4" t="str">
        <f>VLOOKUP(I139,citySet!$B$5:$C$46,2,0)</f>
        <v>江州</v>
      </c>
      <c r="K139" s="2" t="s">
        <v>1051</v>
      </c>
      <c r="L139" s="2" t="s">
        <v>1058</v>
      </c>
      <c r="N139" s="4"/>
      <c r="O139" s="2" t="s">
        <v>781</v>
      </c>
      <c r="P139" s="2" t="s">
        <v>781</v>
      </c>
      <c r="Q139" s="4">
        <v>0</v>
      </c>
      <c r="R139" s="2" t="s">
        <v>370</v>
      </c>
      <c r="S139" s="2" t="s">
        <v>215</v>
      </c>
      <c r="T139" s="2" t="s">
        <v>991</v>
      </c>
      <c r="U139" s="2" t="s">
        <v>645</v>
      </c>
      <c r="V139" s="2" t="s">
        <v>237</v>
      </c>
      <c r="W139" s="4">
        <v>1</v>
      </c>
      <c r="X139" s="2" t="s">
        <v>365</v>
      </c>
      <c r="Y139" s="4">
        <v>7</v>
      </c>
      <c r="Z139" s="4" t="s">
        <v>3078</v>
      </c>
      <c r="AA139" s="2" t="s">
        <v>185</v>
      </c>
      <c r="AB139" s="2" t="s">
        <v>4</v>
      </c>
      <c r="AC139" s="2" t="s">
        <v>237</v>
      </c>
      <c r="AD139" s="4">
        <v>67</v>
      </c>
      <c r="AE139" s="2" t="s">
        <v>201</v>
      </c>
      <c r="AF139" s="2" t="s">
        <v>254</v>
      </c>
      <c r="AG139" s="2" t="s">
        <v>645</v>
      </c>
      <c r="AH139" s="2" t="s">
        <v>185</v>
      </c>
      <c r="AI139" s="2" t="s">
        <v>537</v>
      </c>
      <c r="AJ139" s="4"/>
      <c r="AL139" s="4"/>
      <c r="AN139" s="4"/>
      <c r="AP139" s="4"/>
      <c r="AQ139" s="4"/>
      <c r="AS139" s="4">
        <v>0</v>
      </c>
      <c r="AT139" s="4">
        <v>0</v>
      </c>
      <c r="AU139" s="4">
        <v>1</v>
      </c>
      <c r="AV139" s="4">
        <v>0</v>
      </c>
      <c r="AW139" s="4">
        <v>1</v>
      </c>
      <c r="AX139" s="4">
        <v>0</v>
      </c>
      <c r="AZ139" s="2" t="s">
        <v>60</v>
      </c>
    </row>
    <row r="140" spans="2:52" x14ac:dyDescent="0.15">
      <c r="B140" s="2" t="s">
        <v>409</v>
      </c>
      <c r="C140" s="2" t="s">
        <v>1059</v>
      </c>
      <c r="D140" s="2" t="s">
        <v>20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20</v>
      </c>
      <c r="H140" s="4" t="str">
        <f>VLOOKUP(G140,corpsSet!$B$5:$C$46,2,0)</f>
        <v>公孙瓒</v>
      </c>
      <c r="I140" s="4" t="s">
        <v>35</v>
      </c>
      <c r="J140" s="4" t="str">
        <f>VLOOKUP(I140,citySet!$B$5:$C$46,2,0)</f>
        <v>北平</v>
      </c>
      <c r="K140" s="2" t="s">
        <v>1061</v>
      </c>
      <c r="L140" s="2" t="s">
        <v>1016</v>
      </c>
      <c r="N140" s="4"/>
      <c r="O140" s="2" t="s">
        <v>1060</v>
      </c>
      <c r="P140" s="2" t="s">
        <v>1060</v>
      </c>
      <c r="Q140" s="4">
        <v>0</v>
      </c>
      <c r="R140" s="2" t="s">
        <v>370</v>
      </c>
      <c r="S140" s="2" t="s">
        <v>435</v>
      </c>
      <c r="T140" s="2" t="s">
        <v>555</v>
      </c>
      <c r="U140" s="2" t="s">
        <v>585</v>
      </c>
      <c r="V140" s="2" t="s">
        <v>445</v>
      </c>
      <c r="W140" s="4">
        <v>1</v>
      </c>
      <c r="X140" s="2" t="s">
        <v>365</v>
      </c>
      <c r="Y140" s="4">
        <v>0</v>
      </c>
      <c r="Z140" s="4" t="s">
        <v>39</v>
      </c>
      <c r="AA140" s="2" t="s">
        <v>228</v>
      </c>
      <c r="AB140" s="2" t="s">
        <v>382</v>
      </c>
      <c r="AC140" s="2" t="s">
        <v>14</v>
      </c>
      <c r="AD140" s="4">
        <v>41</v>
      </c>
      <c r="AE140" s="2" t="s">
        <v>126</v>
      </c>
      <c r="AF140" s="2" t="s">
        <v>485</v>
      </c>
      <c r="AG140" s="2" t="s">
        <v>621</v>
      </c>
      <c r="AH140" s="2" t="s">
        <v>185</v>
      </c>
      <c r="AI140" s="2" t="s">
        <v>706</v>
      </c>
      <c r="AJ140" s="4"/>
      <c r="AL140" s="4"/>
      <c r="AN140" s="4"/>
      <c r="AP140" s="4"/>
      <c r="AQ140" s="4"/>
      <c r="AS140" s="4">
        <v>0</v>
      </c>
      <c r="AT140" s="4">
        <v>0</v>
      </c>
      <c r="AU140" s="4">
        <v>0</v>
      </c>
      <c r="AV140" s="4">
        <v>2</v>
      </c>
      <c r="AW140" s="4">
        <v>0</v>
      </c>
      <c r="AX140" s="4">
        <v>0</v>
      </c>
      <c r="AZ140" s="2" t="s">
        <v>60</v>
      </c>
    </row>
    <row r="141" spans="2:52" x14ac:dyDescent="0.15">
      <c r="B141" s="2" t="s">
        <v>584</v>
      </c>
      <c r="C141" s="2" t="s">
        <v>307</v>
      </c>
      <c r="D141" s="2" t="s">
        <v>35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35</v>
      </c>
      <c r="H141" s="4" t="str">
        <f>VLOOKUP(G141,corpsSet!$B$5:$C$46,2,0)</f>
        <v>刘备</v>
      </c>
      <c r="I141" s="4" t="s">
        <v>213</v>
      </c>
      <c r="J141" s="4" t="str">
        <f>VLOOKUP(I141,citySet!$B$5:$C$46,2,0)</f>
        <v>江陵</v>
      </c>
      <c r="K141" s="2" t="s">
        <v>1063</v>
      </c>
      <c r="L141" s="2" t="s">
        <v>1064</v>
      </c>
      <c r="M141" s="2" t="s">
        <v>1065</v>
      </c>
      <c r="N141" s="4"/>
      <c r="O141" s="2" t="s">
        <v>391</v>
      </c>
      <c r="P141" s="2" t="s">
        <v>391</v>
      </c>
      <c r="Q141" s="4">
        <v>0</v>
      </c>
      <c r="R141" s="2" t="s">
        <v>370</v>
      </c>
      <c r="S141" s="2" t="s">
        <v>373</v>
      </c>
      <c r="T141" s="2" t="s">
        <v>536</v>
      </c>
      <c r="U141" s="2" t="s">
        <v>491</v>
      </c>
      <c r="V141" s="2" t="s">
        <v>261</v>
      </c>
      <c r="W141" s="4">
        <v>1</v>
      </c>
      <c r="X141" s="2" t="s">
        <v>365</v>
      </c>
      <c r="Y141" s="4">
        <v>0</v>
      </c>
      <c r="Z141" s="4" t="s">
        <v>39</v>
      </c>
      <c r="AA141" s="2" t="s">
        <v>185</v>
      </c>
      <c r="AB141" s="2" t="s">
        <v>176</v>
      </c>
      <c r="AC141" s="2" t="s">
        <v>78</v>
      </c>
      <c r="AD141" s="4">
        <v>90</v>
      </c>
      <c r="AE141" s="2" t="s">
        <v>445</v>
      </c>
      <c r="AF141" s="2" t="s">
        <v>329</v>
      </c>
      <c r="AG141" s="2" t="s">
        <v>1062</v>
      </c>
      <c r="AH141" s="2" t="s">
        <v>185</v>
      </c>
      <c r="AI141" s="2" t="s">
        <v>409</v>
      </c>
      <c r="AJ141" s="4"/>
      <c r="AL141" s="4"/>
      <c r="AN141" s="4"/>
      <c r="AP141" s="4"/>
      <c r="AQ141" s="4"/>
      <c r="AS141" s="4">
        <v>3</v>
      </c>
      <c r="AT141" s="4">
        <v>1</v>
      </c>
      <c r="AU141" s="4">
        <v>2</v>
      </c>
      <c r="AV141" s="4">
        <v>3</v>
      </c>
      <c r="AW141" s="4">
        <v>0</v>
      </c>
      <c r="AX141" s="4">
        <v>0</v>
      </c>
      <c r="AZ141" s="2" t="s">
        <v>60</v>
      </c>
    </row>
    <row r="142" spans="2:52" x14ac:dyDescent="0.15">
      <c r="B142" s="2" t="s">
        <v>740</v>
      </c>
      <c r="C142" s="2" t="s">
        <v>1066</v>
      </c>
      <c r="D142" s="2" t="s">
        <v>5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5</v>
      </c>
      <c r="H142" s="4" t="str">
        <f>VLOOKUP(G142,corpsSet!$B$5:$C$46,2,0)</f>
        <v>金旋</v>
      </c>
      <c r="I142" s="4" t="s">
        <v>95</v>
      </c>
      <c r="J142" s="4" t="str">
        <f>VLOOKUP(I142,citySet!$B$5:$C$46,2,0)</f>
        <v>武陵</v>
      </c>
      <c r="K142" s="2" t="s">
        <v>1068</v>
      </c>
      <c r="L142" s="2" t="s">
        <v>1069</v>
      </c>
      <c r="N142" s="4"/>
      <c r="O142" s="2" t="s">
        <v>1067</v>
      </c>
      <c r="P142" s="2" t="s">
        <v>1067</v>
      </c>
      <c r="Q142" s="4">
        <v>0</v>
      </c>
      <c r="R142" s="2" t="s">
        <v>370</v>
      </c>
      <c r="S142" s="2" t="s">
        <v>425</v>
      </c>
      <c r="T142" s="2" t="s">
        <v>725</v>
      </c>
      <c r="U142" s="2" t="s">
        <v>368</v>
      </c>
      <c r="V142" s="2" t="s">
        <v>397</v>
      </c>
      <c r="W142" s="4">
        <v>1</v>
      </c>
      <c r="X142" s="2" t="s">
        <v>365</v>
      </c>
      <c r="Y142" s="4">
        <v>8</v>
      </c>
      <c r="Z142" s="4" t="s">
        <v>3079</v>
      </c>
      <c r="AA142" s="2" t="s">
        <v>79</v>
      </c>
      <c r="AB142" s="2" t="s">
        <v>99</v>
      </c>
      <c r="AC142" s="2" t="s">
        <v>19</v>
      </c>
      <c r="AD142" s="4">
        <v>61</v>
      </c>
      <c r="AE142" s="2" t="s">
        <v>257</v>
      </c>
      <c r="AF142" s="2" t="s">
        <v>414</v>
      </c>
      <c r="AG142" s="2" t="s">
        <v>418</v>
      </c>
      <c r="AH142" s="2" t="s">
        <v>185</v>
      </c>
      <c r="AI142" s="2" t="s">
        <v>584</v>
      </c>
      <c r="AJ142" s="4"/>
      <c r="AL142" s="4"/>
      <c r="AN142" s="4"/>
      <c r="AP142" s="4"/>
      <c r="AQ142" s="4"/>
      <c r="AS142" s="4">
        <v>0</v>
      </c>
      <c r="AT142" s="4">
        <v>0</v>
      </c>
      <c r="AU142" s="4">
        <v>1</v>
      </c>
      <c r="AV142" s="4">
        <v>0</v>
      </c>
      <c r="AW142" s="4">
        <v>0</v>
      </c>
      <c r="AX142" s="4">
        <v>0</v>
      </c>
      <c r="AZ142" s="2" t="s">
        <v>60</v>
      </c>
    </row>
    <row r="143" spans="2:52" x14ac:dyDescent="0.15">
      <c r="B143" s="2" t="s">
        <v>664</v>
      </c>
      <c r="C143" s="2" t="s">
        <v>1070</v>
      </c>
      <c r="D143" s="2" t="s">
        <v>29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29</v>
      </c>
      <c r="H143" s="4" t="str">
        <f>VLOOKUP(G143,corpsSet!$B$5:$C$46,2,0)</f>
        <v>袁术</v>
      </c>
      <c r="I143" s="4" t="s">
        <v>200</v>
      </c>
      <c r="J143" s="4" t="str">
        <f>VLOOKUP(I143,citySet!$B$5:$C$46,2,0)</f>
        <v>庐江</v>
      </c>
      <c r="K143" s="2" t="s">
        <v>1071</v>
      </c>
      <c r="L143" s="2" t="s">
        <v>1072</v>
      </c>
      <c r="N143" s="4"/>
      <c r="O143" s="2" t="s">
        <v>274</v>
      </c>
      <c r="P143" s="2" t="s">
        <v>274</v>
      </c>
      <c r="Q143" s="4">
        <v>0</v>
      </c>
      <c r="R143" s="2" t="s">
        <v>370</v>
      </c>
      <c r="S143" s="2" t="s">
        <v>435</v>
      </c>
      <c r="T143" s="2" t="s">
        <v>821</v>
      </c>
      <c r="U143" s="2" t="s">
        <v>83</v>
      </c>
      <c r="V143" s="2" t="s">
        <v>584</v>
      </c>
      <c r="W143" s="4">
        <v>1</v>
      </c>
      <c r="X143" s="2" t="s">
        <v>365</v>
      </c>
      <c r="Y143" s="4">
        <v>2</v>
      </c>
      <c r="Z143" s="4" t="s">
        <v>443</v>
      </c>
      <c r="AA143" s="2" t="s">
        <v>228</v>
      </c>
      <c r="AB143" s="2" t="s">
        <v>444</v>
      </c>
      <c r="AC143" s="2" t="s">
        <v>454</v>
      </c>
      <c r="AD143" s="4">
        <v>38</v>
      </c>
      <c r="AE143" s="2" t="s">
        <v>237</v>
      </c>
      <c r="AF143" s="2" t="s">
        <v>485</v>
      </c>
      <c r="AG143" s="2" t="s">
        <v>418</v>
      </c>
      <c r="AH143" s="2" t="s">
        <v>185</v>
      </c>
      <c r="AI143" s="2" t="s">
        <v>740</v>
      </c>
      <c r="AJ143" s="4"/>
      <c r="AL143" s="4"/>
      <c r="AN143" s="4"/>
      <c r="AP143" s="4"/>
      <c r="AQ143" s="4"/>
      <c r="AS143" s="4">
        <v>2</v>
      </c>
      <c r="AT143" s="4">
        <v>0</v>
      </c>
      <c r="AU143" s="4">
        <v>1</v>
      </c>
      <c r="AV143" s="4">
        <v>0</v>
      </c>
      <c r="AW143" s="4">
        <v>0</v>
      </c>
      <c r="AX143" s="4">
        <v>1</v>
      </c>
      <c r="AZ143" s="2" t="s">
        <v>60</v>
      </c>
    </row>
    <row r="144" spans="2:52" x14ac:dyDescent="0.15">
      <c r="B144" s="2" t="s">
        <v>458</v>
      </c>
      <c r="C144" s="2" t="s">
        <v>1073</v>
      </c>
      <c r="D144" s="2" t="s">
        <v>25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25</v>
      </c>
      <c r="H144" s="4" t="str">
        <f>VLOOKUP(G144,corpsSet!$B$5:$C$46,2,0)</f>
        <v>张角</v>
      </c>
      <c r="I144" s="4" t="s">
        <v>20</v>
      </c>
      <c r="J144" s="4" t="str">
        <f>VLOOKUP(I144,citySet!$B$5:$C$46,2,0)</f>
        <v>濮阳</v>
      </c>
      <c r="K144" s="2" t="s">
        <v>1074</v>
      </c>
      <c r="L144" s="2" t="s">
        <v>1075</v>
      </c>
      <c r="N144" s="4"/>
      <c r="O144" s="2" t="s">
        <v>651</v>
      </c>
      <c r="P144" s="2" t="s">
        <v>651</v>
      </c>
      <c r="Q144" s="4">
        <v>0</v>
      </c>
      <c r="R144" s="2" t="s">
        <v>370</v>
      </c>
      <c r="S144" s="2" t="s">
        <v>435</v>
      </c>
      <c r="T144" s="2" t="s">
        <v>957</v>
      </c>
      <c r="U144" s="2" t="s">
        <v>950</v>
      </c>
      <c r="V144" s="2" t="s">
        <v>367</v>
      </c>
      <c r="W144" s="4">
        <v>1</v>
      </c>
      <c r="X144" s="2" t="s">
        <v>365</v>
      </c>
      <c r="Y144" s="4">
        <v>0</v>
      </c>
      <c r="Z144" s="4" t="s">
        <v>39</v>
      </c>
      <c r="AA144" s="2" t="s">
        <v>403</v>
      </c>
      <c r="AB144" s="2" t="s">
        <v>486</v>
      </c>
      <c r="AC144" s="2" t="s">
        <v>153</v>
      </c>
      <c r="AD144" s="4">
        <v>23</v>
      </c>
      <c r="AE144" s="2" t="s">
        <v>10</v>
      </c>
      <c r="AF144" s="2" t="s">
        <v>226</v>
      </c>
      <c r="AG144" s="2" t="s">
        <v>417</v>
      </c>
      <c r="AH144" s="2" t="s">
        <v>185</v>
      </c>
      <c r="AI144" s="2" t="s">
        <v>664</v>
      </c>
      <c r="AJ144" s="4"/>
      <c r="AL144" s="4"/>
      <c r="AN144" s="4"/>
      <c r="AP144" s="4"/>
      <c r="AQ144" s="4"/>
      <c r="AS144" s="4">
        <v>1</v>
      </c>
      <c r="AT144" s="4">
        <v>0</v>
      </c>
      <c r="AU144" s="4">
        <v>1</v>
      </c>
      <c r="AV144" s="4">
        <v>1</v>
      </c>
      <c r="AW144" s="4">
        <v>0</v>
      </c>
      <c r="AX144" s="4">
        <v>0</v>
      </c>
      <c r="AZ144" s="2" t="s">
        <v>60</v>
      </c>
    </row>
    <row r="145" spans="2:52" x14ac:dyDescent="0.15">
      <c r="B145" s="2" t="s">
        <v>697</v>
      </c>
      <c r="C145" s="2" t="s">
        <v>1076</v>
      </c>
      <c r="D145" s="2" t="s">
        <v>104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104</v>
      </c>
      <c r="H145" s="4" t="str">
        <f>VLOOKUP(G145,corpsSet!$B$5:$C$46,2,0)</f>
        <v>刘岱</v>
      </c>
      <c r="I145" s="4" t="s">
        <v>41</v>
      </c>
      <c r="J145" s="4" t="str">
        <f>VLOOKUP(I145,citySet!$B$5:$C$46,2,0)</f>
        <v>陈留</v>
      </c>
      <c r="K145" s="2" t="s">
        <v>1071</v>
      </c>
      <c r="L145" s="2" t="s">
        <v>1078</v>
      </c>
      <c r="M145" s="2" t="s">
        <v>1079</v>
      </c>
      <c r="N145" s="4"/>
      <c r="O145" s="2" t="s">
        <v>3</v>
      </c>
      <c r="P145" s="2" t="s">
        <v>3</v>
      </c>
      <c r="Q145" s="4">
        <v>0</v>
      </c>
      <c r="R145" s="2" t="s">
        <v>370</v>
      </c>
      <c r="S145" s="2" t="s">
        <v>435</v>
      </c>
      <c r="T145" s="2" t="s">
        <v>466</v>
      </c>
      <c r="U145" s="2" t="s">
        <v>372</v>
      </c>
      <c r="V145" s="2" t="s">
        <v>228</v>
      </c>
      <c r="W145" s="4">
        <v>1</v>
      </c>
      <c r="X145" s="2" t="s">
        <v>365</v>
      </c>
      <c r="Y145" s="4">
        <v>8</v>
      </c>
      <c r="Z145" s="4" t="s">
        <v>3079</v>
      </c>
      <c r="AA145" s="2" t="s">
        <v>413</v>
      </c>
      <c r="AB145" s="2" t="s">
        <v>3</v>
      </c>
      <c r="AC145" s="2" t="s">
        <v>101</v>
      </c>
      <c r="AD145" s="4">
        <v>69</v>
      </c>
      <c r="AE145" s="2" t="s">
        <v>374</v>
      </c>
      <c r="AF145" s="2" t="s">
        <v>261</v>
      </c>
      <c r="AG145" s="2" t="s">
        <v>850</v>
      </c>
      <c r="AH145" s="2" t="s">
        <v>185</v>
      </c>
      <c r="AI145" s="2" t="s">
        <v>1077</v>
      </c>
      <c r="AJ145" s="4"/>
      <c r="AL145" s="4"/>
      <c r="AN145" s="4"/>
      <c r="AP145" s="4"/>
      <c r="AQ145" s="4"/>
      <c r="AS145" s="4">
        <v>1</v>
      </c>
      <c r="AT145" s="4">
        <v>0</v>
      </c>
      <c r="AU145" s="4">
        <v>0</v>
      </c>
      <c r="AV145" s="4">
        <v>1</v>
      </c>
      <c r="AW145" s="4">
        <v>0</v>
      </c>
      <c r="AX145" s="4">
        <v>0</v>
      </c>
      <c r="AZ145" s="2" t="s">
        <v>60</v>
      </c>
    </row>
    <row r="146" spans="2:52" x14ac:dyDescent="0.15">
      <c r="B146" s="2" t="s">
        <v>904</v>
      </c>
      <c r="C146" s="2" t="s">
        <v>1080</v>
      </c>
      <c r="D146" s="2" t="s">
        <v>220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220</v>
      </c>
      <c r="H146" s="4" t="str">
        <f>VLOOKUP(G146,corpsSet!$B$5:$C$46,2,0)</f>
        <v>锺会</v>
      </c>
      <c r="I146" s="4" t="s">
        <v>207</v>
      </c>
      <c r="J146" s="4" t="str">
        <f>VLOOKUP(I146,citySet!$B$5:$C$46,2,0)</f>
        <v>梓潼</v>
      </c>
      <c r="K146" s="2" t="s">
        <v>1083</v>
      </c>
      <c r="L146" s="2" t="s">
        <v>760</v>
      </c>
      <c r="N146" s="4"/>
      <c r="O146" s="2" t="s">
        <v>1081</v>
      </c>
      <c r="P146" s="2" t="s">
        <v>1081</v>
      </c>
      <c r="Q146" s="4">
        <v>0</v>
      </c>
      <c r="R146" s="2" t="s">
        <v>370</v>
      </c>
      <c r="S146" s="2" t="s">
        <v>519</v>
      </c>
      <c r="T146" s="2" t="s">
        <v>961</v>
      </c>
      <c r="U146" s="2" t="s">
        <v>919</v>
      </c>
      <c r="V146" s="2" t="s">
        <v>189</v>
      </c>
      <c r="W146" s="4">
        <v>1</v>
      </c>
      <c r="X146" s="2" t="s">
        <v>365</v>
      </c>
      <c r="Y146" s="4">
        <v>2</v>
      </c>
      <c r="Z146" s="4" t="s">
        <v>443</v>
      </c>
      <c r="AA146" s="2" t="s">
        <v>413</v>
      </c>
      <c r="AB146" s="2" t="s">
        <v>7</v>
      </c>
      <c r="AC146" s="2" t="s">
        <v>367</v>
      </c>
      <c r="AD146" s="4">
        <v>15</v>
      </c>
      <c r="AE146" s="2" t="s">
        <v>18</v>
      </c>
      <c r="AF146" s="2" t="s">
        <v>233</v>
      </c>
      <c r="AG146" s="2" t="s">
        <v>90</v>
      </c>
      <c r="AH146" s="2" t="s">
        <v>185</v>
      </c>
      <c r="AI146" s="2" t="s">
        <v>888</v>
      </c>
      <c r="AJ146" s="4" t="s">
        <v>415</v>
      </c>
      <c r="AK146" s="2" t="s">
        <v>1082</v>
      </c>
      <c r="AL146" s="4"/>
      <c r="AN146" s="4"/>
      <c r="AP146" s="4"/>
      <c r="AQ146" s="4"/>
      <c r="AS146" s="4">
        <v>1</v>
      </c>
      <c r="AT146" s="4">
        <v>0</v>
      </c>
      <c r="AU146" s="4">
        <v>0</v>
      </c>
      <c r="AV146" s="4">
        <v>1</v>
      </c>
      <c r="AW146" s="4">
        <v>0</v>
      </c>
      <c r="AX146" s="4">
        <v>0</v>
      </c>
      <c r="AZ146" s="2" t="s">
        <v>60</v>
      </c>
    </row>
    <row r="147" spans="2:52" x14ac:dyDescent="0.15">
      <c r="B147" s="2" t="s">
        <v>821</v>
      </c>
      <c r="C147" s="2" t="s">
        <v>1084</v>
      </c>
      <c r="D147" s="2" t="s">
        <v>10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10</v>
      </c>
      <c r="H147" s="4" t="str">
        <f>VLOOKUP(G147,corpsSet!$B$5:$C$46,2,0)</f>
        <v>王朗</v>
      </c>
      <c r="I147" s="4" t="s">
        <v>196</v>
      </c>
      <c r="J147" s="4" t="str">
        <f>VLOOKUP(I147,citySet!$B$5:$C$46,2,0)</f>
        <v>会稽</v>
      </c>
      <c r="K147" s="2" t="s">
        <v>1083</v>
      </c>
      <c r="L147" s="2" t="s">
        <v>1087</v>
      </c>
      <c r="N147" s="4"/>
      <c r="O147" s="2" t="s">
        <v>1086</v>
      </c>
      <c r="P147" s="2" t="s">
        <v>1086</v>
      </c>
      <c r="Q147" s="4">
        <v>0</v>
      </c>
      <c r="R147" s="2" t="s">
        <v>370</v>
      </c>
      <c r="S147" s="2" t="s">
        <v>435</v>
      </c>
      <c r="T147" s="2" t="s">
        <v>524</v>
      </c>
      <c r="U147" s="2" t="s">
        <v>950</v>
      </c>
      <c r="V147" s="2" t="s">
        <v>664</v>
      </c>
      <c r="W147" s="4">
        <v>1</v>
      </c>
      <c r="X147" s="2" t="s">
        <v>365</v>
      </c>
      <c r="Y147" s="4">
        <v>3</v>
      </c>
      <c r="Z147" s="4" t="s">
        <v>696</v>
      </c>
      <c r="AA147" s="2" t="s">
        <v>185</v>
      </c>
      <c r="AB147" s="2" t="s">
        <v>100</v>
      </c>
      <c r="AC147" s="2" t="s">
        <v>404</v>
      </c>
      <c r="AD147" s="4">
        <v>64</v>
      </c>
      <c r="AE147" s="2" t="s">
        <v>444</v>
      </c>
      <c r="AF147" s="2" t="s">
        <v>201</v>
      </c>
      <c r="AG147" s="2" t="s">
        <v>1085</v>
      </c>
      <c r="AH147" s="2" t="s">
        <v>185</v>
      </c>
      <c r="AI147" s="2" t="s">
        <v>904</v>
      </c>
      <c r="AJ147" s="4"/>
      <c r="AL147" s="4"/>
      <c r="AN147" s="4"/>
      <c r="AP147" s="4"/>
      <c r="AQ147" s="4"/>
      <c r="AS147" s="4">
        <v>0</v>
      </c>
      <c r="AT147" s="4">
        <v>1</v>
      </c>
      <c r="AU147" s="4">
        <v>2</v>
      </c>
      <c r="AV147" s="4">
        <v>0</v>
      </c>
      <c r="AW147" s="4">
        <v>0</v>
      </c>
      <c r="AX147" s="4">
        <v>1</v>
      </c>
      <c r="AZ147" s="2" t="s">
        <v>60</v>
      </c>
    </row>
    <row r="148" spans="2:52" x14ac:dyDescent="0.15">
      <c r="B148" s="2" t="s">
        <v>888</v>
      </c>
      <c r="C148" s="2" t="s">
        <v>1088</v>
      </c>
      <c r="D148" s="2" t="s">
        <v>3338</v>
      </c>
      <c r="E148" s="4" t="str">
        <f>VLOOKUP(D148,forceSet!$B$5:$D$46,3,0)</f>
        <v>孔胄</v>
      </c>
      <c r="F148" s="4" t="str">
        <f>VLOOKUP(I148,citySet!$B$5:$E$46,4,0)</f>
        <v>孔胄</v>
      </c>
      <c r="G148" s="2" t="s">
        <v>3338</v>
      </c>
      <c r="H148" s="4" t="str">
        <f>VLOOKUP(G148,corpsSet!$B$5:$C$46,2,0)</f>
        <v>孔胄</v>
      </c>
      <c r="I148" s="4" t="s">
        <v>8</v>
      </c>
      <c r="J148" s="4" t="str">
        <f>VLOOKUP(I148,citySet!$B$5:$C$46,2,0)</f>
        <v>汝南</v>
      </c>
      <c r="K148" s="2" t="s">
        <v>1083</v>
      </c>
      <c r="L148" s="2" t="s">
        <v>974</v>
      </c>
      <c r="M148" s="2" t="s">
        <v>1090</v>
      </c>
      <c r="N148" s="4"/>
      <c r="O148" s="2" t="s">
        <v>504</v>
      </c>
      <c r="P148" s="2" t="s">
        <v>504</v>
      </c>
      <c r="Q148" s="4">
        <v>0</v>
      </c>
      <c r="R148" s="2" t="s">
        <v>370</v>
      </c>
      <c r="S148" s="2" t="s">
        <v>435</v>
      </c>
      <c r="T148" s="2" t="s">
        <v>674</v>
      </c>
      <c r="U148" s="2" t="s">
        <v>512</v>
      </c>
      <c r="V148" s="2" t="s">
        <v>837</v>
      </c>
      <c r="W148" s="4">
        <v>1</v>
      </c>
      <c r="X148" s="2" t="s">
        <v>365</v>
      </c>
      <c r="Y148" s="4">
        <v>8</v>
      </c>
      <c r="Z148" s="4" t="s">
        <v>3079</v>
      </c>
      <c r="AA148" s="2" t="s">
        <v>185</v>
      </c>
      <c r="AB148" s="2" t="s">
        <v>31</v>
      </c>
      <c r="AC148" s="2" t="s">
        <v>33</v>
      </c>
      <c r="AD148" s="4">
        <v>67</v>
      </c>
      <c r="AE148" s="2" t="s">
        <v>88</v>
      </c>
      <c r="AF148" s="2" t="s">
        <v>321</v>
      </c>
      <c r="AG148" s="2" t="s">
        <v>512</v>
      </c>
      <c r="AH148" s="2" t="s">
        <v>185</v>
      </c>
      <c r="AI148" s="2" t="s">
        <v>821</v>
      </c>
      <c r="AJ148" s="4"/>
      <c r="AL148" s="4"/>
      <c r="AN148" s="4"/>
      <c r="AP148" s="4"/>
      <c r="AQ148" s="4"/>
      <c r="AS148" s="4">
        <v>1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Z148" s="2" t="s">
        <v>60</v>
      </c>
    </row>
    <row r="149" spans="2:52" x14ac:dyDescent="0.15">
      <c r="B149" s="2" t="s">
        <v>415</v>
      </c>
      <c r="C149" s="2" t="s">
        <v>1082</v>
      </c>
      <c r="D149" s="2" t="s">
        <v>27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27</v>
      </c>
      <c r="H149" s="4" t="str">
        <f>VLOOKUP(G149,corpsSet!$B$5:$C$46,2,0)</f>
        <v>曹操</v>
      </c>
      <c r="I149" s="4" t="s">
        <v>17</v>
      </c>
      <c r="J149" s="4" t="str">
        <f>VLOOKUP(I149,citySet!$B$5:$C$46,2,0)</f>
        <v>许昌</v>
      </c>
      <c r="K149" s="2" t="s">
        <v>1083</v>
      </c>
      <c r="L149" s="2" t="s">
        <v>1095</v>
      </c>
      <c r="M149" s="2" t="s">
        <v>1096</v>
      </c>
      <c r="N149" s="4"/>
      <c r="O149" s="2" t="s">
        <v>20</v>
      </c>
      <c r="P149" s="2" t="s">
        <v>20</v>
      </c>
      <c r="Q149" s="4">
        <v>0</v>
      </c>
      <c r="R149" s="2" t="s">
        <v>370</v>
      </c>
      <c r="S149" s="2" t="s">
        <v>393</v>
      </c>
      <c r="T149" s="2" t="s">
        <v>477</v>
      </c>
      <c r="U149" s="2" t="s">
        <v>395</v>
      </c>
      <c r="V149" s="2" t="s">
        <v>196</v>
      </c>
      <c r="W149" s="4">
        <v>1</v>
      </c>
      <c r="X149" s="2" t="s">
        <v>365</v>
      </c>
      <c r="Y149" s="4">
        <v>0</v>
      </c>
      <c r="Z149" s="4" t="s">
        <v>39</v>
      </c>
      <c r="AA149" s="2" t="s">
        <v>134</v>
      </c>
      <c r="AB149" s="2" t="s">
        <v>257</v>
      </c>
      <c r="AC149" s="2" t="s">
        <v>195</v>
      </c>
      <c r="AD149" s="4">
        <v>36</v>
      </c>
      <c r="AE149" s="2" t="s">
        <v>106</v>
      </c>
      <c r="AF149" s="2" t="s">
        <v>486</v>
      </c>
      <c r="AG149" s="2" t="s">
        <v>1092</v>
      </c>
      <c r="AH149" s="2" t="s">
        <v>185</v>
      </c>
      <c r="AI149" s="2" t="s">
        <v>888</v>
      </c>
      <c r="AJ149" s="4"/>
      <c r="AL149" s="4"/>
      <c r="AN149" s="4"/>
      <c r="AP149" s="4"/>
      <c r="AQ149" s="4"/>
      <c r="AS149" s="4">
        <v>2</v>
      </c>
      <c r="AT149" s="4">
        <v>1</v>
      </c>
      <c r="AU149" s="4">
        <v>0</v>
      </c>
      <c r="AV149" s="4">
        <v>1</v>
      </c>
      <c r="AW149" s="4">
        <v>0</v>
      </c>
      <c r="AX149" s="4">
        <v>0</v>
      </c>
      <c r="AZ149" s="2" t="s">
        <v>60</v>
      </c>
    </row>
    <row r="150" spans="2:52" x14ac:dyDescent="0.15">
      <c r="B150" s="2" t="s">
        <v>550</v>
      </c>
      <c r="C150" s="2" t="s">
        <v>1097</v>
      </c>
      <c r="D150" s="2" t="s">
        <v>30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30</v>
      </c>
      <c r="H150" s="4" t="str">
        <f>VLOOKUP(G150,corpsSet!$B$5:$C$46,2,0)</f>
        <v>袁绍</v>
      </c>
      <c r="I150" s="4" t="s">
        <v>37</v>
      </c>
      <c r="J150" s="4" t="str">
        <f>VLOOKUP(I150,citySet!$B$5:$C$46,2,0)</f>
        <v>南皮</v>
      </c>
      <c r="K150" s="2" t="s">
        <v>1083</v>
      </c>
      <c r="L150" s="2" t="s">
        <v>1044</v>
      </c>
      <c r="M150" s="2" t="s">
        <v>1098</v>
      </c>
      <c r="N150" s="4"/>
      <c r="O150" s="2" t="s">
        <v>565</v>
      </c>
      <c r="P150" s="2" t="s">
        <v>565</v>
      </c>
      <c r="Q150" s="4">
        <v>0</v>
      </c>
      <c r="R150" s="2" t="s">
        <v>370</v>
      </c>
      <c r="S150" s="2" t="s">
        <v>435</v>
      </c>
      <c r="T150" s="2" t="s">
        <v>524</v>
      </c>
      <c r="U150" s="2" t="s">
        <v>380</v>
      </c>
      <c r="V150" s="2" t="s">
        <v>107</v>
      </c>
      <c r="W150" s="4">
        <v>1</v>
      </c>
      <c r="X150" s="2" t="s">
        <v>365</v>
      </c>
      <c r="Y150" s="4">
        <v>0</v>
      </c>
      <c r="Z150" s="4" t="s">
        <v>39</v>
      </c>
      <c r="AA150" s="2" t="s">
        <v>79</v>
      </c>
      <c r="AB150" s="2" t="s">
        <v>15</v>
      </c>
      <c r="AC150" s="2" t="s">
        <v>107</v>
      </c>
      <c r="AD150" s="4">
        <v>80</v>
      </c>
      <c r="AE150" s="2" t="s">
        <v>201</v>
      </c>
      <c r="AF150" s="2" t="s">
        <v>189</v>
      </c>
      <c r="AG150" s="2" t="s">
        <v>340</v>
      </c>
      <c r="AH150" s="2" t="s">
        <v>185</v>
      </c>
      <c r="AI150" s="2" t="s">
        <v>415</v>
      </c>
      <c r="AJ150" s="4"/>
      <c r="AL150" s="4"/>
      <c r="AN150" s="4"/>
      <c r="AP150" s="4"/>
      <c r="AQ150" s="4"/>
      <c r="AS150" s="4">
        <v>0</v>
      </c>
      <c r="AT150" s="4">
        <v>0</v>
      </c>
      <c r="AU150" s="4">
        <v>0</v>
      </c>
      <c r="AV150" s="4">
        <v>1</v>
      </c>
      <c r="AW150" s="4">
        <v>0</v>
      </c>
      <c r="AX150" s="4">
        <v>0</v>
      </c>
      <c r="AZ150" s="2" t="s">
        <v>60</v>
      </c>
    </row>
    <row r="151" spans="2:52" x14ac:dyDescent="0.15">
      <c r="B151" s="2" t="s">
        <v>719</v>
      </c>
      <c r="C151" s="2" t="s">
        <v>294</v>
      </c>
      <c r="D151" s="2" t="s">
        <v>29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29</v>
      </c>
      <c r="H151" s="4" t="str">
        <f>VLOOKUP(G151,corpsSet!$B$5:$C$46,2,0)</f>
        <v>袁术</v>
      </c>
      <c r="I151" s="4" t="s">
        <v>200</v>
      </c>
      <c r="J151" s="4" t="str">
        <f>VLOOKUP(I151,citySet!$B$5:$C$46,2,0)</f>
        <v>庐江</v>
      </c>
      <c r="K151" s="2" t="s">
        <v>1099</v>
      </c>
      <c r="L151" s="2" t="s">
        <v>1100</v>
      </c>
      <c r="N151" s="4"/>
      <c r="O151" s="2" t="s">
        <v>524</v>
      </c>
      <c r="P151" s="2" t="s">
        <v>524</v>
      </c>
      <c r="Q151" s="4">
        <v>0</v>
      </c>
      <c r="R151" s="2" t="s">
        <v>370</v>
      </c>
      <c r="S151" s="2" t="s">
        <v>435</v>
      </c>
      <c r="T151" s="2" t="s">
        <v>524</v>
      </c>
      <c r="U151" s="2" t="s">
        <v>479</v>
      </c>
      <c r="V151" s="2" t="s">
        <v>458</v>
      </c>
      <c r="W151" s="4">
        <v>1</v>
      </c>
      <c r="X151" s="2" t="s">
        <v>365</v>
      </c>
      <c r="Y151" s="4">
        <v>4</v>
      </c>
      <c r="Z151" s="4" t="s">
        <v>1091</v>
      </c>
      <c r="AA151" s="2" t="s">
        <v>185</v>
      </c>
      <c r="AB151" s="2" t="s">
        <v>431</v>
      </c>
      <c r="AC151" s="2" t="s">
        <v>397</v>
      </c>
      <c r="AD151" s="4">
        <v>51</v>
      </c>
      <c r="AE151" s="2" t="s">
        <v>414</v>
      </c>
      <c r="AF151" s="2" t="s">
        <v>254</v>
      </c>
      <c r="AG151" s="2" t="s">
        <v>464</v>
      </c>
      <c r="AH151" s="2" t="s">
        <v>185</v>
      </c>
      <c r="AI151" s="2" t="s">
        <v>550</v>
      </c>
      <c r="AJ151" s="4"/>
      <c r="AL151" s="4"/>
      <c r="AN151" s="4"/>
      <c r="AP151" s="4"/>
      <c r="AQ151" s="4"/>
      <c r="AS151" s="4">
        <v>2</v>
      </c>
      <c r="AT151" s="4">
        <v>2</v>
      </c>
      <c r="AU151" s="4">
        <v>0</v>
      </c>
      <c r="AV151" s="4">
        <v>2</v>
      </c>
      <c r="AW151" s="4">
        <v>0</v>
      </c>
      <c r="AX151" s="4">
        <v>0</v>
      </c>
      <c r="AZ151" s="2" t="s">
        <v>60</v>
      </c>
    </row>
    <row r="152" spans="2:52" x14ac:dyDescent="0.15">
      <c r="B152" s="2" t="s">
        <v>616</v>
      </c>
      <c r="C152" s="2" t="s">
        <v>3088</v>
      </c>
      <c r="D152" s="2" t="s">
        <v>5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5</v>
      </c>
      <c r="H152" s="4" t="str">
        <f>VLOOKUP(G152,corpsSet!$B$5:$C$46,2,0)</f>
        <v>金旋</v>
      </c>
      <c r="I152" s="4" t="s">
        <v>95</v>
      </c>
      <c r="J152" s="4" t="str">
        <f>VLOOKUP(I152,citySet!$B$5:$C$46,2,0)</f>
        <v>武陵</v>
      </c>
      <c r="K152" s="2" t="s">
        <v>1048</v>
      </c>
      <c r="L152" s="2" t="s">
        <v>1103</v>
      </c>
      <c r="M152" s="2" t="s">
        <v>1104</v>
      </c>
      <c r="N152" s="4"/>
      <c r="O152" s="2" t="s">
        <v>1101</v>
      </c>
      <c r="P152" s="2" t="s">
        <v>1101</v>
      </c>
      <c r="Q152" s="4">
        <v>0</v>
      </c>
      <c r="R152" s="2" t="s">
        <v>370</v>
      </c>
      <c r="S152" s="2" t="s">
        <v>425</v>
      </c>
      <c r="T152" s="2" t="s">
        <v>565</v>
      </c>
      <c r="U152" s="2" t="s">
        <v>379</v>
      </c>
      <c r="V152" s="2" t="s">
        <v>219</v>
      </c>
      <c r="W152" s="4">
        <v>1</v>
      </c>
      <c r="X152" s="2" t="s">
        <v>365</v>
      </c>
      <c r="Y152" s="4">
        <v>7</v>
      </c>
      <c r="Z152" s="4" t="s">
        <v>3078</v>
      </c>
      <c r="AA152" s="2" t="s">
        <v>134</v>
      </c>
      <c r="AB152" s="2" t="s">
        <v>103</v>
      </c>
      <c r="AC152" s="2" t="s">
        <v>207</v>
      </c>
      <c r="AD152" s="4">
        <v>64</v>
      </c>
      <c r="AE152" s="2" t="s">
        <v>321</v>
      </c>
      <c r="AF152" s="2" t="s">
        <v>93</v>
      </c>
      <c r="AG152" s="2" t="s">
        <v>861</v>
      </c>
      <c r="AH152" s="2" t="s">
        <v>185</v>
      </c>
      <c r="AI152" s="2" t="s">
        <v>1007</v>
      </c>
      <c r="AJ152" s="4">
        <v>15</v>
      </c>
      <c r="AK152" s="2" t="s">
        <v>1102</v>
      </c>
      <c r="AL152" s="4"/>
      <c r="AN152" s="4"/>
      <c r="AP152" s="4"/>
      <c r="AQ152" s="4"/>
      <c r="AS152" s="4">
        <v>1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Z152" s="2" t="s">
        <v>60</v>
      </c>
    </row>
    <row r="153" spans="2:52" x14ac:dyDescent="0.15">
      <c r="B153" s="2" t="s">
        <v>1007</v>
      </c>
      <c r="C153" s="2" t="s">
        <v>1105</v>
      </c>
      <c r="D153" s="2" t="s">
        <v>200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200</v>
      </c>
      <c r="H153" s="4" t="str">
        <f>VLOOKUP(G153,corpsSet!$B$5:$C$46,2,0)</f>
        <v>孟获</v>
      </c>
      <c r="I153" s="4" t="s">
        <v>98</v>
      </c>
      <c r="J153" s="4" t="str">
        <f>VLOOKUP(I153,citySet!$B$5:$C$46,2,0)</f>
        <v>云南</v>
      </c>
      <c r="K153" s="2" t="s">
        <v>1106</v>
      </c>
      <c r="L153" s="2" t="s">
        <v>1107</v>
      </c>
      <c r="N153" s="4"/>
      <c r="O153" s="2" t="s">
        <v>1035</v>
      </c>
      <c r="P153" s="2" t="s">
        <v>1035</v>
      </c>
      <c r="Q153" s="4">
        <v>0</v>
      </c>
      <c r="R153" s="2" t="s">
        <v>370</v>
      </c>
      <c r="S153" s="2" t="s">
        <v>371</v>
      </c>
      <c r="T153" s="2" t="s">
        <v>585</v>
      </c>
      <c r="U153" s="2" t="s">
        <v>373</v>
      </c>
      <c r="V153" s="2" t="s">
        <v>423</v>
      </c>
      <c r="W153" s="4">
        <v>1</v>
      </c>
      <c r="X153" s="2" t="s">
        <v>365</v>
      </c>
      <c r="Y153" s="4">
        <v>0</v>
      </c>
      <c r="Z153" s="4" t="s">
        <v>39</v>
      </c>
      <c r="AA153" s="2" t="s">
        <v>185</v>
      </c>
      <c r="AB153" s="2" t="s">
        <v>444</v>
      </c>
      <c r="AC153" s="2" t="s">
        <v>434</v>
      </c>
      <c r="AD153" s="4">
        <v>19</v>
      </c>
      <c r="AE153" s="2" t="s">
        <v>105</v>
      </c>
      <c r="AF153" s="2" t="s">
        <v>98</v>
      </c>
      <c r="AG153" s="2" t="s">
        <v>456</v>
      </c>
      <c r="AH153" s="2" t="s">
        <v>185</v>
      </c>
      <c r="AI153" s="2" t="s">
        <v>616</v>
      </c>
      <c r="AJ153" s="4"/>
      <c r="AL153" s="4"/>
      <c r="AN153" s="4"/>
      <c r="AP153" s="4"/>
      <c r="AQ153" s="4"/>
      <c r="AS153" s="4">
        <v>1</v>
      </c>
      <c r="AT153" s="4">
        <v>2</v>
      </c>
      <c r="AU153" s="4">
        <v>0</v>
      </c>
      <c r="AV153" s="4">
        <v>1</v>
      </c>
      <c r="AW153" s="4">
        <v>0</v>
      </c>
      <c r="AX153" s="4">
        <v>0</v>
      </c>
      <c r="AZ153" s="2" t="s">
        <v>60</v>
      </c>
    </row>
    <row r="154" spans="2:52" x14ac:dyDescent="0.15">
      <c r="B154" s="2" t="s">
        <v>466</v>
      </c>
      <c r="C154" s="2" t="s">
        <v>1102</v>
      </c>
      <c r="D154" s="2" t="s">
        <v>5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5</v>
      </c>
      <c r="H154" s="4" t="str">
        <f>VLOOKUP(G154,corpsSet!$B$5:$C$46,2,0)</f>
        <v>金旋</v>
      </c>
      <c r="I154" s="4" t="s">
        <v>95</v>
      </c>
      <c r="J154" s="4" t="str">
        <f>VLOOKUP(I154,citySet!$B$5:$C$46,2,0)</f>
        <v>武陵</v>
      </c>
      <c r="K154" s="2" t="s">
        <v>1048</v>
      </c>
      <c r="L154" s="2" t="s">
        <v>1108</v>
      </c>
      <c r="M154" s="2" t="s">
        <v>1109</v>
      </c>
      <c r="N154" s="4"/>
      <c r="O154" s="2" t="s">
        <v>254</v>
      </c>
      <c r="P154" s="2" t="s">
        <v>254</v>
      </c>
      <c r="Q154" s="4">
        <v>0</v>
      </c>
      <c r="R154" s="2" t="s">
        <v>370</v>
      </c>
      <c r="S154" s="2" t="s">
        <v>435</v>
      </c>
      <c r="T154" s="2" t="s">
        <v>524</v>
      </c>
      <c r="U154" s="2" t="s">
        <v>406</v>
      </c>
      <c r="V154" s="2" t="s">
        <v>102</v>
      </c>
      <c r="W154" s="4">
        <v>3</v>
      </c>
      <c r="X154" s="2" t="s">
        <v>2</v>
      </c>
      <c r="Y154" s="4">
        <v>0</v>
      </c>
      <c r="Z154" s="4" t="s">
        <v>39</v>
      </c>
      <c r="AA154" s="2" t="s">
        <v>185</v>
      </c>
      <c r="AB154" s="2" t="s">
        <v>14</v>
      </c>
      <c r="AC154" s="2" t="s">
        <v>321</v>
      </c>
      <c r="AD154" s="4">
        <v>13</v>
      </c>
      <c r="AE154" s="2" t="s">
        <v>208</v>
      </c>
      <c r="AF154" s="2" t="s">
        <v>191</v>
      </c>
      <c r="AG154" s="2" t="s">
        <v>490</v>
      </c>
      <c r="AH154" s="2" t="s">
        <v>185</v>
      </c>
      <c r="AI154" s="2" t="s">
        <v>1007</v>
      </c>
      <c r="AJ154" s="4"/>
      <c r="AL154" s="4"/>
      <c r="AN154" s="4"/>
      <c r="AP154" s="4"/>
      <c r="AQ154" s="4"/>
      <c r="AS154" s="4">
        <v>0</v>
      </c>
      <c r="AT154" s="4">
        <v>1</v>
      </c>
      <c r="AU154" s="4">
        <v>0</v>
      </c>
      <c r="AV154" s="4">
        <v>0</v>
      </c>
      <c r="AW154" s="4">
        <v>0</v>
      </c>
      <c r="AX154" s="4">
        <v>0</v>
      </c>
      <c r="AZ154" s="2" t="s">
        <v>60</v>
      </c>
    </row>
    <row r="155" spans="2:52" x14ac:dyDescent="0.15">
      <c r="B155" s="2" t="s">
        <v>634</v>
      </c>
      <c r="C155" s="2" t="s">
        <v>1110</v>
      </c>
      <c r="D155" s="2" t="s">
        <v>10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10</v>
      </c>
      <c r="H155" s="4" t="str">
        <f>VLOOKUP(G155,corpsSet!$B$5:$C$46,2,0)</f>
        <v>王朗</v>
      </c>
      <c r="I155" s="4" t="s">
        <v>196</v>
      </c>
      <c r="J155" s="4" t="str">
        <f>VLOOKUP(I155,citySet!$B$5:$C$46,2,0)</f>
        <v>会稽</v>
      </c>
      <c r="K155" s="2" t="s">
        <v>1114</v>
      </c>
      <c r="L155" s="2" t="s">
        <v>793</v>
      </c>
      <c r="M155" s="2" t="s">
        <v>1115</v>
      </c>
      <c r="N155" s="4"/>
      <c r="O155" s="2" t="s">
        <v>1111</v>
      </c>
      <c r="P155" s="2" t="s">
        <v>1111</v>
      </c>
      <c r="Q155" s="4">
        <v>0</v>
      </c>
      <c r="R155" s="2" t="s">
        <v>370</v>
      </c>
      <c r="S155" s="2" t="s">
        <v>556</v>
      </c>
      <c r="T155" s="2" t="s">
        <v>371</v>
      </c>
      <c r="U155" s="2" t="s">
        <v>381</v>
      </c>
      <c r="V155" s="2" t="s">
        <v>1012</v>
      </c>
      <c r="W155" s="4">
        <v>1</v>
      </c>
      <c r="X155" s="2" t="s">
        <v>365</v>
      </c>
      <c r="Y155" s="4">
        <v>4</v>
      </c>
      <c r="Z155" s="4" t="s">
        <v>1091</v>
      </c>
      <c r="AA155" s="2" t="s">
        <v>413</v>
      </c>
      <c r="AB155" s="2" t="s">
        <v>269</v>
      </c>
      <c r="AC155" s="2" t="s">
        <v>219</v>
      </c>
      <c r="AD155" s="4">
        <v>74</v>
      </c>
      <c r="AE155" s="2" t="s">
        <v>515</v>
      </c>
      <c r="AF155" s="2" t="s">
        <v>374</v>
      </c>
      <c r="AG155" s="2" t="s">
        <v>832</v>
      </c>
      <c r="AH155" s="2" t="s">
        <v>185</v>
      </c>
      <c r="AI155" s="2" t="s">
        <v>634</v>
      </c>
      <c r="AJ155" s="4" t="s">
        <v>674</v>
      </c>
      <c r="AK155" s="2" t="s">
        <v>1112</v>
      </c>
      <c r="AL155" s="4"/>
      <c r="AN155" s="4"/>
      <c r="AP155" s="4"/>
      <c r="AQ155" s="4"/>
      <c r="AS155" s="4">
        <v>0</v>
      </c>
      <c r="AT155" s="4">
        <v>0</v>
      </c>
      <c r="AU155" s="4">
        <v>1</v>
      </c>
      <c r="AV155" s="4">
        <v>0</v>
      </c>
      <c r="AW155" s="4">
        <v>2</v>
      </c>
      <c r="AX155" s="4">
        <v>2</v>
      </c>
      <c r="AZ155" s="2" t="s">
        <v>60</v>
      </c>
    </row>
    <row r="156" spans="2:52" x14ac:dyDescent="0.15">
      <c r="B156" s="2" t="s">
        <v>674</v>
      </c>
      <c r="C156" s="2" t="s">
        <v>1112</v>
      </c>
      <c r="D156" s="2" t="s">
        <v>10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10</v>
      </c>
      <c r="H156" s="4" t="str">
        <f>VLOOKUP(G156,corpsSet!$B$5:$C$46,2,0)</f>
        <v>王朗</v>
      </c>
      <c r="I156" s="4" t="s">
        <v>196</v>
      </c>
      <c r="J156" s="4" t="str">
        <f>VLOOKUP(I156,citySet!$B$5:$C$46,2,0)</f>
        <v>会稽</v>
      </c>
      <c r="K156" s="2" t="s">
        <v>1114</v>
      </c>
      <c r="L156" s="2" t="s">
        <v>1116</v>
      </c>
      <c r="M156" s="2" t="s">
        <v>1117</v>
      </c>
      <c r="N156" s="4"/>
      <c r="O156" s="2" t="s">
        <v>725</v>
      </c>
      <c r="P156" s="2" t="s">
        <v>725</v>
      </c>
      <c r="Q156" s="4">
        <v>0</v>
      </c>
      <c r="R156" s="2" t="s">
        <v>370</v>
      </c>
      <c r="S156" s="2" t="s">
        <v>435</v>
      </c>
      <c r="T156" s="2" t="s">
        <v>957</v>
      </c>
      <c r="U156" s="2" t="s">
        <v>762</v>
      </c>
      <c r="V156" s="2" t="s">
        <v>1012</v>
      </c>
      <c r="W156" s="4">
        <v>1</v>
      </c>
      <c r="X156" s="2" t="s">
        <v>365</v>
      </c>
      <c r="Y156" s="4">
        <v>7</v>
      </c>
      <c r="Z156" s="4" t="s">
        <v>3078</v>
      </c>
      <c r="AA156" s="2" t="s">
        <v>228</v>
      </c>
      <c r="AB156" s="2" t="s">
        <v>99</v>
      </c>
      <c r="AC156" s="2" t="s">
        <v>102</v>
      </c>
      <c r="AD156" s="4">
        <v>86</v>
      </c>
      <c r="AE156" s="2" t="s">
        <v>235</v>
      </c>
      <c r="AF156" s="2" t="s">
        <v>102</v>
      </c>
      <c r="AG156" s="2" t="s">
        <v>488</v>
      </c>
      <c r="AH156" s="2" t="s">
        <v>185</v>
      </c>
      <c r="AI156" s="2" t="s">
        <v>634</v>
      </c>
      <c r="AJ156" s="4"/>
      <c r="AL156" s="4"/>
      <c r="AN156" s="4"/>
      <c r="AP156" s="4"/>
      <c r="AQ156" s="4"/>
      <c r="AS156" s="4">
        <v>0</v>
      </c>
      <c r="AT156" s="4">
        <v>0</v>
      </c>
      <c r="AU156" s="4">
        <v>1</v>
      </c>
      <c r="AV156" s="4">
        <v>0</v>
      </c>
      <c r="AW156" s="4">
        <v>1</v>
      </c>
      <c r="AX156" s="4">
        <v>1</v>
      </c>
      <c r="AZ156" s="2" t="s">
        <v>60</v>
      </c>
    </row>
    <row r="157" spans="2:52" x14ac:dyDescent="0.15">
      <c r="B157" s="2" t="s">
        <v>995</v>
      </c>
      <c r="C157" s="2" t="s">
        <v>1118</v>
      </c>
      <c r="D157" s="2" t="s">
        <v>219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219</v>
      </c>
      <c r="H157" s="4" t="str">
        <f>VLOOKUP(G157,corpsSet!$B$5:$C$46,2,0)</f>
        <v>刘度</v>
      </c>
      <c r="I157" s="4" t="s">
        <v>220</v>
      </c>
      <c r="J157" s="4" t="str">
        <f>VLOOKUP(I157,citySet!$B$5:$C$46,2,0)</f>
        <v>零陵</v>
      </c>
      <c r="K157" s="2" t="s">
        <v>1120</v>
      </c>
      <c r="L157" s="2" t="s">
        <v>1121</v>
      </c>
      <c r="N157" s="4"/>
      <c r="O157" s="2" t="s">
        <v>626</v>
      </c>
      <c r="P157" s="2" t="s">
        <v>626</v>
      </c>
      <c r="Q157" s="4">
        <v>0</v>
      </c>
      <c r="R157" s="2" t="s">
        <v>370</v>
      </c>
      <c r="S157" s="2" t="s">
        <v>467</v>
      </c>
      <c r="T157" s="2" t="s">
        <v>1001</v>
      </c>
      <c r="U157" s="2" t="s">
        <v>406</v>
      </c>
      <c r="V157" s="2" t="s">
        <v>20</v>
      </c>
      <c r="W157" s="4">
        <v>1</v>
      </c>
      <c r="X157" s="2" t="s">
        <v>365</v>
      </c>
      <c r="Y157" s="4">
        <v>3</v>
      </c>
      <c r="Z157" s="4" t="s">
        <v>696</v>
      </c>
      <c r="AA157" s="2" t="s">
        <v>185</v>
      </c>
      <c r="AB157" s="2" t="s">
        <v>269</v>
      </c>
      <c r="AC157" s="2" t="s">
        <v>329</v>
      </c>
      <c r="AD157" s="4">
        <v>41</v>
      </c>
      <c r="AE157" s="2" t="s">
        <v>18</v>
      </c>
      <c r="AF157" s="2" t="s">
        <v>20</v>
      </c>
      <c r="AG157" s="2" t="s">
        <v>685</v>
      </c>
      <c r="AH157" s="2" t="s">
        <v>185</v>
      </c>
      <c r="AI157" s="2" t="s">
        <v>674</v>
      </c>
      <c r="AJ157" s="4"/>
      <c r="AL157" s="4"/>
      <c r="AN157" s="4"/>
      <c r="AP157" s="4"/>
      <c r="AQ157" s="4"/>
      <c r="AS157" s="4">
        <v>0</v>
      </c>
      <c r="AT157" s="4">
        <v>2</v>
      </c>
      <c r="AU157" s="4">
        <v>0</v>
      </c>
      <c r="AV157" s="4">
        <v>1</v>
      </c>
      <c r="AW157" s="4">
        <v>0</v>
      </c>
      <c r="AX157" s="4">
        <v>0</v>
      </c>
      <c r="AZ157" s="2" t="s">
        <v>60</v>
      </c>
    </row>
    <row r="158" spans="2:52" x14ac:dyDescent="0.15">
      <c r="B158" s="2" t="s">
        <v>535</v>
      </c>
      <c r="C158" s="2" t="s">
        <v>3089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18</v>
      </c>
      <c r="J158" s="4" t="str">
        <f>VLOOKUP(I158,citySet!$B$5:$C$46,2,0)</f>
        <v>洛阳</v>
      </c>
      <c r="K158" s="2" t="s">
        <v>1122</v>
      </c>
      <c r="L158" s="2" t="s">
        <v>1123</v>
      </c>
      <c r="M158" s="2" t="s">
        <v>1124</v>
      </c>
      <c r="N158" s="4"/>
      <c r="O158" s="2" t="s">
        <v>425</v>
      </c>
      <c r="P158" s="2" t="s">
        <v>425</v>
      </c>
      <c r="Q158" s="4">
        <v>0</v>
      </c>
      <c r="R158" s="2" t="s">
        <v>370</v>
      </c>
      <c r="S158" s="2" t="s">
        <v>519</v>
      </c>
      <c r="T158" s="2" t="s">
        <v>406</v>
      </c>
      <c r="U158" s="2" t="s">
        <v>570</v>
      </c>
      <c r="V158" s="2" t="s">
        <v>329</v>
      </c>
      <c r="W158" s="4">
        <v>2</v>
      </c>
      <c r="X158" s="2" t="s">
        <v>2983</v>
      </c>
      <c r="Y158" s="4">
        <v>0</v>
      </c>
      <c r="Z158" s="4" t="s">
        <v>39</v>
      </c>
      <c r="AA158" s="2" t="s">
        <v>60</v>
      </c>
      <c r="AB158" s="2" t="s">
        <v>32</v>
      </c>
      <c r="AC158" s="2" t="s">
        <v>37</v>
      </c>
      <c r="AD158" s="4">
        <v>63</v>
      </c>
      <c r="AE158" s="2" t="s">
        <v>481</v>
      </c>
      <c r="AF158" s="2" t="s">
        <v>269</v>
      </c>
      <c r="AG158" s="2" t="s">
        <v>961</v>
      </c>
      <c r="AH158" s="2" t="s">
        <v>185</v>
      </c>
      <c r="AI158" s="2" t="s">
        <v>995</v>
      </c>
      <c r="AJ158" s="4"/>
      <c r="AL158" s="4"/>
      <c r="AN158" s="4"/>
      <c r="AP158" s="4"/>
      <c r="AQ158" s="4"/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Z158" s="2" t="s">
        <v>60</v>
      </c>
    </row>
    <row r="159" spans="2:52" x14ac:dyDescent="0.15">
      <c r="B159" s="2" t="s">
        <v>524</v>
      </c>
      <c r="C159" s="2" t="s">
        <v>1125</v>
      </c>
      <c r="D159" s="2" t="s">
        <v>33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33</v>
      </c>
      <c r="H159" s="4" t="str">
        <f>VLOOKUP(G159,corpsSet!$B$5:$C$46,2,0)</f>
        <v>刘焉</v>
      </c>
      <c r="I159" s="4" t="s">
        <v>126</v>
      </c>
      <c r="J159" s="4" t="str">
        <f>VLOOKUP(I159,citySet!$B$5:$C$46,2,0)</f>
        <v>成都</v>
      </c>
      <c r="K159" s="2" t="s">
        <v>1126</v>
      </c>
      <c r="L159" s="2" t="s">
        <v>1020</v>
      </c>
      <c r="N159" s="4"/>
      <c r="O159" s="2" t="s">
        <v>18</v>
      </c>
      <c r="P159" s="2" t="s">
        <v>18</v>
      </c>
      <c r="Q159" s="4">
        <v>0</v>
      </c>
      <c r="R159" s="2" t="s">
        <v>370</v>
      </c>
      <c r="S159" s="2" t="s">
        <v>435</v>
      </c>
      <c r="T159" s="2" t="s">
        <v>634</v>
      </c>
      <c r="U159" s="2" t="s">
        <v>512</v>
      </c>
      <c r="V159" s="2" t="s">
        <v>454</v>
      </c>
      <c r="W159" s="4">
        <v>1</v>
      </c>
      <c r="X159" s="2" t="s">
        <v>365</v>
      </c>
      <c r="Y159" s="4">
        <v>3</v>
      </c>
      <c r="Z159" s="4" t="s">
        <v>696</v>
      </c>
      <c r="AA159" s="2" t="s">
        <v>403</v>
      </c>
      <c r="AB159" s="2" t="s">
        <v>88</v>
      </c>
      <c r="AC159" s="2" t="s">
        <v>397</v>
      </c>
      <c r="AD159" s="4">
        <v>69</v>
      </c>
      <c r="AE159" s="2" t="s">
        <v>445</v>
      </c>
      <c r="AF159" s="2" t="s">
        <v>88</v>
      </c>
      <c r="AG159" s="2" t="s">
        <v>654</v>
      </c>
      <c r="AH159" s="2" t="s">
        <v>185</v>
      </c>
      <c r="AI159" s="2" t="s">
        <v>535</v>
      </c>
      <c r="AJ159" s="4"/>
      <c r="AL159" s="4"/>
      <c r="AN159" s="4"/>
      <c r="AP159" s="4"/>
      <c r="AQ159" s="4"/>
      <c r="AS159" s="4">
        <v>1</v>
      </c>
      <c r="AT159" s="4">
        <v>2</v>
      </c>
      <c r="AU159" s="4">
        <v>3</v>
      </c>
      <c r="AV159" s="4">
        <v>0</v>
      </c>
      <c r="AW159" s="4">
        <v>1</v>
      </c>
      <c r="AX159" s="4">
        <v>0</v>
      </c>
      <c r="AZ159" s="2" t="s">
        <v>60</v>
      </c>
    </row>
    <row r="160" spans="2:52" x14ac:dyDescent="0.15">
      <c r="B160" s="2" t="s">
        <v>824</v>
      </c>
      <c r="C160" s="2" t="s">
        <v>1127</v>
      </c>
      <c r="D160" s="2" t="s">
        <v>15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15</v>
      </c>
      <c r="H160" s="4" t="str">
        <f>VLOOKUP(G160,corpsSet!$B$5:$C$46,2,0)</f>
        <v>邓艾</v>
      </c>
      <c r="I160" s="4" t="s">
        <v>21</v>
      </c>
      <c r="J160" s="4" t="str">
        <f>VLOOKUP(I160,citySet!$B$5:$C$46,2,0)</f>
        <v>江州</v>
      </c>
      <c r="K160" s="2" t="s">
        <v>1130</v>
      </c>
      <c r="L160" s="2" t="s">
        <v>1131</v>
      </c>
      <c r="N160" s="4"/>
      <c r="O160" s="2" t="s">
        <v>1128</v>
      </c>
      <c r="P160" s="2" t="s">
        <v>1128</v>
      </c>
      <c r="Q160" s="4">
        <v>0</v>
      </c>
      <c r="R160" s="2" t="s">
        <v>370</v>
      </c>
      <c r="S160" s="2" t="s">
        <v>198</v>
      </c>
      <c r="T160" s="2" t="s">
        <v>633</v>
      </c>
      <c r="U160" s="2" t="s">
        <v>658</v>
      </c>
      <c r="V160" s="2" t="s">
        <v>126</v>
      </c>
      <c r="W160" s="4">
        <v>1</v>
      </c>
      <c r="X160" s="2" t="s">
        <v>365</v>
      </c>
      <c r="Y160" s="4">
        <v>2</v>
      </c>
      <c r="Z160" s="4" t="s">
        <v>443</v>
      </c>
      <c r="AA160" s="2" t="s">
        <v>403</v>
      </c>
      <c r="AB160" s="2" t="s">
        <v>153</v>
      </c>
      <c r="AC160" s="2" t="s">
        <v>367</v>
      </c>
      <c r="AD160" s="4">
        <v>66</v>
      </c>
      <c r="AE160" s="2" t="s">
        <v>257</v>
      </c>
      <c r="AF160" s="2" t="s">
        <v>432</v>
      </c>
      <c r="AG160" s="2" t="s">
        <v>265</v>
      </c>
      <c r="AH160" s="2" t="s">
        <v>185</v>
      </c>
      <c r="AI160" s="2" t="s">
        <v>545</v>
      </c>
      <c r="AJ160" s="4" t="s">
        <v>436</v>
      </c>
      <c r="AK160" s="2" t="s">
        <v>1129</v>
      </c>
      <c r="AL160" s="4"/>
      <c r="AN160" s="4"/>
      <c r="AP160" s="4"/>
      <c r="AQ160" s="4"/>
      <c r="AS160" s="4">
        <v>0</v>
      </c>
      <c r="AT160" s="4">
        <v>1</v>
      </c>
      <c r="AU160" s="4">
        <v>0</v>
      </c>
      <c r="AV160" s="4">
        <v>1</v>
      </c>
      <c r="AW160" s="4">
        <v>2</v>
      </c>
      <c r="AX160" s="4">
        <v>0</v>
      </c>
      <c r="AZ160" s="2" t="s">
        <v>60</v>
      </c>
    </row>
    <row r="161" spans="2:52" x14ac:dyDescent="0.15">
      <c r="B161" s="2" t="s">
        <v>476</v>
      </c>
      <c r="C161" s="2" t="s">
        <v>1132</v>
      </c>
      <c r="D161" s="2" t="s">
        <v>20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20</v>
      </c>
      <c r="H161" s="4" t="str">
        <f>VLOOKUP(G161,corpsSet!$B$5:$C$46,2,0)</f>
        <v>公孙瓒</v>
      </c>
      <c r="I161" s="4" t="s">
        <v>35</v>
      </c>
      <c r="J161" s="4" t="str">
        <f>VLOOKUP(I161,citySet!$B$5:$C$46,2,0)</f>
        <v>北平</v>
      </c>
      <c r="K161" s="2" t="s">
        <v>1126</v>
      </c>
      <c r="L161" s="2" t="s">
        <v>1134</v>
      </c>
      <c r="N161" s="4"/>
      <c r="O161" s="2" t="s">
        <v>1133</v>
      </c>
      <c r="P161" s="2" t="s">
        <v>1133</v>
      </c>
      <c r="Q161" s="4">
        <v>0</v>
      </c>
      <c r="R161" s="2" t="s">
        <v>370</v>
      </c>
      <c r="S161" s="2" t="s">
        <v>435</v>
      </c>
      <c r="T161" s="2" t="s">
        <v>478</v>
      </c>
      <c r="U161" s="2" t="s">
        <v>585</v>
      </c>
      <c r="V161" s="2" t="s">
        <v>444</v>
      </c>
      <c r="W161" s="4">
        <v>1</v>
      </c>
      <c r="X161" s="2" t="s">
        <v>365</v>
      </c>
      <c r="Y161" s="4">
        <v>1</v>
      </c>
      <c r="Z161" s="4" t="s">
        <v>1243</v>
      </c>
      <c r="AA161" s="2" t="s">
        <v>403</v>
      </c>
      <c r="AB161" s="2" t="s">
        <v>321</v>
      </c>
      <c r="AC161" s="2" t="s">
        <v>515</v>
      </c>
      <c r="AD161" s="4">
        <v>40</v>
      </c>
      <c r="AE161" s="2" t="s">
        <v>7</v>
      </c>
      <c r="AF161" s="2" t="s">
        <v>14</v>
      </c>
      <c r="AG161" s="2" t="s">
        <v>650</v>
      </c>
      <c r="AH161" s="2" t="s">
        <v>185</v>
      </c>
      <c r="AI161" s="2" t="s">
        <v>824</v>
      </c>
      <c r="AJ161" s="4"/>
      <c r="AL161" s="4"/>
      <c r="AN161" s="4"/>
      <c r="AP161" s="4"/>
      <c r="AQ161" s="4"/>
      <c r="AS161" s="4">
        <v>0</v>
      </c>
      <c r="AT161" s="4">
        <v>1</v>
      </c>
      <c r="AU161" s="4">
        <v>0</v>
      </c>
      <c r="AV161" s="4">
        <v>2</v>
      </c>
      <c r="AW161" s="4">
        <v>1</v>
      </c>
      <c r="AX161" s="4">
        <v>0</v>
      </c>
      <c r="AZ161" s="2" t="s">
        <v>60</v>
      </c>
    </row>
    <row r="162" spans="2:52" x14ac:dyDescent="0.15">
      <c r="B162" s="2" t="s">
        <v>545</v>
      </c>
      <c r="C162" s="2" t="s">
        <v>1135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193</v>
      </c>
      <c r="J162" s="4" t="str">
        <f>VLOOKUP(I162,citySet!$B$5:$C$46,2,0)</f>
        <v>吴</v>
      </c>
      <c r="K162" s="2" t="s">
        <v>1126</v>
      </c>
      <c r="L162" s="2" t="s">
        <v>1137</v>
      </c>
      <c r="M162" s="2" t="s">
        <v>1138</v>
      </c>
      <c r="N162" s="4"/>
      <c r="O162" s="2" t="s">
        <v>620</v>
      </c>
      <c r="P162" s="2" t="s">
        <v>620</v>
      </c>
      <c r="Q162" s="4">
        <v>0</v>
      </c>
      <c r="R162" s="2" t="s">
        <v>370</v>
      </c>
      <c r="S162" s="2" t="s">
        <v>438</v>
      </c>
      <c r="T162" s="2" t="s">
        <v>477</v>
      </c>
      <c r="U162" s="2" t="s">
        <v>786</v>
      </c>
      <c r="V162" s="2" t="s">
        <v>557</v>
      </c>
      <c r="W162" s="4">
        <v>2</v>
      </c>
      <c r="X162" s="2" t="s">
        <v>2983</v>
      </c>
      <c r="Y162" s="4">
        <v>0</v>
      </c>
      <c r="Z162" s="4" t="s">
        <v>39</v>
      </c>
      <c r="AA162" s="2" t="s">
        <v>60</v>
      </c>
      <c r="AB162" s="2" t="s">
        <v>41</v>
      </c>
      <c r="AC162" s="2" t="s">
        <v>35</v>
      </c>
      <c r="AD162" s="4">
        <v>70</v>
      </c>
      <c r="AE162" s="2" t="s">
        <v>391</v>
      </c>
      <c r="AF162" s="2" t="s">
        <v>374</v>
      </c>
      <c r="AG162" s="2" t="s">
        <v>1136</v>
      </c>
      <c r="AH162" s="2" t="s">
        <v>185</v>
      </c>
      <c r="AI162" s="2" t="s">
        <v>476</v>
      </c>
      <c r="AJ162" s="4"/>
      <c r="AL162" s="4"/>
      <c r="AN162" s="4"/>
      <c r="AP162" s="4"/>
      <c r="AQ162" s="4"/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Z162" s="2" t="s">
        <v>60</v>
      </c>
    </row>
    <row r="163" spans="2:52" x14ac:dyDescent="0.15">
      <c r="B163" s="2" t="s">
        <v>436</v>
      </c>
      <c r="C163" s="2" t="s">
        <v>1129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37</v>
      </c>
      <c r="J163" s="4" t="str">
        <f>VLOOKUP(I163,citySet!$B$5:$C$46,2,0)</f>
        <v>南皮</v>
      </c>
      <c r="K163" s="2" t="s">
        <v>1130</v>
      </c>
      <c r="L163" s="2" t="s">
        <v>1140</v>
      </c>
      <c r="M163" s="2" t="s">
        <v>1141</v>
      </c>
      <c r="N163" s="4"/>
      <c r="O163" s="2" t="s">
        <v>1139</v>
      </c>
      <c r="P163" s="2" t="s">
        <v>1139</v>
      </c>
      <c r="Q163" s="4">
        <v>0</v>
      </c>
      <c r="R163" s="2" t="s">
        <v>370</v>
      </c>
      <c r="S163" s="2" t="s">
        <v>372</v>
      </c>
      <c r="T163" s="2" t="s">
        <v>518</v>
      </c>
      <c r="U163" s="2" t="s">
        <v>717</v>
      </c>
      <c r="V163" s="2" t="s">
        <v>119</v>
      </c>
      <c r="W163" s="4">
        <v>2</v>
      </c>
      <c r="X163" s="2" t="s">
        <v>2983</v>
      </c>
      <c r="Y163" s="4">
        <v>0</v>
      </c>
      <c r="Z163" s="4" t="s">
        <v>39</v>
      </c>
      <c r="AA163" s="2" t="s">
        <v>60</v>
      </c>
      <c r="AB163" s="2" t="s">
        <v>374</v>
      </c>
      <c r="AC163" s="2" t="s">
        <v>454</v>
      </c>
      <c r="AD163" s="4">
        <v>73</v>
      </c>
      <c r="AE163" s="2" t="s">
        <v>481</v>
      </c>
      <c r="AF163" s="2" t="s">
        <v>261</v>
      </c>
      <c r="AG163" s="2" t="s">
        <v>271</v>
      </c>
      <c r="AH163" s="2" t="s">
        <v>185</v>
      </c>
      <c r="AI163" s="2" t="s">
        <v>545</v>
      </c>
      <c r="AJ163" s="4"/>
      <c r="AL163" s="4"/>
      <c r="AN163" s="4"/>
      <c r="AP163" s="4"/>
      <c r="AQ163" s="4"/>
      <c r="AS163" s="4">
        <v>0</v>
      </c>
      <c r="AT163" s="4">
        <v>1</v>
      </c>
      <c r="AU163" s="4">
        <v>1</v>
      </c>
      <c r="AV163" s="4">
        <v>2</v>
      </c>
      <c r="AW163" s="4">
        <v>2</v>
      </c>
      <c r="AX163" s="4">
        <v>0</v>
      </c>
      <c r="AZ163" s="2" t="s">
        <v>60</v>
      </c>
    </row>
    <row r="164" spans="2:52" x14ac:dyDescent="0.15">
      <c r="B164" s="2" t="s">
        <v>933</v>
      </c>
      <c r="C164" s="2" t="s">
        <v>1142</v>
      </c>
      <c r="D164" s="2" t="s">
        <v>25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25</v>
      </c>
      <c r="H164" s="4" t="str">
        <f>VLOOKUP(G164,corpsSet!$B$5:$C$46,2,0)</f>
        <v>张角</v>
      </c>
      <c r="I164" s="4" t="s">
        <v>20</v>
      </c>
      <c r="J164" s="4" t="str">
        <f>VLOOKUP(I164,citySet!$B$5:$C$46,2,0)</f>
        <v>濮阳</v>
      </c>
      <c r="K164" s="2" t="s">
        <v>1126</v>
      </c>
      <c r="L164" s="2" t="s">
        <v>1144</v>
      </c>
      <c r="N164" s="4"/>
      <c r="O164" s="2" t="s">
        <v>1143</v>
      </c>
      <c r="P164" s="2" t="s">
        <v>1143</v>
      </c>
      <c r="Q164" s="4">
        <v>0</v>
      </c>
      <c r="R164" s="2" t="s">
        <v>370</v>
      </c>
      <c r="S164" s="2" t="s">
        <v>435</v>
      </c>
      <c r="T164" s="2" t="s">
        <v>634</v>
      </c>
      <c r="U164" s="2" t="s">
        <v>393</v>
      </c>
      <c r="V164" s="2" t="s">
        <v>34</v>
      </c>
      <c r="W164" s="4">
        <v>1</v>
      </c>
      <c r="X164" s="2" t="s">
        <v>365</v>
      </c>
      <c r="Y164" s="4">
        <v>0</v>
      </c>
      <c r="Z164" s="4" t="s">
        <v>39</v>
      </c>
      <c r="AA164" s="2" t="s">
        <v>195</v>
      </c>
      <c r="AB164" s="2" t="s">
        <v>4</v>
      </c>
      <c r="AC164" s="2" t="s">
        <v>254</v>
      </c>
      <c r="AD164" s="4">
        <v>39</v>
      </c>
      <c r="AE164" s="2" t="s">
        <v>15</v>
      </c>
      <c r="AF164" s="2" t="s">
        <v>20</v>
      </c>
      <c r="AG164" s="2" t="s">
        <v>585</v>
      </c>
      <c r="AH164" s="2" t="s">
        <v>185</v>
      </c>
      <c r="AI164" s="2" t="s">
        <v>436</v>
      </c>
      <c r="AJ164" s="4"/>
      <c r="AL164" s="4"/>
      <c r="AN164" s="4"/>
      <c r="AP164" s="4"/>
      <c r="AQ164" s="4"/>
      <c r="AS164" s="4">
        <v>1</v>
      </c>
      <c r="AT164" s="4">
        <v>1</v>
      </c>
      <c r="AU164" s="4">
        <v>0</v>
      </c>
      <c r="AV164" s="4">
        <v>0</v>
      </c>
      <c r="AW164" s="4">
        <v>0</v>
      </c>
      <c r="AX164" s="4">
        <v>0</v>
      </c>
      <c r="AZ164" s="2" t="s">
        <v>60</v>
      </c>
    </row>
    <row r="165" spans="2:52" x14ac:dyDescent="0.15">
      <c r="B165" s="2" t="s">
        <v>759</v>
      </c>
      <c r="C165" s="2" t="s">
        <v>1145</v>
      </c>
      <c r="D165" s="2" t="s">
        <v>189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189</v>
      </c>
      <c r="H165" s="4" t="str">
        <f>VLOOKUP(G165,corpsSet!$B$5:$C$46,2,0)</f>
        <v>严白虎</v>
      </c>
      <c r="I165" s="4" t="s">
        <v>193</v>
      </c>
      <c r="J165" s="4" t="str">
        <f>VLOOKUP(I165,citySet!$B$5:$C$46,2,0)</f>
        <v>吴</v>
      </c>
      <c r="K165" s="2" t="s">
        <v>1126</v>
      </c>
      <c r="L165" s="2" t="s">
        <v>1147</v>
      </c>
      <c r="N165" s="4"/>
      <c r="O165" s="2" t="s">
        <v>627</v>
      </c>
      <c r="P165" s="2" t="s">
        <v>627</v>
      </c>
      <c r="Q165" s="4">
        <v>0</v>
      </c>
      <c r="R165" s="2" t="s">
        <v>370</v>
      </c>
      <c r="S165" s="2" t="s">
        <v>435</v>
      </c>
      <c r="T165" s="2" t="s">
        <v>904</v>
      </c>
      <c r="U165" s="2" t="s">
        <v>327</v>
      </c>
      <c r="V165" s="2" t="s">
        <v>32</v>
      </c>
      <c r="W165" s="4">
        <v>3</v>
      </c>
      <c r="X165" s="2" t="s">
        <v>2</v>
      </c>
      <c r="Y165" s="4">
        <v>0</v>
      </c>
      <c r="Z165" s="4" t="s">
        <v>39</v>
      </c>
      <c r="AA165" s="2" t="s">
        <v>185</v>
      </c>
      <c r="AB165" s="2" t="s">
        <v>445</v>
      </c>
      <c r="AC165" s="2" t="s">
        <v>153</v>
      </c>
      <c r="AD165" s="4">
        <v>23</v>
      </c>
      <c r="AE165" s="2" t="s">
        <v>107</v>
      </c>
      <c r="AF165" s="2" t="s">
        <v>237</v>
      </c>
      <c r="AG165" s="2" t="s">
        <v>512</v>
      </c>
      <c r="AH165" s="2" t="s">
        <v>185</v>
      </c>
      <c r="AI165" s="2" t="s">
        <v>933</v>
      </c>
      <c r="AJ165" s="4"/>
      <c r="AK165" s="2" t="s">
        <v>1146</v>
      </c>
      <c r="AL165" s="4"/>
      <c r="AN165" s="4"/>
      <c r="AP165" s="4"/>
      <c r="AQ165" s="4"/>
      <c r="AS165" s="4">
        <v>1</v>
      </c>
      <c r="AT165" s="4">
        <v>2</v>
      </c>
      <c r="AU165" s="4">
        <v>0</v>
      </c>
      <c r="AV165" s="4">
        <v>0</v>
      </c>
      <c r="AW165" s="4">
        <v>0</v>
      </c>
      <c r="AX165" s="4">
        <v>1</v>
      </c>
      <c r="AZ165" s="2" t="s">
        <v>60</v>
      </c>
    </row>
    <row r="166" spans="2:52" x14ac:dyDescent="0.15">
      <c r="B166" s="2" t="s">
        <v>394</v>
      </c>
      <c r="C166" s="2" t="s">
        <v>1148</v>
      </c>
      <c r="D166" s="2" t="s">
        <v>189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189</v>
      </c>
      <c r="H166" s="4" t="str">
        <f>VLOOKUP(G166,corpsSet!$B$5:$C$46,2,0)</f>
        <v>严白虎</v>
      </c>
      <c r="I166" s="4" t="s">
        <v>193</v>
      </c>
      <c r="J166" s="4" t="str">
        <f>VLOOKUP(I166,citySet!$B$5:$C$46,2,0)</f>
        <v>吴</v>
      </c>
      <c r="K166" s="2" t="s">
        <v>1126</v>
      </c>
      <c r="L166" s="2" t="s">
        <v>1151</v>
      </c>
      <c r="N166" s="4"/>
      <c r="O166" s="2" t="s">
        <v>1149</v>
      </c>
      <c r="P166" s="2" t="s">
        <v>1149</v>
      </c>
      <c r="Q166" s="4">
        <v>0</v>
      </c>
      <c r="R166" s="2" t="s">
        <v>370</v>
      </c>
      <c r="S166" s="2" t="s">
        <v>435</v>
      </c>
      <c r="T166" s="2" t="s">
        <v>415</v>
      </c>
      <c r="U166" s="2" t="s">
        <v>327</v>
      </c>
      <c r="V166" s="2" t="s">
        <v>32</v>
      </c>
      <c r="W166" s="4">
        <v>1</v>
      </c>
      <c r="X166" s="2" t="s">
        <v>365</v>
      </c>
      <c r="Y166" s="4">
        <v>4</v>
      </c>
      <c r="Z166" s="4" t="s">
        <v>1091</v>
      </c>
      <c r="AA166" s="2" t="s">
        <v>134</v>
      </c>
      <c r="AB166" s="2" t="s">
        <v>269</v>
      </c>
      <c r="AC166" s="2" t="s">
        <v>431</v>
      </c>
      <c r="AD166" s="4">
        <v>44</v>
      </c>
      <c r="AE166" s="2" t="s">
        <v>106</v>
      </c>
      <c r="AF166" s="2" t="s">
        <v>208</v>
      </c>
      <c r="AG166" s="2" t="s">
        <v>991</v>
      </c>
      <c r="AH166" s="2" t="s">
        <v>185</v>
      </c>
      <c r="AI166" s="2" t="s">
        <v>933</v>
      </c>
      <c r="AJ166" s="4"/>
      <c r="AK166" s="2" t="s">
        <v>1146</v>
      </c>
      <c r="AL166" s="4"/>
      <c r="AN166" s="4"/>
      <c r="AP166" s="4"/>
      <c r="AQ166" s="4"/>
      <c r="AS166" s="4">
        <v>2</v>
      </c>
      <c r="AT166" s="4">
        <v>2</v>
      </c>
      <c r="AU166" s="4">
        <v>1</v>
      </c>
      <c r="AV166" s="4">
        <v>0</v>
      </c>
      <c r="AW166" s="4">
        <v>0</v>
      </c>
      <c r="AX166" s="4">
        <v>1</v>
      </c>
      <c r="AZ166" s="2" t="s">
        <v>60</v>
      </c>
    </row>
    <row r="167" spans="2:52" x14ac:dyDescent="0.15">
      <c r="B167" s="2" t="s">
        <v>478</v>
      </c>
      <c r="C167" s="2" t="s">
        <v>1152</v>
      </c>
      <c r="D167" s="2" t="s">
        <v>33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33</v>
      </c>
      <c r="H167" s="4" t="str">
        <f>VLOOKUP(G167,corpsSet!$B$5:$C$46,2,0)</f>
        <v>刘焉</v>
      </c>
      <c r="I167" s="4" t="s">
        <v>126</v>
      </c>
      <c r="J167" s="4" t="str">
        <f>VLOOKUP(I167,citySet!$B$5:$C$46,2,0)</f>
        <v>成都</v>
      </c>
      <c r="K167" s="2" t="s">
        <v>187</v>
      </c>
      <c r="L167" s="2" t="s">
        <v>1153</v>
      </c>
      <c r="M167" s="2" t="s">
        <v>1098</v>
      </c>
      <c r="N167" s="4"/>
      <c r="O167" s="2" t="s">
        <v>256</v>
      </c>
      <c r="P167" s="2" t="s">
        <v>256</v>
      </c>
      <c r="Q167" s="4">
        <v>0</v>
      </c>
      <c r="R167" s="2" t="s">
        <v>370</v>
      </c>
      <c r="S167" s="2" t="s">
        <v>578</v>
      </c>
      <c r="T167" s="2" t="s">
        <v>499</v>
      </c>
      <c r="U167" s="2" t="s">
        <v>626</v>
      </c>
      <c r="V167" s="2" t="s">
        <v>454</v>
      </c>
      <c r="W167" s="4">
        <v>1</v>
      </c>
      <c r="X167" s="2" t="s">
        <v>365</v>
      </c>
      <c r="Y167" s="4">
        <v>2</v>
      </c>
      <c r="Z167" s="4" t="s">
        <v>443</v>
      </c>
      <c r="AA167" s="2" t="s">
        <v>403</v>
      </c>
      <c r="AB167" s="2" t="s">
        <v>397</v>
      </c>
      <c r="AC167" s="2" t="s">
        <v>261</v>
      </c>
      <c r="AD167" s="4">
        <v>68</v>
      </c>
      <c r="AE167" s="2" t="s">
        <v>153</v>
      </c>
      <c r="AF167" s="2" t="s">
        <v>422</v>
      </c>
      <c r="AG167" s="2" t="s">
        <v>677</v>
      </c>
      <c r="AH167" s="2" t="s">
        <v>185</v>
      </c>
      <c r="AI167" s="2" t="s">
        <v>394</v>
      </c>
      <c r="AJ167" s="4"/>
      <c r="AL167" s="4"/>
      <c r="AN167" s="4"/>
      <c r="AP167" s="4"/>
      <c r="AQ167" s="4"/>
      <c r="AS167" s="4">
        <v>2</v>
      </c>
      <c r="AT167" s="4">
        <v>1</v>
      </c>
      <c r="AU167" s="4">
        <v>3</v>
      </c>
      <c r="AV167" s="4">
        <v>1</v>
      </c>
      <c r="AW167" s="4">
        <v>1</v>
      </c>
      <c r="AX167" s="4">
        <v>0</v>
      </c>
      <c r="AZ167" s="2" t="s">
        <v>60</v>
      </c>
    </row>
    <row r="168" spans="2:52" x14ac:dyDescent="0.15">
      <c r="B168" s="2" t="s">
        <v>957</v>
      </c>
      <c r="C168" s="2" t="s">
        <v>1154</v>
      </c>
      <c r="D168" s="2" t="s">
        <v>31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31</v>
      </c>
      <c r="H168" s="4" t="str">
        <f>VLOOKUP(G168,corpsSet!$B$5:$C$46,2,0)</f>
        <v>孙坚</v>
      </c>
      <c r="I168" s="4" t="s">
        <v>204</v>
      </c>
      <c r="J168" s="4" t="str">
        <f>VLOOKUP(I168,citySet!$B$5:$C$46,2,0)</f>
        <v>柴桑</v>
      </c>
      <c r="K168" s="2" t="s">
        <v>1155</v>
      </c>
      <c r="L168" s="2" t="s">
        <v>1156</v>
      </c>
      <c r="M168" s="2" t="s">
        <v>1157</v>
      </c>
      <c r="N168" s="4"/>
      <c r="O168" s="2" t="s">
        <v>105</v>
      </c>
      <c r="P168" s="2" t="s">
        <v>105</v>
      </c>
      <c r="Q168" s="4">
        <v>0</v>
      </c>
      <c r="R168" s="2" t="s">
        <v>370</v>
      </c>
      <c r="S168" s="2" t="s">
        <v>435</v>
      </c>
      <c r="T168" s="2" t="s">
        <v>535</v>
      </c>
      <c r="U168" s="2" t="s">
        <v>379</v>
      </c>
      <c r="V168" s="2" t="s">
        <v>369</v>
      </c>
      <c r="W168" s="4">
        <v>1</v>
      </c>
      <c r="X168" s="2" t="s">
        <v>365</v>
      </c>
      <c r="Y168" s="4">
        <v>2</v>
      </c>
      <c r="Z168" s="4" t="s">
        <v>443</v>
      </c>
      <c r="AA168" s="2" t="s">
        <v>134</v>
      </c>
      <c r="AB168" s="2" t="s">
        <v>88</v>
      </c>
      <c r="AC168" s="2" t="s">
        <v>397</v>
      </c>
      <c r="AD168" s="4">
        <v>65</v>
      </c>
      <c r="AE168" s="2" t="s">
        <v>257</v>
      </c>
      <c r="AF168" s="2" t="s">
        <v>235</v>
      </c>
      <c r="AG168" s="2" t="s">
        <v>767</v>
      </c>
      <c r="AH168" s="2" t="s">
        <v>185</v>
      </c>
      <c r="AI168" s="2" t="s">
        <v>478</v>
      </c>
      <c r="AJ168" s="4"/>
      <c r="AL168" s="4"/>
      <c r="AN168" s="4"/>
      <c r="AP168" s="4"/>
      <c r="AQ168" s="4"/>
      <c r="AS168" s="4">
        <v>1</v>
      </c>
      <c r="AT168" s="4">
        <v>2</v>
      </c>
      <c r="AU168" s="4">
        <v>3</v>
      </c>
      <c r="AV168" s="4">
        <v>0</v>
      </c>
      <c r="AW168" s="4">
        <v>1</v>
      </c>
      <c r="AX168" s="4">
        <v>3</v>
      </c>
      <c r="AZ168" s="2" t="s">
        <v>60</v>
      </c>
    </row>
    <row r="169" spans="2:52" x14ac:dyDescent="0.15">
      <c r="B169" s="2" t="s">
        <v>499</v>
      </c>
      <c r="C169" s="2" t="s">
        <v>3090</v>
      </c>
      <c r="D169" s="2" t="s">
        <v>30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30</v>
      </c>
      <c r="H169" s="4" t="str">
        <f>VLOOKUP(G169,corpsSet!$B$5:$C$46,2,0)</f>
        <v>袁绍</v>
      </c>
      <c r="I169" s="4" t="s">
        <v>37</v>
      </c>
      <c r="J169" s="4" t="str">
        <f>VLOOKUP(I169,citySet!$B$5:$C$46,2,0)</f>
        <v>南皮</v>
      </c>
      <c r="K169" s="2" t="s">
        <v>383</v>
      </c>
      <c r="L169" s="2" t="s">
        <v>1160</v>
      </c>
      <c r="M169" s="2" t="s">
        <v>1161</v>
      </c>
      <c r="N169" s="4"/>
      <c r="O169" s="2" t="s">
        <v>1158</v>
      </c>
      <c r="P169" s="2" t="s">
        <v>1158</v>
      </c>
      <c r="Q169" s="4">
        <v>0</v>
      </c>
      <c r="R169" s="2" t="s">
        <v>370</v>
      </c>
      <c r="S169" s="2" t="s">
        <v>544</v>
      </c>
      <c r="T169" s="2" t="s">
        <v>518</v>
      </c>
      <c r="U169" s="2" t="s">
        <v>326</v>
      </c>
      <c r="V169" s="2" t="s">
        <v>390</v>
      </c>
      <c r="W169" s="4">
        <v>1</v>
      </c>
      <c r="X169" s="2" t="s">
        <v>365</v>
      </c>
      <c r="Y169" s="4">
        <v>0</v>
      </c>
      <c r="Z169" s="4" t="s">
        <v>39</v>
      </c>
      <c r="AA169" s="2" t="s">
        <v>185</v>
      </c>
      <c r="AB169" s="2" t="s">
        <v>367</v>
      </c>
      <c r="AC169" s="2" t="s">
        <v>201</v>
      </c>
      <c r="AD169" s="4">
        <v>48</v>
      </c>
      <c r="AE169" s="2" t="s">
        <v>486</v>
      </c>
      <c r="AF169" s="2" t="s">
        <v>404</v>
      </c>
      <c r="AG169" s="2" t="s">
        <v>392</v>
      </c>
      <c r="AH169" s="2" t="s">
        <v>185</v>
      </c>
      <c r="AI169" s="2" t="s">
        <v>957</v>
      </c>
      <c r="AJ169" s="4"/>
      <c r="AK169" s="2" t="s">
        <v>1159</v>
      </c>
      <c r="AL169" s="4"/>
      <c r="AN169" s="4"/>
      <c r="AP169" s="4"/>
      <c r="AQ169" s="4"/>
      <c r="AS169" s="4">
        <v>0</v>
      </c>
      <c r="AT169" s="4">
        <v>2</v>
      </c>
      <c r="AU169" s="4">
        <v>2</v>
      </c>
      <c r="AV169" s="4">
        <v>0</v>
      </c>
      <c r="AW169" s="4">
        <v>1</v>
      </c>
      <c r="AX169" s="4">
        <v>0</v>
      </c>
      <c r="AZ169" s="2" t="s">
        <v>60</v>
      </c>
    </row>
    <row r="170" spans="2:52" x14ac:dyDescent="0.15">
      <c r="B170" s="2" t="s">
        <v>673</v>
      </c>
      <c r="C170" s="2" t="s">
        <v>1162</v>
      </c>
      <c r="D170" s="2" t="s">
        <v>35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35</v>
      </c>
      <c r="H170" s="4" t="str">
        <f>VLOOKUP(G170,corpsSet!$B$5:$C$46,2,0)</f>
        <v>刘备</v>
      </c>
      <c r="I170" s="4" t="s">
        <v>213</v>
      </c>
      <c r="J170" s="4" t="str">
        <f>VLOOKUP(I170,citySet!$B$5:$C$46,2,0)</f>
        <v>江陵</v>
      </c>
      <c r="K170" s="2" t="s">
        <v>1155</v>
      </c>
      <c r="L170" s="2" t="s">
        <v>1167</v>
      </c>
      <c r="N170" s="4"/>
      <c r="O170" s="2" t="s">
        <v>1163</v>
      </c>
      <c r="P170" s="2" t="s">
        <v>1163</v>
      </c>
      <c r="Q170" s="4">
        <v>1</v>
      </c>
      <c r="R170" s="2" t="s">
        <v>577</v>
      </c>
      <c r="S170" s="2" t="s">
        <v>406</v>
      </c>
      <c r="T170" s="2" t="s">
        <v>707</v>
      </c>
      <c r="U170" s="2" t="s">
        <v>887</v>
      </c>
      <c r="V170" s="2" t="s">
        <v>481</v>
      </c>
      <c r="W170" s="4">
        <v>1</v>
      </c>
      <c r="X170" s="2" t="s">
        <v>365</v>
      </c>
      <c r="Y170" s="4">
        <v>0</v>
      </c>
      <c r="Z170" s="4" t="s">
        <v>39</v>
      </c>
      <c r="AA170" s="2" t="s">
        <v>185</v>
      </c>
      <c r="AB170" s="2" t="s">
        <v>7</v>
      </c>
      <c r="AC170" s="2" t="s">
        <v>213</v>
      </c>
      <c r="AD170" s="4">
        <v>88</v>
      </c>
      <c r="AE170" s="2" t="s">
        <v>837</v>
      </c>
      <c r="AF170" s="2" t="s">
        <v>88</v>
      </c>
      <c r="AG170" s="2" t="s">
        <v>520</v>
      </c>
      <c r="AH170" s="2" t="s">
        <v>185</v>
      </c>
      <c r="AI170" s="2" t="s">
        <v>1164</v>
      </c>
      <c r="AJ170" s="4" t="s">
        <v>1077</v>
      </c>
      <c r="AK170" s="2" t="s">
        <v>1165</v>
      </c>
      <c r="AL170" s="4"/>
      <c r="AN170" s="4">
        <v>29</v>
      </c>
      <c r="AO170" s="2" t="s">
        <v>16</v>
      </c>
      <c r="AP170" s="4"/>
      <c r="AQ170" s="4"/>
      <c r="AS170" s="4">
        <v>0</v>
      </c>
      <c r="AT170" s="4">
        <v>0</v>
      </c>
      <c r="AU170" s="4">
        <v>3</v>
      </c>
      <c r="AV170" s="4">
        <v>0</v>
      </c>
      <c r="AW170" s="4">
        <v>3</v>
      </c>
      <c r="AX170" s="4">
        <v>2</v>
      </c>
      <c r="AZ170" s="2" t="s">
        <v>60</v>
      </c>
    </row>
    <row r="171" spans="2:52" x14ac:dyDescent="0.15">
      <c r="B171" s="2" t="s">
        <v>779</v>
      </c>
      <c r="C171" s="2" t="s">
        <v>1168</v>
      </c>
      <c r="D171" s="2" t="s">
        <v>33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33</v>
      </c>
      <c r="H171" s="4" t="str">
        <f>VLOOKUP(G171,corpsSet!$B$5:$C$46,2,0)</f>
        <v>刘焉</v>
      </c>
      <c r="I171" s="4" t="s">
        <v>126</v>
      </c>
      <c r="J171" s="4" t="str">
        <f>VLOOKUP(I171,citySet!$B$5:$C$46,2,0)</f>
        <v>成都</v>
      </c>
      <c r="K171" s="2" t="s">
        <v>1155</v>
      </c>
      <c r="L171" s="2" t="s">
        <v>1169</v>
      </c>
      <c r="M171" s="2" t="s">
        <v>1170</v>
      </c>
      <c r="N171" s="4"/>
      <c r="O171" s="2" t="s">
        <v>824</v>
      </c>
      <c r="P171" s="2" t="s">
        <v>824</v>
      </c>
      <c r="Q171" s="4">
        <v>0</v>
      </c>
      <c r="R171" s="2" t="s">
        <v>370</v>
      </c>
      <c r="S171" s="2" t="s">
        <v>707</v>
      </c>
      <c r="T171" s="2" t="s">
        <v>779</v>
      </c>
      <c r="U171" s="2" t="s">
        <v>977</v>
      </c>
      <c r="V171" s="2" t="s">
        <v>201</v>
      </c>
      <c r="W171" s="4">
        <v>1</v>
      </c>
      <c r="X171" s="2" t="s">
        <v>365</v>
      </c>
      <c r="Y171" s="4">
        <v>8</v>
      </c>
      <c r="Z171" s="4" t="s">
        <v>3079</v>
      </c>
      <c r="AA171" s="2" t="s">
        <v>185</v>
      </c>
      <c r="AB171" s="2" t="s">
        <v>481</v>
      </c>
      <c r="AC171" s="2" t="s">
        <v>486</v>
      </c>
      <c r="AD171" s="4">
        <v>82</v>
      </c>
      <c r="AE171" s="2" t="s">
        <v>88</v>
      </c>
      <c r="AF171" s="2" t="s">
        <v>431</v>
      </c>
      <c r="AG171" s="2" t="s">
        <v>767</v>
      </c>
      <c r="AH171" s="2" t="s">
        <v>185</v>
      </c>
      <c r="AI171" s="2" t="s">
        <v>673</v>
      </c>
      <c r="AJ171" s="4"/>
      <c r="AL171" s="4"/>
      <c r="AN171" s="4"/>
      <c r="AP171" s="4"/>
      <c r="AQ171" s="4"/>
      <c r="AS171" s="4">
        <v>1</v>
      </c>
      <c r="AT171" s="4">
        <v>1</v>
      </c>
      <c r="AU171" s="4">
        <v>2</v>
      </c>
      <c r="AV171" s="4">
        <v>0</v>
      </c>
      <c r="AW171" s="4">
        <v>0</v>
      </c>
      <c r="AX171" s="4">
        <v>2</v>
      </c>
      <c r="AZ171" s="2" t="s">
        <v>60</v>
      </c>
    </row>
    <row r="172" spans="2:52" x14ac:dyDescent="0.15">
      <c r="B172" s="2" t="s">
        <v>518</v>
      </c>
      <c r="C172" s="2" t="s">
        <v>1171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126</v>
      </c>
      <c r="J172" s="4" t="str">
        <f>VLOOKUP(I172,citySet!$B$5:$C$46,2,0)</f>
        <v>成都</v>
      </c>
      <c r="K172" s="2" t="s">
        <v>1155</v>
      </c>
      <c r="L172" s="2" t="s">
        <v>1173</v>
      </c>
      <c r="N172" s="4"/>
      <c r="O172" s="2" t="s">
        <v>1014</v>
      </c>
      <c r="P172" s="2" t="s">
        <v>1014</v>
      </c>
      <c r="Q172" s="4">
        <v>0</v>
      </c>
      <c r="R172" s="2" t="s">
        <v>370</v>
      </c>
      <c r="S172" s="2" t="s">
        <v>453</v>
      </c>
      <c r="T172" s="2" t="s">
        <v>395</v>
      </c>
      <c r="U172" s="2" t="s">
        <v>919</v>
      </c>
      <c r="V172" s="2" t="s">
        <v>4</v>
      </c>
      <c r="W172" s="4">
        <v>2</v>
      </c>
      <c r="X172" s="2" t="s">
        <v>2983</v>
      </c>
      <c r="Y172" s="4">
        <v>0</v>
      </c>
      <c r="Z172" s="4" t="s">
        <v>39</v>
      </c>
      <c r="AA172" s="2" t="s">
        <v>60</v>
      </c>
      <c r="AB172" s="2" t="s">
        <v>27</v>
      </c>
      <c r="AC172" s="2" t="s">
        <v>27</v>
      </c>
      <c r="AD172" s="4">
        <v>30</v>
      </c>
      <c r="AE172" s="2" t="s">
        <v>32</v>
      </c>
      <c r="AF172" s="2" t="s">
        <v>27</v>
      </c>
      <c r="AG172" s="2" t="s">
        <v>99</v>
      </c>
      <c r="AH172" s="2" t="s">
        <v>185</v>
      </c>
      <c r="AI172" s="2" t="s">
        <v>779</v>
      </c>
      <c r="AJ172" s="4"/>
      <c r="AL172" s="4"/>
      <c r="AN172" s="4"/>
      <c r="AP172" s="4"/>
      <c r="AQ172" s="4"/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Z172" s="2" t="s">
        <v>60</v>
      </c>
    </row>
    <row r="173" spans="2:52" x14ac:dyDescent="0.15">
      <c r="B173" s="2" t="s">
        <v>477</v>
      </c>
      <c r="C173" s="2" t="s">
        <v>1174</v>
      </c>
      <c r="D173" s="2" t="s">
        <v>30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30</v>
      </c>
      <c r="H173" s="4" t="str">
        <f>VLOOKUP(G173,corpsSet!$B$5:$C$46,2,0)</f>
        <v>袁绍</v>
      </c>
      <c r="I173" s="4" t="s">
        <v>37</v>
      </c>
      <c r="J173" s="4" t="str">
        <f>VLOOKUP(I173,citySet!$B$5:$C$46,2,0)</f>
        <v>南皮</v>
      </c>
      <c r="K173" s="2" t="s">
        <v>383</v>
      </c>
      <c r="L173" s="2" t="s">
        <v>522</v>
      </c>
      <c r="M173" s="2" t="s">
        <v>1176</v>
      </c>
      <c r="N173" s="4"/>
      <c r="O173" s="2" t="s">
        <v>1175</v>
      </c>
      <c r="P173" s="2" t="s">
        <v>1175</v>
      </c>
      <c r="Q173" s="4">
        <v>0</v>
      </c>
      <c r="R173" s="2" t="s">
        <v>370</v>
      </c>
      <c r="S173" s="2" t="s">
        <v>467</v>
      </c>
      <c r="T173" s="2" t="s">
        <v>1001</v>
      </c>
      <c r="U173" s="2" t="s">
        <v>919</v>
      </c>
      <c r="V173" s="2" t="s">
        <v>390</v>
      </c>
      <c r="W173" s="4">
        <v>1</v>
      </c>
      <c r="X173" s="2" t="s">
        <v>365</v>
      </c>
      <c r="Y173" s="4">
        <v>0</v>
      </c>
      <c r="Z173" s="4" t="s">
        <v>39</v>
      </c>
      <c r="AA173" s="2" t="s">
        <v>403</v>
      </c>
      <c r="AB173" s="2" t="s">
        <v>432</v>
      </c>
      <c r="AC173" s="2" t="s">
        <v>99</v>
      </c>
      <c r="AD173" s="4">
        <v>71</v>
      </c>
      <c r="AE173" s="2" t="s">
        <v>88</v>
      </c>
      <c r="AF173" s="2" t="s">
        <v>367</v>
      </c>
      <c r="AG173" s="2" t="s">
        <v>620</v>
      </c>
      <c r="AH173" s="2" t="s">
        <v>185</v>
      </c>
      <c r="AI173" s="2" t="s">
        <v>957</v>
      </c>
      <c r="AJ173" s="4"/>
      <c r="AK173" s="2" t="s">
        <v>1159</v>
      </c>
      <c r="AL173" s="4"/>
      <c r="AN173" s="4"/>
      <c r="AP173" s="4"/>
      <c r="AQ173" s="4"/>
      <c r="AS173" s="4">
        <v>0</v>
      </c>
      <c r="AT173" s="4">
        <v>1</v>
      </c>
      <c r="AU173" s="4">
        <v>1</v>
      </c>
      <c r="AV173" s="4">
        <v>0</v>
      </c>
      <c r="AW173" s="4">
        <v>1</v>
      </c>
      <c r="AX173" s="4">
        <v>0</v>
      </c>
      <c r="AZ173" s="2" t="s">
        <v>60</v>
      </c>
    </row>
    <row r="174" spans="2:52" x14ac:dyDescent="0.15">
      <c r="B174" s="2" t="s">
        <v>555</v>
      </c>
      <c r="C174" s="2" t="s">
        <v>1177</v>
      </c>
      <c r="D174" s="2" t="s">
        <v>24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24</v>
      </c>
      <c r="H174" s="4" t="str">
        <f>VLOOKUP(G174,corpsSet!$B$5:$C$46,2,0)</f>
        <v>吕布</v>
      </c>
      <c r="I174" s="4" t="s">
        <v>29</v>
      </c>
      <c r="J174" s="4" t="str">
        <f>VLOOKUP(I174,citySet!$B$5:$C$46,2,0)</f>
        <v>下邳</v>
      </c>
      <c r="K174" s="2" t="s">
        <v>383</v>
      </c>
      <c r="L174" s="2" t="s">
        <v>1179</v>
      </c>
      <c r="N174" s="4"/>
      <c r="O174" s="2" t="s">
        <v>659</v>
      </c>
      <c r="P174" s="2" t="s">
        <v>659</v>
      </c>
      <c r="Q174" s="4">
        <v>0</v>
      </c>
      <c r="R174" s="2" t="s">
        <v>370</v>
      </c>
      <c r="S174" s="2" t="s">
        <v>707</v>
      </c>
      <c r="T174" s="2" t="s">
        <v>394</v>
      </c>
      <c r="U174" s="2" t="s">
        <v>94</v>
      </c>
      <c r="V174" s="2" t="s">
        <v>888</v>
      </c>
      <c r="W174" s="4">
        <v>1</v>
      </c>
      <c r="X174" s="2" t="s">
        <v>365</v>
      </c>
      <c r="Y174" s="4">
        <v>3</v>
      </c>
      <c r="Z174" s="4" t="s">
        <v>696</v>
      </c>
      <c r="AA174" s="2" t="s">
        <v>185</v>
      </c>
      <c r="AB174" s="2" t="s">
        <v>256</v>
      </c>
      <c r="AC174" s="2" t="s">
        <v>258</v>
      </c>
      <c r="AD174" s="4">
        <v>55</v>
      </c>
      <c r="AE174" s="2" t="s">
        <v>102</v>
      </c>
      <c r="AF174" s="2" t="s">
        <v>454</v>
      </c>
      <c r="AG174" s="2" t="s">
        <v>1178</v>
      </c>
      <c r="AH174" s="2" t="s">
        <v>185</v>
      </c>
      <c r="AI174" s="2" t="s">
        <v>477</v>
      </c>
      <c r="AJ174" s="4"/>
      <c r="AL174" s="4"/>
      <c r="AN174" s="4"/>
      <c r="AP174" s="4"/>
      <c r="AQ174" s="4"/>
      <c r="AS174" s="4">
        <v>2</v>
      </c>
      <c r="AT174" s="4">
        <v>1</v>
      </c>
      <c r="AU174" s="4">
        <v>0</v>
      </c>
      <c r="AV174" s="4">
        <v>3</v>
      </c>
      <c r="AW174" s="4">
        <v>3</v>
      </c>
      <c r="AX174" s="4">
        <v>0</v>
      </c>
      <c r="AZ174" s="2" t="s">
        <v>60</v>
      </c>
    </row>
    <row r="175" spans="2:52" x14ac:dyDescent="0.15">
      <c r="B175" s="2" t="s">
        <v>579</v>
      </c>
      <c r="C175" s="2" t="s">
        <v>1180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207</v>
      </c>
      <c r="J175" s="4" t="str">
        <f>VLOOKUP(I175,citySet!$B$5:$C$46,2,0)</f>
        <v>梓潼</v>
      </c>
      <c r="K175" s="2" t="s">
        <v>383</v>
      </c>
      <c r="L175" s="2" t="s">
        <v>1182</v>
      </c>
      <c r="N175" s="4"/>
      <c r="O175" s="2" t="s">
        <v>944</v>
      </c>
      <c r="P175" s="2" t="s">
        <v>944</v>
      </c>
      <c r="Q175" s="4">
        <v>0</v>
      </c>
      <c r="R175" s="2" t="s">
        <v>370</v>
      </c>
      <c r="S175" s="2" t="s">
        <v>961</v>
      </c>
      <c r="T175" s="2" t="s">
        <v>407</v>
      </c>
      <c r="U175" s="2" t="s">
        <v>542</v>
      </c>
      <c r="V175" s="2" t="s">
        <v>454</v>
      </c>
      <c r="W175" s="4">
        <v>2</v>
      </c>
      <c r="X175" s="2" t="s">
        <v>2983</v>
      </c>
      <c r="Y175" s="4">
        <v>0</v>
      </c>
      <c r="Z175" s="4" t="s">
        <v>39</v>
      </c>
      <c r="AA175" s="2" t="s">
        <v>60</v>
      </c>
      <c r="AB175" s="2" t="s">
        <v>321</v>
      </c>
      <c r="AC175" s="2" t="s">
        <v>321</v>
      </c>
      <c r="AD175" s="4">
        <v>52</v>
      </c>
      <c r="AE175" s="2" t="s">
        <v>100</v>
      </c>
      <c r="AF175" s="2" t="s">
        <v>254</v>
      </c>
      <c r="AG175" s="2" t="s">
        <v>1181</v>
      </c>
      <c r="AH175" s="2" t="s">
        <v>185</v>
      </c>
      <c r="AI175" s="2" t="s">
        <v>555</v>
      </c>
      <c r="AJ175" s="4"/>
      <c r="AL175" s="4"/>
      <c r="AN175" s="4"/>
      <c r="AP175" s="4"/>
      <c r="AQ175" s="4"/>
      <c r="AS175" s="4">
        <v>0</v>
      </c>
      <c r="AT175" s="4">
        <v>0</v>
      </c>
      <c r="AU175" s="4">
        <v>1</v>
      </c>
      <c r="AV175" s="4">
        <v>1</v>
      </c>
      <c r="AW175" s="4">
        <v>0</v>
      </c>
      <c r="AX175" s="4">
        <v>0</v>
      </c>
      <c r="AZ175" s="2" t="s">
        <v>60</v>
      </c>
    </row>
    <row r="176" spans="2:52" x14ac:dyDescent="0.15">
      <c r="B176" s="2" t="s">
        <v>712</v>
      </c>
      <c r="C176" s="2" t="s">
        <v>3091</v>
      </c>
      <c r="D176" s="2" t="s">
        <v>25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25</v>
      </c>
      <c r="H176" s="4" t="str">
        <f>VLOOKUP(G176,corpsSet!$B$5:$C$46,2,0)</f>
        <v>张角</v>
      </c>
      <c r="I176" s="4" t="s">
        <v>20</v>
      </c>
      <c r="J176" s="4" t="str">
        <f>VLOOKUP(I176,citySet!$B$5:$C$46,2,0)</f>
        <v>濮阳</v>
      </c>
      <c r="K176" s="2" t="s">
        <v>383</v>
      </c>
      <c r="L176" s="2" t="s">
        <v>1183</v>
      </c>
      <c r="N176" s="4"/>
      <c r="O176" s="2" t="s">
        <v>244</v>
      </c>
      <c r="P176" s="2" t="s">
        <v>244</v>
      </c>
      <c r="Q176" s="4">
        <v>0</v>
      </c>
      <c r="R176" s="2" t="s">
        <v>370</v>
      </c>
      <c r="S176" s="2" t="s">
        <v>435</v>
      </c>
      <c r="T176" s="2" t="s">
        <v>415</v>
      </c>
      <c r="U176" s="2" t="s">
        <v>435</v>
      </c>
      <c r="V176" s="2" t="s">
        <v>34</v>
      </c>
      <c r="W176" s="4">
        <v>1</v>
      </c>
      <c r="X176" s="2" t="s">
        <v>365</v>
      </c>
      <c r="Y176" s="4">
        <v>0</v>
      </c>
      <c r="Z176" s="4" t="s">
        <v>39</v>
      </c>
      <c r="AA176" s="2" t="s">
        <v>185</v>
      </c>
      <c r="AB176" s="2" t="s">
        <v>445</v>
      </c>
      <c r="AC176" s="2" t="s">
        <v>261</v>
      </c>
      <c r="AD176" s="4">
        <v>41</v>
      </c>
      <c r="AE176" s="2" t="s">
        <v>107</v>
      </c>
      <c r="AF176" s="2" t="s">
        <v>204</v>
      </c>
      <c r="AG176" s="2" t="s">
        <v>806</v>
      </c>
      <c r="AH176" s="2" t="s">
        <v>185</v>
      </c>
      <c r="AI176" s="2" t="s">
        <v>579</v>
      </c>
      <c r="AJ176" s="4"/>
      <c r="AL176" s="4"/>
      <c r="AN176" s="4"/>
      <c r="AP176" s="4"/>
      <c r="AQ176" s="4"/>
      <c r="AS176" s="4">
        <v>2</v>
      </c>
      <c r="AT176" s="4">
        <v>0</v>
      </c>
      <c r="AU176" s="4">
        <v>0</v>
      </c>
      <c r="AV176" s="4">
        <v>1</v>
      </c>
      <c r="AW176" s="4">
        <v>0</v>
      </c>
      <c r="AX176" s="4">
        <v>0</v>
      </c>
      <c r="AZ176" s="2" t="s">
        <v>60</v>
      </c>
    </row>
    <row r="177" spans="2:52" x14ac:dyDescent="0.15">
      <c r="B177" s="2" t="s">
        <v>549</v>
      </c>
      <c r="C177" s="2" t="s">
        <v>1184</v>
      </c>
      <c r="D177" s="2" t="s">
        <v>33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33</v>
      </c>
      <c r="H177" s="4" t="str">
        <f>VLOOKUP(G177,corpsSet!$B$5:$C$46,2,0)</f>
        <v>刘焉</v>
      </c>
      <c r="I177" s="4" t="s">
        <v>126</v>
      </c>
      <c r="J177" s="4" t="str">
        <f>VLOOKUP(I177,citySet!$B$5:$C$46,2,0)</f>
        <v>成都</v>
      </c>
      <c r="K177" s="2" t="s">
        <v>1155</v>
      </c>
      <c r="L177" s="2" t="s">
        <v>1186</v>
      </c>
      <c r="N177" s="4"/>
      <c r="O177" s="2" t="s">
        <v>1185</v>
      </c>
      <c r="P177" s="2" t="s">
        <v>1185</v>
      </c>
      <c r="Q177" s="4">
        <v>0</v>
      </c>
      <c r="R177" s="2" t="s">
        <v>370</v>
      </c>
      <c r="S177" s="2" t="s">
        <v>512</v>
      </c>
      <c r="T177" s="2" t="s">
        <v>406</v>
      </c>
      <c r="U177" s="2" t="s">
        <v>919</v>
      </c>
      <c r="V177" s="2" t="s">
        <v>201</v>
      </c>
      <c r="W177" s="4">
        <v>1</v>
      </c>
      <c r="X177" s="2" t="s">
        <v>365</v>
      </c>
      <c r="Y177" s="4">
        <v>0</v>
      </c>
      <c r="Z177" s="4" t="s">
        <v>39</v>
      </c>
      <c r="AA177" s="2" t="s">
        <v>403</v>
      </c>
      <c r="AB177" s="2" t="s">
        <v>445</v>
      </c>
      <c r="AC177" s="2" t="s">
        <v>382</v>
      </c>
      <c r="AD177" s="4">
        <v>72</v>
      </c>
      <c r="AE177" s="2" t="s">
        <v>454</v>
      </c>
      <c r="AF177" s="2" t="s">
        <v>423</v>
      </c>
      <c r="AG177" s="2" t="s">
        <v>701</v>
      </c>
      <c r="AH177" s="2" t="s">
        <v>185</v>
      </c>
      <c r="AI177" s="2" t="s">
        <v>673</v>
      </c>
      <c r="AJ177" s="4" t="s">
        <v>779</v>
      </c>
      <c r="AK177" s="2" t="s">
        <v>1168</v>
      </c>
      <c r="AL177" s="4"/>
      <c r="AN177" s="4"/>
      <c r="AP177" s="4"/>
      <c r="AQ177" s="4"/>
      <c r="AS177" s="4">
        <v>0</v>
      </c>
      <c r="AT177" s="4">
        <v>1</v>
      </c>
      <c r="AU177" s="4">
        <v>2</v>
      </c>
      <c r="AV177" s="4">
        <v>0</v>
      </c>
      <c r="AW177" s="4">
        <v>1</v>
      </c>
      <c r="AX177" s="4">
        <v>1</v>
      </c>
      <c r="AZ177" s="2" t="s">
        <v>60</v>
      </c>
    </row>
    <row r="178" spans="2:52" x14ac:dyDescent="0.15">
      <c r="B178" s="2" t="s">
        <v>1001</v>
      </c>
      <c r="C178" s="2" t="s">
        <v>1187</v>
      </c>
      <c r="D178" s="2" t="s">
        <v>24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24</v>
      </c>
      <c r="H178" s="4" t="str">
        <f>VLOOKUP(G178,corpsSet!$B$5:$C$46,2,0)</f>
        <v>吕布</v>
      </c>
      <c r="I178" s="4" t="s">
        <v>29</v>
      </c>
      <c r="J178" s="4" t="str">
        <f>VLOOKUP(I178,citySet!$B$5:$C$46,2,0)</f>
        <v>下邳</v>
      </c>
      <c r="K178" s="2" t="s">
        <v>1189</v>
      </c>
      <c r="L178" s="2" t="s">
        <v>1190</v>
      </c>
      <c r="N178" s="4"/>
      <c r="O178" s="2" t="s">
        <v>1188</v>
      </c>
      <c r="P178" s="2" t="s">
        <v>1188</v>
      </c>
      <c r="Q178" s="4">
        <v>0</v>
      </c>
      <c r="R178" s="2" t="s">
        <v>370</v>
      </c>
      <c r="S178" s="2" t="s">
        <v>435</v>
      </c>
      <c r="T178" s="2" t="s">
        <v>545</v>
      </c>
      <c r="U178" s="2" t="s">
        <v>479</v>
      </c>
      <c r="V178" s="2" t="s">
        <v>719</v>
      </c>
      <c r="W178" s="4">
        <v>1</v>
      </c>
      <c r="X178" s="2" t="s">
        <v>365</v>
      </c>
      <c r="Y178" s="4">
        <v>2</v>
      </c>
      <c r="Z178" s="4" t="s">
        <v>443</v>
      </c>
      <c r="AA178" s="2" t="s">
        <v>413</v>
      </c>
      <c r="AB178" s="2" t="s">
        <v>367</v>
      </c>
      <c r="AC178" s="2" t="s">
        <v>481</v>
      </c>
      <c r="AD178" s="4">
        <v>63</v>
      </c>
      <c r="AE178" s="2" t="s">
        <v>201</v>
      </c>
      <c r="AF178" s="2" t="s">
        <v>93</v>
      </c>
      <c r="AG178" s="2" t="s">
        <v>1188</v>
      </c>
      <c r="AH178" s="2" t="s">
        <v>185</v>
      </c>
      <c r="AI178" s="2" t="s">
        <v>549</v>
      </c>
      <c r="AJ178" s="4"/>
      <c r="AL178" s="4"/>
      <c r="AN178" s="4"/>
      <c r="AP178" s="4"/>
      <c r="AQ178" s="4"/>
      <c r="AS178" s="4">
        <v>1</v>
      </c>
      <c r="AT178" s="4">
        <v>1</v>
      </c>
      <c r="AU178" s="4">
        <v>1</v>
      </c>
      <c r="AV178" s="4">
        <v>2</v>
      </c>
      <c r="AW178" s="4">
        <v>0</v>
      </c>
      <c r="AX178" s="4">
        <v>0</v>
      </c>
      <c r="AZ178" s="2" t="s">
        <v>60</v>
      </c>
    </row>
    <row r="179" spans="2:52" x14ac:dyDescent="0.15">
      <c r="B179" s="2" t="s">
        <v>97</v>
      </c>
      <c r="C179" s="2" t="s">
        <v>1191</v>
      </c>
      <c r="D179" s="2" t="s">
        <v>107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107</v>
      </c>
      <c r="H179" s="4" t="str">
        <f>VLOOKUP(G179,corpsSet!$B$5:$C$46,2,0)</f>
        <v>韩遂</v>
      </c>
      <c r="I179" s="4" t="s">
        <v>107</v>
      </c>
      <c r="J179" s="4" t="str">
        <f>VLOOKUP(I179,citySet!$B$5:$C$46,2,0)</f>
        <v>天水</v>
      </c>
      <c r="K179" s="2" t="s">
        <v>1189</v>
      </c>
      <c r="L179" s="2" t="s">
        <v>1194</v>
      </c>
      <c r="N179" s="4"/>
      <c r="O179" s="2" t="s">
        <v>1192</v>
      </c>
      <c r="P179" s="2" t="s">
        <v>1192</v>
      </c>
      <c r="Q179" s="4">
        <v>0</v>
      </c>
      <c r="R179" s="2" t="s">
        <v>370</v>
      </c>
      <c r="S179" s="2" t="s">
        <v>407</v>
      </c>
      <c r="T179" s="2" t="s">
        <v>97</v>
      </c>
      <c r="U179" s="2" t="s">
        <v>667</v>
      </c>
      <c r="V179" s="2" t="s">
        <v>414</v>
      </c>
      <c r="W179" s="4">
        <v>1</v>
      </c>
      <c r="X179" s="2" t="s">
        <v>365</v>
      </c>
      <c r="Y179" s="4">
        <v>6</v>
      </c>
      <c r="Z179" s="4" t="s">
        <v>614</v>
      </c>
      <c r="AA179" s="2" t="s">
        <v>403</v>
      </c>
      <c r="AB179" s="2" t="s">
        <v>382</v>
      </c>
      <c r="AC179" s="2" t="s">
        <v>404</v>
      </c>
      <c r="AD179" s="4">
        <v>34</v>
      </c>
      <c r="AE179" s="2" t="s">
        <v>254</v>
      </c>
      <c r="AF179" s="2" t="s">
        <v>14</v>
      </c>
      <c r="AG179" s="2" t="s">
        <v>418</v>
      </c>
      <c r="AH179" s="2" t="s">
        <v>185</v>
      </c>
      <c r="AI179" s="2" t="s">
        <v>1001</v>
      </c>
      <c r="AJ179" s="4"/>
      <c r="AL179" s="4"/>
      <c r="AN179" s="4"/>
      <c r="AP179" s="4"/>
      <c r="AQ179" s="4"/>
      <c r="AS179" s="4">
        <v>0</v>
      </c>
      <c r="AT179" s="4">
        <v>0</v>
      </c>
      <c r="AU179" s="4">
        <v>0</v>
      </c>
      <c r="AV179" s="4">
        <v>2</v>
      </c>
      <c r="AW179" s="4">
        <v>1</v>
      </c>
      <c r="AX179" s="4">
        <v>0</v>
      </c>
      <c r="AZ179" s="2" t="s">
        <v>60</v>
      </c>
    </row>
    <row r="180" spans="2:52" x14ac:dyDescent="0.15">
      <c r="B180" s="2" t="s">
        <v>504</v>
      </c>
      <c r="C180" s="2" t="s">
        <v>1195</v>
      </c>
      <c r="D180" s="2" t="s">
        <v>34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34</v>
      </c>
      <c r="H180" s="4" t="str">
        <f>VLOOKUP(G180,corpsSet!$B$5:$C$46,2,0)</f>
        <v>刘表</v>
      </c>
      <c r="I180" s="4" t="s">
        <v>119</v>
      </c>
      <c r="J180" s="4" t="str">
        <f>VLOOKUP(I180,citySet!$B$5:$C$46,2,0)</f>
        <v>襄阳</v>
      </c>
      <c r="K180" s="2" t="s">
        <v>1155</v>
      </c>
      <c r="L180" s="2" t="s">
        <v>1197</v>
      </c>
      <c r="N180" s="4"/>
      <c r="O180" s="2" t="s">
        <v>498</v>
      </c>
      <c r="P180" s="2" t="s">
        <v>498</v>
      </c>
      <c r="Q180" s="4">
        <v>0</v>
      </c>
      <c r="R180" s="2" t="s">
        <v>370</v>
      </c>
      <c r="S180" s="2" t="s">
        <v>435</v>
      </c>
      <c r="T180" s="2" t="s">
        <v>616</v>
      </c>
      <c r="U180" s="2" t="s">
        <v>406</v>
      </c>
      <c r="V180" s="2" t="s">
        <v>101</v>
      </c>
      <c r="W180" s="4">
        <v>1</v>
      </c>
      <c r="X180" s="2" t="s">
        <v>365</v>
      </c>
      <c r="Y180" s="4">
        <v>3</v>
      </c>
      <c r="Z180" s="4" t="s">
        <v>696</v>
      </c>
      <c r="AA180" s="2" t="s">
        <v>185</v>
      </c>
      <c r="AB180" s="2" t="s">
        <v>367</v>
      </c>
      <c r="AC180" s="2" t="s">
        <v>404</v>
      </c>
      <c r="AD180" s="4">
        <v>53</v>
      </c>
      <c r="AE180" s="2" t="s">
        <v>207</v>
      </c>
      <c r="AF180" s="2" t="s">
        <v>5</v>
      </c>
      <c r="AG180" s="2" t="s">
        <v>919</v>
      </c>
      <c r="AH180" s="2" t="s">
        <v>185</v>
      </c>
      <c r="AI180" s="2" t="s">
        <v>97</v>
      </c>
      <c r="AJ180" s="4"/>
      <c r="AL180" s="4"/>
      <c r="AN180" s="4"/>
      <c r="AP180" s="4"/>
      <c r="AQ180" s="4"/>
      <c r="AS180" s="4">
        <v>1</v>
      </c>
      <c r="AT180" s="4">
        <v>1</v>
      </c>
      <c r="AU180" s="4">
        <v>2</v>
      </c>
      <c r="AV180" s="4">
        <v>0</v>
      </c>
      <c r="AW180" s="4">
        <v>1</v>
      </c>
      <c r="AX180" s="4">
        <v>2</v>
      </c>
      <c r="AZ180" s="2" t="s">
        <v>60</v>
      </c>
    </row>
    <row r="181" spans="2:52" x14ac:dyDescent="0.15">
      <c r="B181" s="2" t="s">
        <v>565</v>
      </c>
      <c r="C181" s="2" t="s">
        <v>1198</v>
      </c>
      <c r="D181" s="2" t="s">
        <v>20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20</v>
      </c>
      <c r="H181" s="4" t="str">
        <f>VLOOKUP(G181,corpsSet!$B$5:$C$46,2,0)</f>
        <v>公孙瓒</v>
      </c>
      <c r="I181" s="4" t="s">
        <v>35</v>
      </c>
      <c r="J181" s="4" t="str">
        <f>VLOOKUP(I181,citySet!$B$5:$C$46,2,0)</f>
        <v>北平</v>
      </c>
      <c r="K181" s="2" t="s">
        <v>1202</v>
      </c>
      <c r="L181" s="2" t="s">
        <v>743</v>
      </c>
      <c r="N181" s="4"/>
      <c r="O181" s="2" t="s">
        <v>1199</v>
      </c>
      <c r="P181" s="2" t="s">
        <v>1199</v>
      </c>
      <c r="Q181" s="4">
        <v>0</v>
      </c>
      <c r="R181" s="2" t="s">
        <v>370</v>
      </c>
      <c r="S181" s="2" t="s">
        <v>435</v>
      </c>
      <c r="T181" s="2" t="s">
        <v>933</v>
      </c>
      <c r="U181" s="2" t="s">
        <v>585</v>
      </c>
      <c r="V181" s="2" t="s">
        <v>257</v>
      </c>
      <c r="W181" s="4">
        <v>1</v>
      </c>
      <c r="X181" s="2" t="s">
        <v>365</v>
      </c>
      <c r="Y181" s="4">
        <v>4</v>
      </c>
      <c r="Z181" s="4" t="s">
        <v>1091</v>
      </c>
      <c r="AA181" s="2" t="s">
        <v>134</v>
      </c>
      <c r="AB181" s="2" t="s">
        <v>367</v>
      </c>
      <c r="AC181" s="2" t="s">
        <v>374</v>
      </c>
      <c r="AD181" s="4">
        <v>47</v>
      </c>
      <c r="AE181" s="2" t="s">
        <v>3</v>
      </c>
      <c r="AF181" s="2" t="s">
        <v>445</v>
      </c>
      <c r="AG181" s="2" t="s">
        <v>868</v>
      </c>
      <c r="AH181" s="2" t="s">
        <v>185</v>
      </c>
      <c r="AI181" s="2" t="s">
        <v>96</v>
      </c>
      <c r="AJ181" s="4"/>
      <c r="AK181" s="2" t="s">
        <v>1200</v>
      </c>
      <c r="AL181" s="4"/>
      <c r="AN181" s="4"/>
      <c r="AP181" s="4"/>
      <c r="AQ181" s="4"/>
      <c r="AS181" s="4">
        <v>1</v>
      </c>
      <c r="AT181" s="4">
        <v>0</v>
      </c>
      <c r="AU181" s="4">
        <v>0</v>
      </c>
      <c r="AV181" s="4">
        <v>3</v>
      </c>
      <c r="AW181" s="4">
        <v>1</v>
      </c>
      <c r="AX181" s="4">
        <v>0</v>
      </c>
      <c r="AZ181" s="2" t="s">
        <v>60</v>
      </c>
    </row>
    <row r="182" spans="2:52" x14ac:dyDescent="0.15">
      <c r="B182" s="2" t="s">
        <v>725</v>
      </c>
      <c r="C182" s="2" t="s">
        <v>1203</v>
      </c>
      <c r="D182" s="2" t="s">
        <v>41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41</v>
      </c>
      <c r="H182" s="4" t="str">
        <f>VLOOKUP(G182,corpsSet!$B$5:$C$46,2,0)</f>
        <v>公孙度</v>
      </c>
      <c r="I182" s="4" t="s">
        <v>27</v>
      </c>
      <c r="J182" s="4" t="str">
        <f>VLOOKUP(I182,citySet!$B$5:$C$46,2,0)</f>
        <v>襄平</v>
      </c>
      <c r="K182" s="2" t="s">
        <v>1202</v>
      </c>
      <c r="L182" s="2" t="s">
        <v>847</v>
      </c>
      <c r="M182" s="2" t="s">
        <v>1205</v>
      </c>
      <c r="N182" s="4"/>
      <c r="O182" s="2" t="s">
        <v>258</v>
      </c>
      <c r="P182" s="2" t="s">
        <v>258</v>
      </c>
      <c r="Q182" s="4">
        <v>0</v>
      </c>
      <c r="R182" s="2" t="s">
        <v>370</v>
      </c>
      <c r="S182" s="2" t="s">
        <v>702</v>
      </c>
      <c r="T182" s="2" t="s">
        <v>90</v>
      </c>
      <c r="U182" s="2" t="s">
        <v>843</v>
      </c>
      <c r="V182" s="2" t="s">
        <v>32</v>
      </c>
      <c r="W182" s="4">
        <v>1</v>
      </c>
      <c r="X182" s="2" t="s">
        <v>365</v>
      </c>
      <c r="Y182" s="4">
        <v>3</v>
      </c>
      <c r="Z182" s="4" t="s">
        <v>696</v>
      </c>
      <c r="AA182" s="2" t="s">
        <v>319</v>
      </c>
      <c r="AB182" s="2" t="s">
        <v>257</v>
      </c>
      <c r="AC182" s="2" t="s">
        <v>153</v>
      </c>
      <c r="AD182" s="4">
        <v>56</v>
      </c>
      <c r="AE182" s="2" t="s">
        <v>220</v>
      </c>
      <c r="AF182" s="2" t="s">
        <v>254</v>
      </c>
      <c r="AG182" s="2" t="s">
        <v>597</v>
      </c>
      <c r="AH182" s="2" t="s">
        <v>185</v>
      </c>
      <c r="AI182" s="2" t="s">
        <v>981</v>
      </c>
      <c r="AJ182" s="4">
        <v>18</v>
      </c>
      <c r="AK182" s="2" t="s">
        <v>1204</v>
      </c>
      <c r="AL182" s="4"/>
      <c r="AN182" s="4"/>
      <c r="AP182" s="4"/>
      <c r="AQ182" s="4"/>
      <c r="AS182" s="4">
        <v>1</v>
      </c>
      <c r="AT182" s="4">
        <v>0</v>
      </c>
      <c r="AU182" s="4">
        <v>0</v>
      </c>
      <c r="AV182" s="4">
        <v>1</v>
      </c>
      <c r="AW182" s="4">
        <v>0</v>
      </c>
      <c r="AX182" s="4">
        <v>0</v>
      </c>
      <c r="AZ182" s="2" t="s">
        <v>60</v>
      </c>
    </row>
    <row r="183" spans="2:52" x14ac:dyDescent="0.15">
      <c r="B183" s="2" t="s">
        <v>498</v>
      </c>
      <c r="C183" s="2" t="s">
        <v>1206</v>
      </c>
      <c r="D183" s="2" t="s">
        <v>41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41</v>
      </c>
      <c r="H183" s="4" t="str">
        <f>VLOOKUP(G183,corpsSet!$B$5:$C$46,2,0)</f>
        <v>公孙度</v>
      </c>
      <c r="I183" s="4" t="s">
        <v>27</v>
      </c>
      <c r="J183" s="4" t="str">
        <f>VLOOKUP(I183,citySet!$B$5:$C$46,2,0)</f>
        <v>襄平</v>
      </c>
      <c r="K183" s="2" t="s">
        <v>1202</v>
      </c>
      <c r="L183" s="2" t="s">
        <v>1207</v>
      </c>
      <c r="N183" s="4"/>
      <c r="O183" s="2" t="s">
        <v>601</v>
      </c>
      <c r="P183" s="2" t="s">
        <v>601</v>
      </c>
      <c r="Q183" s="4">
        <v>0</v>
      </c>
      <c r="R183" s="2" t="s">
        <v>370</v>
      </c>
      <c r="S183" s="2" t="s">
        <v>438</v>
      </c>
      <c r="T183" s="2" t="s">
        <v>1001</v>
      </c>
      <c r="U183" s="2" t="s">
        <v>843</v>
      </c>
      <c r="V183" s="2" t="s">
        <v>904</v>
      </c>
      <c r="W183" s="4">
        <v>1</v>
      </c>
      <c r="X183" s="2" t="s">
        <v>365</v>
      </c>
      <c r="Y183" s="4">
        <v>8</v>
      </c>
      <c r="Z183" s="4" t="s">
        <v>3079</v>
      </c>
      <c r="AA183" s="2" t="s">
        <v>134</v>
      </c>
      <c r="AB183" s="2" t="s">
        <v>21</v>
      </c>
      <c r="AC183" s="2" t="s">
        <v>103</v>
      </c>
      <c r="AD183" s="4">
        <v>68</v>
      </c>
      <c r="AE183" s="2" t="s">
        <v>269</v>
      </c>
      <c r="AF183" s="2" t="s">
        <v>98</v>
      </c>
      <c r="AG183" s="2" t="s">
        <v>519</v>
      </c>
      <c r="AH183" s="2" t="s">
        <v>185</v>
      </c>
      <c r="AI183" s="2" t="s">
        <v>981</v>
      </c>
      <c r="AJ183" s="4" t="s">
        <v>426</v>
      </c>
      <c r="AK183" s="2" t="s">
        <v>84</v>
      </c>
      <c r="AL183" s="4"/>
      <c r="AN183" s="4"/>
      <c r="AP183" s="4"/>
      <c r="AQ183" s="4"/>
      <c r="AS183" s="4">
        <v>0</v>
      </c>
      <c r="AT183" s="4">
        <v>0</v>
      </c>
      <c r="AU183" s="4">
        <v>0</v>
      </c>
      <c r="AV183" s="4">
        <v>1</v>
      </c>
      <c r="AW183" s="4">
        <v>0</v>
      </c>
      <c r="AX183" s="4">
        <v>0</v>
      </c>
      <c r="AZ183" s="2" t="s">
        <v>60</v>
      </c>
    </row>
    <row r="184" spans="2:52" x14ac:dyDescent="0.15">
      <c r="B184" s="2" t="s">
        <v>96</v>
      </c>
      <c r="C184" s="2" t="s">
        <v>1204</v>
      </c>
      <c r="D184" s="2" t="s">
        <v>41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41</v>
      </c>
      <c r="H184" s="4" t="str">
        <f>VLOOKUP(G184,corpsSet!$B$5:$C$46,2,0)</f>
        <v>公孙度</v>
      </c>
      <c r="I184" s="4" t="s">
        <v>27</v>
      </c>
      <c r="J184" s="4" t="str">
        <f>VLOOKUP(I184,citySet!$B$5:$C$46,2,0)</f>
        <v>襄平</v>
      </c>
      <c r="K184" s="2" t="s">
        <v>1202</v>
      </c>
      <c r="L184" s="2" t="s">
        <v>1209</v>
      </c>
      <c r="N184" s="4"/>
      <c r="O184" s="2" t="s">
        <v>1208</v>
      </c>
      <c r="P184" s="2" t="s">
        <v>1208</v>
      </c>
      <c r="Q184" s="4">
        <v>0</v>
      </c>
      <c r="R184" s="2" t="s">
        <v>370</v>
      </c>
      <c r="S184" s="2" t="s">
        <v>707</v>
      </c>
      <c r="T184" s="2" t="s">
        <v>712</v>
      </c>
      <c r="U184" s="2" t="s">
        <v>685</v>
      </c>
      <c r="V184" s="2" t="s">
        <v>904</v>
      </c>
      <c r="W184" s="4">
        <v>1</v>
      </c>
      <c r="X184" s="2" t="s">
        <v>365</v>
      </c>
      <c r="Y184" s="4">
        <v>4</v>
      </c>
      <c r="Z184" s="4" t="s">
        <v>1091</v>
      </c>
      <c r="AA184" s="2" t="s">
        <v>134</v>
      </c>
      <c r="AB184" s="2" t="s">
        <v>374</v>
      </c>
      <c r="AC184" s="2" t="s">
        <v>404</v>
      </c>
      <c r="AD184" s="4">
        <v>61</v>
      </c>
      <c r="AE184" s="2" t="s">
        <v>485</v>
      </c>
      <c r="AF184" s="2" t="s">
        <v>201</v>
      </c>
      <c r="AG184" s="2" t="s">
        <v>850</v>
      </c>
      <c r="AH184" s="2" t="s">
        <v>185</v>
      </c>
      <c r="AI184" s="2" t="s">
        <v>981</v>
      </c>
      <c r="AJ184" s="4" t="s">
        <v>426</v>
      </c>
      <c r="AK184" s="2" t="s">
        <v>84</v>
      </c>
      <c r="AL184" s="4"/>
      <c r="AN184" s="4"/>
      <c r="AP184" s="4"/>
      <c r="AQ184" s="4"/>
      <c r="AS184" s="4">
        <v>0</v>
      </c>
      <c r="AT184" s="4">
        <v>0</v>
      </c>
      <c r="AU184" s="4">
        <v>0</v>
      </c>
      <c r="AV184" s="4">
        <v>2</v>
      </c>
      <c r="AW184" s="4">
        <v>0</v>
      </c>
      <c r="AX184" s="4">
        <v>1</v>
      </c>
      <c r="AZ184" s="2" t="s">
        <v>60</v>
      </c>
    </row>
    <row r="185" spans="2:52" x14ac:dyDescent="0.15">
      <c r="B185" s="2" t="s">
        <v>778</v>
      </c>
      <c r="C185" s="2" t="s">
        <v>6</v>
      </c>
      <c r="D185" s="2" t="s">
        <v>20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20</v>
      </c>
      <c r="H185" s="4" t="str">
        <f>VLOOKUP(G185,corpsSet!$B$5:$C$46,2,0)</f>
        <v>公孙瓒</v>
      </c>
      <c r="I185" s="4" t="s">
        <v>35</v>
      </c>
      <c r="J185" s="4" t="str">
        <f>VLOOKUP(I185,citySet!$B$5:$C$46,2,0)</f>
        <v>北平</v>
      </c>
      <c r="K185" s="2" t="s">
        <v>1202</v>
      </c>
      <c r="L185" s="2" t="s">
        <v>1211</v>
      </c>
      <c r="M185" s="2" t="s">
        <v>1212</v>
      </c>
      <c r="N185" s="4"/>
      <c r="O185" s="2" t="s">
        <v>207</v>
      </c>
      <c r="P185" s="2" t="s">
        <v>207</v>
      </c>
      <c r="Q185" s="4">
        <v>0</v>
      </c>
      <c r="R185" s="2" t="s">
        <v>370</v>
      </c>
      <c r="S185" s="2" t="s">
        <v>435</v>
      </c>
      <c r="T185" s="2" t="s">
        <v>674</v>
      </c>
      <c r="U185" s="2" t="s">
        <v>479</v>
      </c>
      <c r="V185" s="2" t="s">
        <v>257</v>
      </c>
      <c r="W185" s="4">
        <v>3</v>
      </c>
      <c r="X185" s="2" t="s">
        <v>2</v>
      </c>
      <c r="Y185" s="4">
        <v>0</v>
      </c>
      <c r="Z185" s="4" t="s">
        <v>39</v>
      </c>
      <c r="AA185" s="2" t="s">
        <v>185</v>
      </c>
      <c r="AB185" s="2" t="s">
        <v>391</v>
      </c>
      <c r="AC185" s="2" t="s">
        <v>397</v>
      </c>
      <c r="AD185" s="4">
        <v>70</v>
      </c>
      <c r="AE185" s="2" t="s">
        <v>102</v>
      </c>
      <c r="AF185" s="2" t="s">
        <v>422</v>
      </c>
      <c r="AG185" s="2" t="s">
        <v>1210</v>
      </c>
      <c r="AH185" s="2" t="s">
        <v>185</v>
      </c>
      <c r="AI185" s="2" t="s">
        <v>96</v>
      </c>
      <c r="AJ185" s="4"/>
      <c r="AK185" s="2" t="s">
        <v>1200</v>
      </c>
      <c r="AL185" s="4"/>
      <c r="AN185" s="4"/>
      <c r="AP185" s="4"/>
      <c r="AQ185" s="4"/>
      <c r="AS185" s="4">
        <v>1</v>
      </c>
      <c r="AT185" s="4">
        <v>0</v>
      </c>
      <c r="AU185" s="4">
        <v>2</v>
      </c>
      <c r="AV185" s="4">
        <v>3</v>
      </c>
      <c r="AW185" s="4">
        <v>1</v>
      </c>
      <c r="AX185" s="4">
        <v>0</v>
      </c>
      <c r="AZ185" s="2" t="s">
        <v>60</v>
      </c>
    </row>
    <row r="186" spans="2:52" x14ac:dyDescent="0.15">
      <c r="B186" s="2" t="s">
        <v>981</v>
      </c>
      <c r="C186" s="2" t="s">
        <v>1213</v>
      </c>
      <c r="D186" s="2" t="s">
        <v>20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20</v>
      </c>
      <c r="H186" s="4" t="str">
        <f>VLOOKUP(G186,corpsSet!$B$5:$C$46,2,0)</f>
        <v>公孙瓒</v>
      </c>
      <c r="I186" s="4" t="s">
        <v>35</v>
      </c>
      <c r="J186" s="4" t="str">
        <f>VLOOKUP(I186,citySet!$B$5:$C$46,2,0)</f>
        <v>北平</v>
      </c>
      <c r="K186" s="2" t="s">
        <v>1202</v>
      </c>
      <c r="L186" s="2" t="s">
        <v>1032</v>
      </c>
      <c r="N186" s="4"/>
      <c r="O186" s="2" t="s">
        <v>1214</v>
      </c>
      <c r="P186" s="2" t="s">
        <v>1214</v>
      </c>
      <c r="Q186" s="4">
        <v>0</v>
      </c>
      <c r="R186" s="2" t="s">
        <v>370</v>
      </c>
      <c r="S186" s="2" t="s">
        <v>372</v>
      </c>
      <c r="T186" s="2" t="s">
        <v>504</v>
      </c>
      <c r="U186" s="2" t="s">
        <v>479</v>
      </c>
      <c r="V186" s="2" t="s">
        <v>257</v>
      </c>
      <c r="W186" s="4">
        <v>1</v>
      </c>
      <c r="X186" s="2" t="s">
        <v>365</v>
      </c>
      <c r="Y186" s="4">
        <v>0</v>
      </c>
      <c r="Z186" s="4" t="s">
        <v>39</v>
      </c>
      <c r="AA186" s="2" t="s">
        <v>134</v>
      </c>
      <c r="AB186" s="2" t="s">
        <v>382</v>
      </c>
      <c r="AC186" s="2" t="s">
        <v>321</v>
      </c>
      <c r="AD186" s="4">
        <v>54</v>
      </c>
      <c r="AE186" s="2" t="s">
        <v>382</v>
      </c>
      <c r="AF186" s="2" t="s">
        <v>404</v>
      </c>
      <c r="AG186" s="2" t="s">
        <v>868</v>
      </c>
      <c r="AH186" s="2" t="s">
        <v>185</v>
      </c>
      <c r="AI186" s="2" t="s">
        <v>96</v>
      </c>
      <c r="AJ186" s="4" t="s">
        <v>778</v>
      </c>
      <c r="AK186" s="2" t="s">
        <v>6</v>
      </c>
      <c r="AL186" s="4"/>
      <c r="AN186" s="4"/>
      <c r="AP186" s="4"/>
      <c r="AQ186" s="4"/>
      <c r="AS186" s="4">
        <v>0</v>
      </c>
      <c r="AT186" s="4">
        <v>0</v>
      </c>
      <c r="AU186" s="4">
        <v>1</v>
      </c>
      <c r="AV186" s="4">
        <v>3</v>
      </c>
      <c r="AW186" s="4">
        <v>1</v>
      </c>
      <c r="AX186" s="4">
        <v>0</v>
      </c>
      <c r="AZ186" s="2" t="s">
        <v>60</v>
      </c>
    </row>
    <row r="187" spans="2:52" x14ac:dyDescent="0.15">
      <c r="B187" s="2" t="s">
        <v>426</v>
      </c>
      <c r="C187" s="2" t="s">
        <v>84</v>
      </c>
      <c r="D187" s="2" t="s">
        <v>41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41</v>
      </c>
      <c r="H187" s="4" t="str">
        <f>VLOOKUP(G187,corpsSet!$B$5:$C$46,2,0)</f>
        <v>公孙度</v>
      </c>
      <c r="I187" s="4" t="s">
        <v>27</v>
      </c>
      <c r="J187" s="4" t="str">
        <f>VLOOKUP(I187,citySet!$B$5:$C$46,2,0)</f>
        <v>襄平</v>
      </c>
      <c r="K187" s="2" t="s">
        <v>1202</v>
      </c>
      <c r="L187" s="2" t="s">
        <v>1215</v>
      </c>
      <c r="M187" s="2" t="s">
        <v>1216</v>
      </c>
      <c r="N187" s="4"/>
      <c r="O187" s="2" t="s">
        <v>491</v>
      </c>
      <c r="P187" s="2" t="s">
        <v>491</v>
      </c>
      <c r="Q187" s="4">
        <v>0</v>
      </c>
      <c r="R187" s="2" t="s">
        <v>370</v>
      </c>
      <c r="S187" s="2" t="s">
        <v>435</v>
      </c>
      <c r="T187" s="2" t="s">
        <v>535</v>
      </c>
      <c r="U187" s="2" t="s">
        <v>380</v>
      </c>
      <c r="V187" s="2" t="s">
        <v>904</v>
      </c>
      <c r="W187" s="4">
        <v>3</v>
      </c>
      <c r="X187" s="2" t="s">
        <v>2</v>
      </c>
      <c r="Y187" s="4">
        <v>0</v>
      </c>
      <c r="Z187" s="4" t="s">
        <v>39</v>
      </c>
      <c r="AA187" s="2" t="s">
        <v>185</v>
      </c>
      <c r="AB187" s="2" t="s">
        <v>445</v>
      </c>
      <c r="AC187" s="2" t="s">
        <v>515</v>
      </c>
      <c r="AD187" s="4">
        <v>63</v>
      </c>
      <c r="AE187" s="2" t="s">
        <v>7</v>
      </c>
      <c r="AF187" s="2" t="s">
        <v>220</v>
      </c>
      <c r="AG187" s="2" t="s">
        <v>1181</v>
      </c>
      <c r="AH187" s="2" t="s">
        <v>185</v>
      </c>
      <c r="AI187" s="2" t="s">
        <v>981</v>
      </c>
      <c r="AJ187" s="4"/>
      <c r="AL187" s="4"/>
      <c r="AN187" s="4"/>
      <c r="AP187" s="4"/>
      <c r="AQ187" s="4"/>
      <c r="AS187" s="4">
        <v>1</v>
      </c>
      <c r="AT187" s="4">
        <v>0</v>
      </c>
      <c r="AU187" s="4">
        <v>0</v>
      </c>
      <c r="AV187" s="4">
        <v>2</v>
      </c>
      <c r="AW187" s="4">
        <v>2</v>
      </c>
      <c r="AX187" s="4">
        <v>1</v>
      </c>
      <c r="AZ187" s="2" t="s">
        <v>60</v>
      </c>
    </row>
    <row r="188" spans="2:52" x14ac:dyDescent="0.15">
      <c r="B188" s="2" t="s">
        <v>435</v>
      </c>
      <c r="C188" s="2" t="s">
        <v>3092</v>
      </c>
      <c r="D188" s="2" t="s">
        <v>20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20</v>
      </c>
      <c r="H188" s="4" t="str">
        <f>VLOOKUP(G188,corpsSet!$B$5:$C$46,2,0)</f>
        <v>公孙瓒</v>
      </c>
      <c r="I188" s="4" t="s">
        <v>35</v>
      </c>
      <c r="J188" s="4" t="str">
        <f>VLOOKUP(I188,citySet!$B$5:$C$46,2,0)</f>
        <v>北平</v>
      </c>
      <c r="K188" s="2" t="s">
        <v>1202</v>
      </c>
      <c r="L188" s="2" t="s">
        <v>905</v>
      </c>
      <c r="N188" s="4"/>
      <c r="O188" s="2" t="s">
        <v>1217</v>
      </c>
      <c r="P188" s="2" t="s">
        <v>1217</v>
      </c>
      <c r="Q188" s="4">
        <v>0</v>
      </c>
      <c r="R188" s="2" t="s">
        <v>370</v>
      </c>
      <c r="S188" s="2" t="s">
        <v>435</v>
      </c>
      <c r="T188" s="2" t="s">
        <v>545</v>
      </c>
      <c r="U188" s="2" t="s">
        <v>479</v>
      </c>
      <c r="V188" s="2" t="s">
        <v>257</v>
      </c>
      <c r="W188" s="4">
        <v>1</v>
      </c>
      <c r="X188" s="2" t="s">
        <v>365</v>
      </c>
      <c r="Y188" s="4">
        <v>0</v>
      </c>
      <c r="Z188" s="4" t="s">
        <v>39</v>
      </c>
      <c r="AA188" s="2" t="s">
        <v>134</v>
      </c>
      <c r="AB188" s="2" t="s">
        <v>261</v>
      </c>
      <c r="AC188" s="2" t="s">
        <v>454</v>
      </c>
      <c r="AD188" s="4">
        <v>64</v>
      </c>
      <c r="AE188" s="2" t="s">
        <v>423</v>
      </c>
      <c r="AF188" s="2" t="s">
        <v>269</v>
      </c>
      <c r="AG188" s="2" t="s">
        <v>1199</v>
      </c>
      <c r="AH188" s="2" t="s">
        <v>185</v>
      </c>
      <c r="AI188" s="2" t="s">
        <v>96</v>
      </c>
      <c r="AJ188" s="4"/>
      <c r="AK188" s="2" t="s">
        <v>1218</v>
      </c>
      <c r="AL188" s="4"/>
      <c r="AN188" s="4"/>
      <c r="AP188" s="4"/>
      <c r="AQ188" s="4"/>
      <c r="AS188" s="4">
        <v>0</v>
      </c>
      <c r="AT188" s="4">
        <v>0</v>
      </c>
      <c r="AU188" s="4">
        <v>1</v>
      </c>
      <c r="AV188" s="4">
        <v>3</v>
      </c>
      <c r="AW188" s="4">
        <v>1</v>
      </c>
      <c r="AX188" s="4">
        <v>0</v>
      </c>
      <c r="AZ188" s="2" t="s">
        <v>60</v>
      </c>
    </row>
    <row r="189" spans="2:52" x14ac:dyDescent="0.15">
      <c r="B189" s="2" t="s">
        <v>578</v>
      </c>
      <c r="C189" s="2" t="s">
        <v>1219</v>
      </c>
      <c r="D189" s="2" t="s">
        <v>3338</v>
      </c>
      <c r="E189" s="4" t="str">
        <f>VLOOKUP(D189,forceSet!$B$5:$D$46,3,0)</f>
        <v>孔胄</v>
      </c>
      <c r="F189" s="4" t="str">
        <f>VLOOKUP(I189,citySet!$B$5:$E$46,4,0)</f>
        <v>孔胄</v>
      </c>
      <c r="G189" s="2" t="s">
        <v>3338</v>
      </c>
      <c r="H189" s="4" t="str">
        <f>VLOOKUP(G189,corpsSet!$B$5:$C$46,2,0)</f>
        <v>孔胄</v>
      </c>
      <c r="I189" s="4" t="s">
        <v>8</v>
      </c>
      <c r="J189" s="4" t="str">
        <f>VLOOKUP(I189,citySet!$B$5:$C$46,2,0)</f>
        <v>汝南</v>
      </c>
      <c r="K189" s="2" t="s">
        <v>1220</v>
      </c>
      <c r="L189" s="2" t="s">
        <v>1221</v>
      </c>
      <c r="M189" s="2" t="s">
        <v>1222</v>
      </c>
      <c r="N189" s="4"/>
      <c r="O189" s="2" t="s">
        <v>432</v>
      </c>
      <c r="P189" s="2" t="s">
        <v>432</v>
      </c>
      <c r="Q189" s="4">
        <v>0</v>
      </c>
      <c r="R189" s="2" t="s">
        <v>370</v>
      </c>
      <c r="S189" s="2" t="s">
        <v>435</v>
      </c>
      <c r="T189" s="2" t="s">
        <v>634</v>
      </c>
      <c r="U189" s="2" t="s">
        <v>407</v>
      </c>
      <c r="V189" s="2" t="s">
        <v>220</v>
      </c>
      <c r="W189" s="4">
        <v>3</v>
      </c>
      <c r="X189" s="2" t="s">
        <v>2</v>
      </c>
      <c r="Y189" s="4">
        <v>0</v>
      </c>
      <c r="Z189" s="4" t="s">
        <v>39</v>
      </c>
      <c r="AA189" s="2" t="s">
        <v>185</v>
      </c>
      <c r="AB189" s="2" t="s">
        <v>200</v>
      </c>
      <c r="AC189" s="2" t="s">
        <v>18</v>
      </c>
      <c r="AD189" s="4">
        <v>68</v>
      </c>
      <c r="AE189" s="2" t="s">
        <v>431</v>
      </c>
      <c r="AF189" s="2" t="s">
        <v>444</v>
      </c>
      <c r="AG189" s="2" t="s">
        <v>542</v>
      </c>
      <c r="AH189" s="2" t="s">
        <v>185</v>
      </c>
      <c r="AI189" s="2" t="s">
        <v>435</v>
      </c>
      <c r="AJ189" s="4"/>
      <c r="AL189" s="4"/>
      <c r="AN189" s="4"/>
      <c r="AP189" s="4"/>
      <c r="AQ189" s="4"/>
      <c r="AS189" s="4">
        <v>0</v>
      </c>
      <c r="AT189" s="4">
        <v>0</v>
      </c>
      <c r="AU189" s="4">
        <v>1</v>
      </c>
      <c r="AV189" s="4">
        <v>0</v>
      </c>
      <c r="AW189" s="4">
        <v>0</v>
      </c>
      <c r="AX189" s="4">
        <v>0</v>
      </c>
      <c r="AZ189" s="2" t="s">
        <v>60</v>
      </c>
    </row>
    <row r="190" spans="2:52" x14ac:dyDescent="0.15">
      <c r="B190" s="2" t="s">
        <v>707</v>
      </c>
      <c r="C190" s="2" t="s">
        <v>1223</v>
      </c>
      <c r="D190" s="2" t="s">
        <v>213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213</v>
      </c>
      <c r="H190" s="4" t="str">
        <f>VLOOKUP(G190,corpsSet!$B$5:$C$46,2,0)</f>
        <v>韩玄</v>
      </c>
      <c r="I190" s="4" t="s">
        <v>5</v>
      </c>
      <c r="J190" s="4" t="str">
        <f>VLOOKUP(I190,citySet!$B$5:$C$46,2,0)</f>
        <v>长沙</v>
      </c>
      <c r="K190" s="2" t="s">
        <v>1155</v>
      </c>
      <c r="L190" s="2" t="s">
        <v>676</v>
      </c>
      <c r="M190" s="2" t="s">
        <v>1226</v>
      </c>
      <c r="N190" s="4"/>
      <c r="O190" s="2" t="s">
        <v>1224</v>
      </c>
      <c r="P190" s="2" t="s">
        <v>1224</v>
      </c>
      <c r="Q190" s="4">
        <v>0</v>
      </c>
      <c r="R190" s="2" t="s">
        <v>370</v>
      </c>
      <c r="S190" s="2" t="s">
        <v>435</v>
      </c>
      <c r="T190" s="2" t="s">
        <v>616</v>
      </c>
      <c r="U190" s="2" t="s">
        <v>512</v>
      </c>
      <c r="V190" s="2" t="s">
        <v>374</v>
      </c>
      <c r="W190" s="4">
        <v>1</v>
      </c>
      <c r="X190" s="2" t="s">
        <v>365</v>
      </c>
      <c r="Y190" s="4">
        <v>4</v>
      </c>
      <c r="Z190" s="4" t="s">
        <v>1091</v>
      </c>
      <c r="AA190" s="2" t="s">
        <v>185</v>
      </c>
      <c r="AB190" s="2" t="s">
        <v>258</v>
      </c>
      <c r="AC190" s="2" t="s">
        <v>130</v>
      </c>
      <c r="AD190" s="4">
        <v>60</v>
      </c>
      <c r="AE190" s="2" t="s">
        <v>14</v>
      </c>
      <c r="AF190" s="2" t="s">
        <v>481</v>
      </c>
      <c r="AG190" s="2" t="s">
        <v>876</v>
      </c>
      <c r="AH190" s="2" t="s">
        <v>185</v>
      </c>
      <c r="AI190" s="2" t="s">
        <v>578</v>
      </c>
      <c r="AJ190" s="4"/>
      <c r="AL190" s="4"/>
      <c r="AN190" s="4"/>
      <c r="AP190" s="4"/>
      <c r="AQ190" s="4"/>
      <c r="AS190" s="4">
        <v>1</v>
      </c>
      <c r="AT190" s="4">
        <v>3</v>
      </c>
      <c r="AU190" s="4">
        <v>3</v>
      </c>
      <c r="AV190" s="4">
        <v>2</v>
      </c>
      <c r="AW190" s="4">
        <v>0</v>
      </c>
      <c r="AX190" s="4">
        <v>0</v>
      </c>
      <c r="AZ190" s="2" t="s">
        <v>60</v>
      </c>
    </row>
    <row r="191" spans="2:52" x14ac:dyDescent="0.15">
      <c r="B191" s="2" t="s">
        <v>544</v>
      </c>
      <c r="C191" s="2" t="s">
        <v>1227</v>
      </c>
      <c r="D191" s="2" t="s">
        <v>204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204</v>
      </c>
      <c r="H191" s="4" t="str">
        <f>VLOOKUP(G191,corpsSet!$B$5:$C$46,2,0)</f>
        <v>雍闿</v>
      </c>
      <c r="I191" s="4" t="s">
        <v>237</v>
      </c>
      <c r="J191" s="4" t="str">
        <f>VLOOKUP(I191,citySet!$B$5:$C$46,2,0)</f>
        <v>建宁</v>
      </c>
      <c r="K191" s="2" t="s">
        <v>383</v>
      </c>
      <c r="L191" s="2" t="s">
        <v>1228</v>
      </c>
      <c r="N191" s="4"/>
      <c r="O191" s="2" t="s">
        <v>265</v>
      </c>
      <c r="P191" s="2" t="s">
        <v>265</v>
      </c>
      <c r="Q191" s="4">
        <v>0</v>
      </c>
      <c r="R191" s="2" t="s">
        <v>370</v>
      </c>
      <c r="S191" s="2" t="s">
        <v>490</v>
      </c>
      <c r="T191" s="2" t="s">
        <v>372</v>
      </c>
      <c r="U191" s="2" t="s">
        <v>215</v>
      </c>
      <c r="V191" s="2" t="s">
        <v>382</v>
      </c>
      <c r="W191" s="4">
        <v>1</v>
      </c>
      <c r="X191" s="2" t="s">
        <v>365</v>
      </c>
      <c r="Y191" s="4">
        <v>3</v>
      </c>
      <c r="Z191" s="4" t="s">
        <v>696</v>
      </c>
      <c r="AA191" s="2" t="s">
        <v>195</v>
      </c>
      <c r="AB191" s="2" t="s">
        <v>254</v>
      </c>
      <c r="AC191" s="2" t="s">
        <v>382</v>
      </c>
      <c r="AD191" s="4">
        <v>43</v>
      </c>
      <c r="AE191" s="2" t="s">
        <v>98</v>
      </c>
      <c r="AF191" s="2" t="s">
        <v>102</v>
      </c>
      <c r="AG191" s="2" t="s">
        <v>732</v>
      </c>
      <c r="AH191" s="2" t="s">
        <v>185</v>
      </c>
      <c r="AI191" s="2" t="s">
        <v>707</v>
      </c>
      <c r="AJ191" s="4"/>
      <c r="AL191" s="4"/>
      <c r="AN191" s="4"/>
      <c r="AP191" s="4"/>
      <c r="AQ191" s="4"/>
      <c r="AS191" s="4">
        <v>1</v>
      </c>
      <c r="AT191" s="4">
        <v>1</v>
      </c>
      <c r="AU191" s="4">
        <v>0</v>
      </c>
      <c r="AV191" s="4">
        <v>0</v>
      </c>
      <c r="AW191" s="4">
        <v>1</v>
      </c>
      <c r="AX191" s="4">
        <v>0</v>
      </c>
      <c r="AZ191" s="2" t="s">
        <v>60</v>
      </c>
    </row>
    <row r="192" spans="2:52" x14ac:dyDescent="0.15">
      <c r="B192" s="2" t="s">
        <v>438</v>
      </c>
      <c r="C192" s="2" t="s">
        <v>1229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41</v>
      </c>
      <c r="J192" s="4" t="str">
        <f>VLOOKUP(I192,citySet!$B$5:$C$46,2,0)</f>
        <v>陈留</v>
      </c>
      <c r="K192" s="2" t="s">
        <v>1231</v>
      </c>
      <c r="L192" s="2" t="s">
        <v>1232</v>
      </c>
      <c r="M192" s="2" t="s">
        <v>1233</v>
      </c>
      <c r="N192" s="4"/>
      <c r="O192" s="2" t="s">
        <v>1230</v>
      </c>
      <c r="P192" s="2" t="s">
        <v>1230</v>
      </c>
      <c r="Q192" s="4">
        <v>0</v>
      </c>
      <c r="R192" s="2" t="s">
        <v>370</v>
      </c>
      <c r="S192" s="2" t="s">
        <v>685</v>
      </c>
      <c r="T192" s="2" t="s">
        <v>372</v>
      </c>
      <c r="U192" s="2" t="s">
        <v>717</v>
      </c>
      <c r="V192" s="2" t="s">
        <v>204</v>
      </c>
      <c r="W192" s="4">
        <v>2</v>
      </c>
      <c r="X192" s="2" t="s">
        <v>2983</v>
      </c>
      <c r="Y192" s="4">
        <v>0</v>
      </c>
      <c r="Z192" s="4" t="s">
        <v>39</v>
      </c>
      <c r="AA192" s="2" t="s">
        <v>60</v>
      </c>
      <c r="AB192" s="2" t="s">
        <v>220</v>
      </c>
      <c r="AC192" s="2" t="s">
        <v>193</v>
      </c>
      <c r="AD192" s="4">
        <v>76</v>
      </c>
      <c r="AE192" s="2" t="s">
        <v>256</v>
      </c>
      <c r="AF192" s="2" t="s">
        <v>153</v>
      </c>
      <c r="AG192" s="2" t="s">
        <v>1042</v>
      </c>
      <c r="AH192" s="2" t="s">
        <v>185</v>
      </c>
      <c r="AI192" s="2" t="s">
        <v>544</v>
      </c>
      <c r="AJ192" s="4"/>
      <c r="AL192" s="4"/>
      <c r="AN192" s="4"/>
      <c r="AP192" s="4"/>
      <c r="AQ192" s="4"/>
      <c r="AS192" s="4">
        <v>0</v>
      </c>
      <c r="AT192" s="4">
        <v>0</v>
      </c>
      <c r="AU192" s="4">
        <v>0</v>
      </c>
      <c r="AV192" s="4">
        <v>0</v>
      </c>
      <c r="AW192" s="4">
        <v>2</v>
      </c>
      <c r="AX192" s="4">
        <v>0</v>
      </c>
      <c r="AZ192" s="2" t="s">
        <v>60</v>
      </c>
    </row>
    <row r="193" spans="2:52" x14ac:dyDescent="0.15">
      <c r="B193" s="2" t="s">
        <v>393</v>
      </c>
      <c r="C193" s="2" t="s">
        <v>1234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207</v>
      </c>
      <c r="J193" s="4" t="str">
        <f>VLOOKUP(I193,citySet!$B$5:$C$46,2,0)</f>
        <v>梓潼</v>
      </c>
      <c r="K193" s="2" t="s">
        <v>383</v>
      </c>
      <c r="L193" s="2" t="s">
        <v>1235</v>
      </c>
      <c r="N193" s="4"/>
      <c r="O193" s="2" t="s">
        <v>701</v>
      </c>
      <c r="P193" s="2" t="s">
        <v>701</v>
      </c>
      <c r="Q193" s="4">
        <v>0</v>
      </c>
      <c r="R193" s="2" t="s">
        <v>370</v>
      </c>
      <c r="S193" s="2" t="s">
        <v>393</v>
      </c>
      <c r="T193" s="2" t="s">
        <v>555</v>
      </c>
      <c r="U193" s="2" t="s">
        <v>689</v>
      </c>
      <c r="V193" s="2" t="s">
        <v>19</v>
      </c>
      <c r="W193" s="4">
        <v>2</v>
      </c>
      <c r="X193" s="2" t="s">
        <v>2983</v>
      </c>
      <c r="Y193" s="4">
        <v>0</v>
      </c>
      <c r="Z193" s="4" t="s">
        <v>39</v>
      </c>
      <c r="AA193" s="2" t="s">
        <v>60</v>
      </c>
      <c r="AB193" s="2" t="s">
        <v>404</v>
      </c>
      <c r="AC193" s="2" t="s">
        <v>269</v>
      </c>
      <c r="AD193" s="4">
        <v>69</v>
      </c>
      <c r="AE193" s="2" t="s">
        <v>432</v>
      </c>
      <c r="AF193" s="2" t="s">
        <v>14</v>
      </c>
      <c r="AG193" s="2" t="s">
        <v>625</v>
      </c>
      <c r="AH193" s="2" t="s">
        <v>185</v>
      </c>
      <c r="AI193" s="2" t="s">
        <v>438</v>
      </c>
      <c r="AJ193" s="4"/>
      <c r="AL193" s="4"/>
      <c r="AN193" s="4"/>
      <c r="AP193" s="4"/>
      <c r="AQ193" s="4"/>
      <c r="AS193" s="4">
        <v>0</v>
      </c>
      <c r="AT193" s="4">
        <v>1</v>
      </c>
      <c r="AU193" s="4">
        <v>2</v>
      </c>
      <c r="AV193" s="4">
        <v>0</v>
      </c>
      <c r="AW193" s="4">
        <v>1</v>
      </c>
      <c r="AX193" s="4">
        <v>0</v>
      </c>
      <c r="AZ193" s="2" t="s">
        <v>60</v>
      </c>
    </row>
    <row r="194" spans="2:52" x14ac:dyDescent="0.15">
      <c r="B194" s="2" t="s">
        <v>372</v>
      </c>
      <c r="C194" s="2" t="s">
        <v>1236</v>
      </c>
      <c r="D194" s="2" t="s">
        <v>208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208</v>
      </c>
      <c r="H194" s="4" t="str">
        <f>VLOOKUP(G194,corpsSet!$B$5:$C$46,2,0)</f>
        <v>何进</v>
      </c>
      <c r="I194" s="4" t="s">
        <v>104</v>
      </c>
      <c r="J194" s="4" t="str">
        <f>VLOOKUP(I194,citySet!$B$5:$C$46,2,0)</f>
        <v>长安</v>
      </c>
      <c r="K194" s="2" t="s">
        <v>1237</v>
      </c>
      <c r="L194" s="2" t="s">
        <v>969</v>
      </c>
      <c r="M194" s="2" t="s">
        <v>1238</v>
      </c>
      <c r="N194" s="4"/>
      <c r="O194" s="2" t="s">
        <v>772</v>
      </c>
      <c r="P194" s="2" t="s">
        <v>772</v>
      </c>
      <c r="Q194" s="4">
        <v>0</v>
      </c>
      <c r="R194" s="2" t="s">
        <v>370</v>
      </c>
      <c r="S194" s="2" t="s">
        <v>435</v>
      </c>
      <c r="T194" s="2" t="s">
        <v>1035</v>
      </c>
      <c r="U194" s="2" t="s">
        <v>83</v>
      </c>
      <c r="V194" s="2" t="s">
        <v>123</v>
      </c>
      <c r="W194" s="4">
        <v>1</v>
      </c>
      <c r="X194" s="2" t="s">
        <v>365</v>
      </c>
      <c r="Y194" s="4">
        <v>3</v>
      </c>
      <c r="Z194" s="4" t="s">
        <v>696</v>
      </c>
      <c r="AA194" s="2" t="s">
        <v>185</v>
      </c>
      <c r="AB194" s="2" t="s">
        <v>837</v>
      </c>
      <c r="AC194" s="2" t="s">
        <v>269</v>
      </c>
      <c r="AD194" s="4">
        <v>73</v>
      </c>
      <c r="AE194" s="2" t="s">
        <v>7</v>
      </c>
      <c r="AF194" s="2" t="s">
        <v>374</v>
      </c>
      <c r="AG194" s="2" t="s">
        <v>511</v>
      </c>
      <c r="AH194" s="2" t="s">
        <v>185</v>
      </c>
      <c r="AI194" s="2" t="s">
        <v>393</v>
      </c>
      <c r="AJ194" s="4"/>
      <c r="AL194" s="4"/>
      <c r="AN194" s="4"/>
      <c r="AP194" s="4"/>
      <c r="AQ194" s="4"/>
      <c r="AS194" s="4">
        <v>3</v>
      </c>
      <c r="AT194" s="4">
        <v>1</v>
      </c>
      <c r="AU194" s="4">
        <v>2</v>
      </c>
      <c r="AV194" s="4">
        <v>0</v>
      </c>
      <c r="AW194" s="4">
        <v>3</v>
      </c>
      <c r="AX194" s="4">
        <v>0</v>
      </c>
      <c r="AZ194" s="2" t="s">
        <v>60</v>
      </c>
    </row>
    <row r="195" spans="2:52" x14ac:dyDescent="0.15">
      <c r="B195" s="2" t="s">
        <v>564</v>
      </c>
      <c r="C195" s="2" t="s">
        <v>1239</v>
      </c>
      <c r="D195" s="2" t="s">
        <v>103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103</v>
      </c>
      <c r="H195" s="4" t="str">
        <f>VLOOKUP(G195,corpsSet!$B$5:$C$46,2,0)</f>
        <v>孔融</v>
      </c>
      <c r="I195" s="4" t="s">
        <v>30</v>
      </c>
      <c r="J195" s="4" t="str">
        <f>VLOOKUP(I195,citySet!$B$5:$C$46,2,0)</f>
        <v>北海</v>
      </c>
      <c r="K195" s="2" t="s">
        <v>1220</v>
      </c>
      <c r="L195" s="2" t="s">
        <v>1240</v>
      </c>
      <c r="M195" s="2" t="s">
        <v>1241</v>
      </c>
      <c r="N195" s="4"/>
      <c r="O195" s="2" t="s">
        <v>485</v>
      </c>
      <c r="P195" s="2" t="s">
        <v>485</v>
      </c>
      <c r="Q195" s="4">
        <v>0</v>
      </c>
      <c r="R195" s="2" t="s">
        <v>370</v>
      </c>
      <c r="S195" s="2" t="s">
        <v>435</v>
      </c>
      <c r="T195" s="2" t="s">
        <v>995</v>
      </c>
      <c r="U195" s="2" t="s">
        <v>406</v>
      </c>
      <c r="V195" s="2" t="s">
        <v>99</v>
      </c>
      <c r="W195" s="4">
        <v>3</v>
      </c>
      <c r="X195" s="2" t="s">
        <v>2</v>
      </c>
      <c r="Y195" s="4">
        <v>0</v>
      </c>
      <c r="Z195" s="4" t="s">
        <v>39</v>
      </c>
      <c r="AA195" s="2" t="s">
        <v>185</v>
      </c>
      <c r="AB195" s="2" t="s">
        <v>119</v>
      </c>
      <c r="AC195" s="2" t="s">
        <v>33</v>
      </c>
      <c r="AD195" s="4">
        <v>72</v>
      </c>
      <c r="AE195" s="2" t="s">
        <v>481</v>
      </c>
      <c r="AF195" s="2" t="s">
        <v>257</v>
      </c>
      <c r="AG195" s="2" t="s">
        <v>861</v>
      </c>
      <c r="AH195" s="2" t="s">
        <v>185</v>
      </c>
      <c r="AI195" s="2" t="s">
        <v>372</v>
      </c>
      <c r="AJ195" s="4"/>
      <c r="AL195" s="4"/>
      <c r="AN195" s="4"/>
      <c r="AP195" s="4"/>
      <c r="AQ195" s="4"/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Z195" s="2" t="s">
        <v>60</v>
      </c>
    </row>
    <row r="196" spans="2:52" x14ac:dyDescent="0.15">
      <c r="B196" s="2" t="s">
        <v>585</v>
      </c>
      <c r="C196" s="2" t="s">
        <v>1242</v>
      </c>
      <c r="D196" s="2" t="s">
        <v>30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30</v>
      </c>
      <c r="H196" s="4" t="str">
        <f>VLOOKUP(G196,corpsSet!$B$5:$C$46,2,0)</f>
        <v>袁绍</v>
      </c>
      <c r="I196" s="4" t="s">
        <v>37</v>
      </c>
      <c r="J196" s="4" t="str">
        <f>VLOOKUP(I196,citySet!$B$5:$C$46,2,0)</f>
        <v>南皮</v>
      </c>
      <c r="K196" s="2" t="s">
        <v>383</v>
      </c>
      <c r="L196" s="2" t="s">
        <v>1244</v>
      </c>
      <c r="N196" s="4"/>
      <c r="O196" s="2" t="s">
        <v>427</v>
      </c>
      <c r="P196" s="2" t="s">
        <v>427</v>
      </c>
      <c r="Q196" s="4">
        <v>0</v>
      </c>
      <c r="R196" s="2" t="s">
        <v>370</v>
      </c>
      <c r="S196" s="2" t="s">
        <v>435</v>
      </c>
      <c r="T196" s="2" t="s">
        <v>436</v>
      </c>
      <c r="U196" s="2" t="s">
        <v>772</v>
      </c>
      <c r="V196" s="2" t="s">
        <v>204</v>
      </c>
      <c r="W196" s="4">
        <v>1</v>
      </c>
      <c r="X196" s="2" t="s">
        <v>365</v>
      </c>
      <c r="Y196" s="4">
        <v>0</v>
      </c>
      <c r="Z196" s="4" t="s">
        <v>39</v>
      </c>
      <c r="AA196" s="2" t="s">
        <v>403</v>
      </c>
      <c r="AB196" s="2" t="s">
        <v>434</v>
      </c>
      <c r="AC196" s="2" t="s">
        <v>554</v>
      </c>
      <c r="AD196" s="4">
        <v>66</v>
      </c>
      <c r="AE196" s="2" t="s">
        <v>254</v>
      </c>
      <c r="AF196" s="2" t="s">
        <v>423</v>
      </c>
      <c r="AG196" s="2" t="s">
        <v>1178</v>
      </c>
      <c r="AH196" s="2" t="s">
        <v>185</v>
      </c>
      <c r="AI196" s="2" t="s">
        <v>564</v>
      </c>
      <c r="AJ196" s="4"/>
      <c r="AL196" s="4"/>
      <c r="AN196" s="4"/>
      <c r="AP196" s="4"/>
      <c r="AQ196" s="4"/>
      <c r="AS196" s="4">
        <v>1</v>
      </c>
      <c r="AT196" s="4">
        <v>0</v>
      </c>
      <c r="AU196" s="4">
        <v>0</v>
      </c>
      <c r="AV196" s="4">
        <v>2</v>
      </c>
      <c r="AW196" s="4">
        <v>0</v>
      </c>
      <c r="AX196" s="4">
        <v>0</v>
      </c>
      <c r="AZ196" s="2" t="s">
        <v>60</v>
      </c>
    </row>
    <row r="197" spans="2:52" x14ac:dyDescent="0.15">
      <c r="B197" s="2" t="s">
        <v>467</v>
      </c>
      <c r="C197" s="2" t="s">
        <v>1245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213</v>
      </c>
      <c r="J197" s="4" t="str">
        <f>VLOOKUP(I197,citySet!$B$5:$C$46,2,0)</f>
        <v>江陵</v>
      </c>
      <c r="K197" s="2" t="s">
        <v>1247</v>
      </c>
      <c r="L197" s="2" t="s">
        <v>1023</v>
      </c>
      <c r="N197" s="4"/>
      <c r="O197" s="2" t="s">
        <v>1246</v>
      </c>
      <c r="P197" s="2" t="s">
        <v>1246</v>
      </c>
      <c r="Q197" s="4">
        <v>0</v>
      </c>
      <c r="R197" s="2" t="s">
        <v>370</v>
      </c>
      <c r="S197" s="2" t="s">
        <v>548</v>
      </c>
      <c r="T197" s="2" t="s">
        <v>609</v>
      </c>
      <c r="U197" s="2" t="s">
        <v>610</v>
      </c>
      <c r="V197" s="2" t="s">
        <v>335</v>
      </c>
      <c r="W197" s="4">
        <v>2</v>
      </c>
      <c r="X197" s="2" t="s">
        <v>2983</v>
      </c>
      <c r="Y197" s="4">
        <v>0</v>
      </c>
      <c r="Z197" s="4" t="s">
        <v>39</v>
      </c>
      <c r="AA197" s="2" t="s">
        <v>60</v>
      </c>
      <c r="AB197" s="2" t="s">
        <v>404</v>
      </c>
      <c r="AC197" s="2" t="s">
        <v>261</v>
      </c>
      <c r="AD197" s="4">
        <v>42</v>
      </c>
      <c r="AE197" s="2" t="s">
        <v>233</v>
      </c>
      <c r="AF197" s="2" t="s">
        <v>444</v>
      </c>
      <c r="AG197" s="2" t="s">
        <v>1085</v>
      </c>
      <c r="AH197" s="2" t="s">
        <v>185</v>
      </c>
      <c r="AI197" s="2" t="s">
        <v>585</v>
      </c>
      <c r="AJ197" s="4"/>
      <c r="AL197" s="4"/>
      <c r="AN197" s="4"/>
      <c r="AP197" s="4"/>
      <c r="AQ197" s="4"/>
      <c r="AS197" s="4">
        <v>1</v>
      </c>
      <c r="AT197" s="4">
        <v>1</v>
      </c>
      <c r="AU197" s="4">
        <v>1</v>
      </c>
      <c r="AV197" s="4">
        <v>0</v>
      </c>
      <c r="AW197" s="4">
        <v>0</v>
      </c>
      <c r="AX197" s="4">
        <v>2</v>
      </c>
      <c r="AZ197" s="2" t="s">
        <v>60</v>
      </c>
    </row>
    <row r="198" spans="2:52" x14ac:dyDescent="0.15">
      <c r="B198" s="2" t="s">
        <v>407</v>
      </c>
      <c r="C198" s="2" t="s">
        <v>1248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31</v>
      </c>
      <c r="J198" s="4" t="str">
        <f>VLOOKUP(I198,citySet!$B$5:$C$46,2,0)</f>
        <v>蓟</v>
      </c>
      <c r="K198" s="2" t="s">
        <v>187</v>
      </c>
      <c r="L198" s="2" t="s">
        <v>1250</v>
      </c>
      <c r="N198" s="4"/>
      <c r="O198" s="2" t="s">
        <v>1249</v>
      </c>
      <c r="P198" s="2" t="s">
        <v>1249</v>
      </c>
      <c r="Q198" s="4">
        <v>0</v>
      </c>
      <c r="R198" s="2" t="s">
        <v>370</v>
      </c>
      <c r="S198" s="2" t="s">
        <v>435</v>
      </c>
      <c r="T198" s="2" t="s">
        <v>634</v>
      </c>
      <c r="U198" s="2" t="s">
        <v>417</v>
      </c>
      <c r="V198" s="2" t="s">
        <v>21</v>
      </c>
      <c r="W198" s="4">
        <v>2</v>
      </c>
      <c r="X198" s="2" t="s">
        <v>2983</v>
      </c>
      <c r="Y198" s="4">
        <v>0</v>
      </c>
      <c r="Z198" s="4" t="s">
        <v>39</v>
      </c>
      <c r="AA198" s="2" t="s">
        <v>60</v>
      </c>
      <c r="AB198" s="2" t="s">
        <v>233</v>
      </c>
      <c r="AC198" s="2" t="s">
        <v>269</v>
      </c>
      <c r="AD198" s="4">
        <v>23</v>
      </c>
      <c r="AE198" s="2" t="s">
        <v>7</v>
      </c>
      <c r="AF198" s="2" t="s">
        <v>3</v>
      </c>
      <c r="AG198" s="2" t="s">
        <v>843</v>
      </c>
      <c r="AH198" s="2" t="s">
        <v>185</v>
      </c>
      <c r="AI198" s="2" t="s">
        <v>467</v>
      </c>
      <c r="AJ198" s="4"/>
      <c r="AL198" s="4"/>
      <c r="AN198" s="4"/>
      <c r="AP198" s="4"/>
      <c r="AQ198" s="4"/>
      <c r="AS198" s="4">
        <v>0</v>
      </c>
      <c r="AT198" s="4">
        <v>0</v>
      </c>
      <c r="AU198" s="4">
        <v>0</v>
      </c>
      <c r="AV198" s="4">
        <v>1</v>
      </c>
      <c r="AW198" s="4">
        <v>0</v>
      </c>
      <c r="AX198" s="4">
        <v>0</v>
      </c>
      <c r="AZ198" s="2" t="s">
        <v>60</v>
      </c>
    </row>
    <row r="199" spans="2:52" x14ac:dyDescent="0.15">
      <c r="B199" s="2" t="s">
        <v>83</v>
      </c>
      <c r="C199" s="2" t="s">
        <v>1251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30</v>
      </c>
      <c r="J199" s="4" t="str">
        <f>VLOOKUP(I199,citySet!$B$5:$C$46,2,0)</f>
        <v>北海</v>
      </c>
      <c r="K199" s="2" t="s">
        <v>1253</v>
      </c>
      <c r="L199" s="2" t="s">
        <v>847</v>
      </c>
      <c r="M199" s="2" t="s">
        <v>1254</v>
      </c>
      <c r="N199" s="4"/>
      <c r="O199" s="2" t="s">
        <v>1252</v>
      </c>
      <c r="P199" s="2" t="s">
        <v>1252</v>
      </c>
      <c r="Q199" s="4">
        <v>0</v>
      </c>
      <c r="R199" s="2" t="s">
        <v>370</v>
      </c>
      <c r="S199" s="2" t="s">
        <v>435</v>
      </c>
      <c r="T199" s="2" t="s">
        <v>933</v>
      </c>
      <c r="U199" s="2" t="s">
        <v>702</v>
      </c>
      <c r="V199" s="2" t="s">
        <v>107</v>
      </c>
      <c r="W199" s="4">
        <v>2</v>
      </c>
      <c r="X199" s="2" t="s">
        <v>2983</v>
      </c>
      <c r="Y199" s="4">
        <v>0</v>
      </c>
      <c r="Z199" s="4" t="s">
        <v>39</v>
      </c>
      <c r="AA199" s="2" t="s">
        <v>60</v>
      </c>
      <c r="AB199" s="2" t="s">
        <v>4</v>
      </c>
      <c r="AC199" s="2" t="s">
        <v>105</v>
      </c>
      <c r="AD199" s="4">
        <v>71</v>
      </c>
      <c r="AE199" s="2" t="s">
        <v>258</v>
      </c>
      <c r="AF199" s="2" t="s">
        <v>367</v>
      </c>
      <c r="AG199" s="2" t="s">
        <v>158</v>
      </c>
      <c r="AH199" s="2" t="s">
        <v>185</v>
      </c>
      <c r="AI199" s="2" t="s">
        <v>407</v>
      </c>
      <c r="AJ199" s="4"/>
      <c r="AL199" s="4"/>
      <c r="AN199" s="4"/>
      <c r="AP199" s="4"/>
      <c r="AQ199" s="4"/>
      <c r="AS199" s="4">
        <v>0</v>
      </c>
      <c r="AT199" s="4">
        <v>0</v>
      </c>
      <c r="AU199" s="4">
        <v>1</v>
      </c>
      <c r="AV199" s="4">
        <v>0</v>
      </c>
      <c r="AW199" s="4">
        <v>2</v>
      </c>
      <c r="AX199" s="4">
        <v>0</v>
      </c>
      <c r="AZ199" s="2" t="s">
        <v>60</v>
      </c>
    </row>
    <row r="200" spans="2:52" x14ac:dyDescent="0.15">
      <c r="B200" s="2" t="s">
        <v>327</v>
      </c>
      <c r="C200" s="2" t="s">
        <v>1255</v>
      </c>
      <c r="D200" s="2" t="s">
        <v>31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31</v>
      </c>
      <c r="H200" s="4" t="str">
        <f>VLOOKUP(G200,corpsSet!$B$5:$C$46,2,0)</f>
        <v>孙坚</v>
      </c>
      <c r="I200" s="4" t="s">
        <v>204</v>
      </c>
      <c r="J200" s="4" t="str">
        <f>VLOOKUP(I200,citySet!$B$5:$C$46,2,0)</f>
        <v>柴桑</v>
      </c>
      <c r="K200" s="2" t="s">
        <v>187</v>
      </c>
      <c r="L200" s="2" t="s">
        <v>1259</v>
      </c>
      <c r="N200" s="4"/>
      <c r="O200" s="2" t="s">
        <v>531</v>
      </c>
      <c r="P200" s="2" t="s">
        <v>531</v>
      </c>
      <c r="Q200" s="4">
        <v>0</v>
      </c>
      <c r="R200" s="2" t="s">
        <v>370</v>
      </c>
      <c r="S200" s="2" t="s">
        <v>435</v>
      </c>
      <c r="T200" s="2" t="s">
        <v>436</v>
      </c>
      <c r="U200" s="2" t="s">
        <v>1257</v>
      </c>
      <c r="V200" s="2" t="s">
        <v>335</v>
      </c>
      <c r="W200" s="4">
        <v>1</v>
      </c>
      <c r="X200" s="2" t="s">
        <v>365</v>
      </c>
      <c r="Y200" s="4">
        <v>0</v>
      </c>
      <c r="Z200" s="4" t="s">
        <v>39</v>
      </c>
      <c r="AA200" s="2" t="s">
        <v>134</v>
      </c>
      <c r="AB200" s="2" t="s">
        <v>454</v>
      </c>
      <c r="AC200" s="2" t="s">
        <v>404</v>
      </c>
      <c r="AD200" s="4">
        <v>51</v>
      </c>
      <c r="AE200" s="2" t="s">
        <v>257</v>
      </c>
      <c r="AF200" s="2" t="s">
        <v>404</v>
      </c>
      <c r="AG200" s="2" t="s">
        <v>738</v>
      </c>
      <c r="AH200" s="2" t="s">
        <v>185</v>
      </c>
      <c r="AI200" s="2" t="s">
        <v>94</v>
      </c>
      <c r="AJ200" s="4"/>
      <c r="AK200" s="2" t="s">
        <v>1258</v>
      </c>
      <c r="AL200" s="4"/>
      <c r="AN200" s="4"/>
      <c r="AP200" s="4"/>
      <c r="AQ200" s="4"/>
      <c r="AS200" s="4">
        <v>1</v>
      </c>
      <c r="AT200" s="4">
        <v>0</v>
      </c>
      <c r="AU200" s="4">
        <v>2</v>
      </c>
      <c r="AV200" s="4">
        <v>0</v>
      </c>
      <c r="AW200" s="4">
        <v>0</v>
      </c>
      <c r="AX200" s="4">
        <v>2</v>
      </c>
      <c r="AZ200" s="2" t="s">
        <v>60</v>
      </c>
    </row>
    <row r="201" spans="2:52" x14ac:dyDescent="0.15">
      <c r="B201" s="2" t="s">
        <v>425</v>
      </c>
      <c r="C201" s="2" t="s">
        <v>142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189</v>
      </c>
      <c r="J201" s="4" t="str">
        <f>VLOOKUP(I201,citySet!$B$5:$C$46,2,0)</f>
        <v>建业</v>
      </c>
      <c r="K201" s="2" t="s">
        <v>1260</v>
      </c>
      <c r="L201" s="2" t="s">
        <v>1261</v>
      </c>
      <c r="M201" s="2" t="s">
        <v>1262</v>
      </c>
      <c r="N201" s="4"/>
      <c r="O201" s="2" t="s">
        <v>337</v>
      </c>
      <c r="P201" s="2" t="s">
        <v>337</v>
      </c>
      <c r="Q201" s="4">
        <v>0</v>
      </c>
      <c r="R201" s="2" t="s">
        <v>370</v>
      </c>
      <c r="S201" s="2" t="s">
        <v>548</v>
      </c>
      <c r="T201" s="2" t="s">
        <v>887</v>
      </c>
      <c r="U201" s="2" t="s">
        <v>627</v>
      </c>
      <c r="V201" s="2" t="s">
        <v>608</v>
      </c>
      <c r="W201" s="4">
        <v>2</v>
      </c>
      <c r="X201" s="2" t="s">
        <v>2983</v>
      </c>
      <c r="Y201" s="4">
        <v>0</v>
      </c>
      <c r="Z201" s="4" t="s">
        <v>39</v>
      </c>
      <c r="AA201" s="2" t="s">
        <v>60</v>
      </c>
      <c r="AB201" s="2" t="s">
        <v>367</v>
      </c>
      <c r="AC201" s="2" t="s">
        <v>374</v>
      </c>
      <c r="AD201" s="4">
        <v>77</v>
      </c>
      <c r="AE201" s="2" t="s">
        <v>454</v>
      </c>
      <c r="AF201" s="2" t="s">
        <v>321</v>
      </c>
      <c r="AG201" s="2" t="s">
        <v>1210</v>
      </c>
      <c r="AH201" s="2" t="s">
        <v>185</v>
      </c>
      <c r="AI201" s="2" t="s">
        <v>327</v>
      </c>
      <c r="AJ201" s="4"/>
      <c r="AL201" s="4"/>
      <c r="AN201" s="4"/>
      <c r="AP201" s="4"/>
      <c r="AQ201" s="4"/>
      <c r="AS201" s="4">
        <v>0</v>
      </c>
      <c r="AT201" s="4">
        <v>1</v>
      </c>
      <c r="AU201" s="4">
        <v>2</v>
      </c>
      <c r="AV201" s="4">
        <v>0</v>
      </c>
      <c r="AW201" s="4">
        <v>1</v>
      </c>
      <c r="AX201" s="4">
        <v>2</v>
      </c>
      <c r="AZ201" s="2" t="s">
        <v>60</v>
      </c>
    </row>
    <row r="202" spans="2:52" x14ac:dyDescent="0.15">
      <c r="B202" s="2" t="s">
        <v>94</v>
      </c>
      <c r="C202" s="2" t="s">
        <v>1263</v>
      </c>
      <c r="D202" s="2" t="s">
        <v>226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226</v>
      </c>
      <c r="H202" s="4" t="str">
        <f>VLOOKUP(G202,corpsSet!$B$5:$C$46,2,0)</f>
        <v>毌丘俭</v>
      </c>
      <c r="I202" s="4" t="s">
        <v>24</v>
      </c>
      <c r="J202" s="4" t="str">
        <f>VLOOKUP(I202,citySet!$B$5:$C$46,2,0)</f>
        <v>寿春</v>
      </c>
      <c r="K202" s="2" t="s">
        <v>187</v>
      </c>
      <c r="L202" s="2" t="s">
        <v>1134</v>
      </c>
      <c r="N202" s="4"/>
      <c r="O202" s="2" t="s">
        <v>1265</v>
      </c>
      <c r="P202" s="2" t="s">
        <v>1265</v>
      </c>
      <c r="Q202" s="4">
        <v>0</v>
      </c>
      <c r="R202" s="2" t="s">
        <v>370</v>
      </c>
      <c r="S202" s="2" t="s">
        <v>887</v>
      </c>
      <c r="T202" s="2" t="s">
        <v>340</v>
      </c>
      <c r="U202" s="2" t="s">
        <v>405</v>
      </c>
      <c r="V202" s="2" t="s">
        <v>81</v>
      </c>
      <c r="W202" s="4">
        <v>1</v>
      </c>
      <c r="X202" s="2" t="s">
        <v>365</v>
      </c>
      <c r="Y202" s="4">
        <v>0</v>
      </c>
      <c r="Z202" s="4" t="s">
        <v>39</v>
      </c>
      <c r="AA202" s="2" t="s">
        <v>403</v>
      </c>
      <c r="AB202" s="2" t="s">
        <v>414</v>
      </c>
      <c r="AC202" s="2" t="s">
        <v>207</v>
      </c>
      <c r="AD202" s="4">
        <v>65</v>
      </c>
      <c r="AE202" s="2" t="s">
        <v>257</v>
      </c>
      <c r="AF202" s="2" t="s">
        <v>374</v>
      </c>
      <c r="AG202" s="2" t="s">
        <v>1264</v>
      </c>
      <c r="AH202" s="2" t="s">
        <v>185</v>
      </c>
      <c r="AI202" s="2" t="s">
        <v>425</v>
      </c>
      <c r="AJ202" s="4"/>
      <c r="AL202" s="4"/>
      <c r="AN202" s="4"/>
      <c r="AP202" s="4"/>
      <c r="AQ202" s="4"/>
      <c r="AS202" s="4">
        <v>0</v>
      </c>
      <c r="AT202" s="4">
        <v>1</v>
      </c>
      <c r="AU202" s="4">
        <v>0</v>
      </c>
      <c r="AV202" s="4">
        <v>0</v>
      </c>
      <c r="AW202" s="4">
        <v>0</v>
      </c>
      <c r="AX202" s="4">
        <v>1</v>
      </c>
      <c r="AZ202" s="2" t="s">
        <v>60</v>
      </c>
    </row>
    <row r="203" spans="2:52" x14ac:dyDescent="0.15">
      <c r="B203" s="2" t="s">
        <v>479</v>
      </c>
      <c r="C203" s="2" t="s">
        <v>1266</v>
      </c>
      <c r="D203" s="2" t="s">
        <v>31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31</v>
      </c>
      <c r="H203" s="4" t="str">
        <f>VLOOKUP(G203,corpsSet!$B$5:$C$46,2,0)</f>
        <v>孙坚</v>
      </c>
      <c r="I203" s="4" t="s">
        <v>204</v>
      </c>
      <c r="J203" s="4" t="str">
        <f>VLOOKUP(I203,citySet!$B$5:$C$46,2,0)</f>
        <v>柴桑</v>
      </c>
      <c r="K203" s="2" t="s">
        <v>187</v>
      </c>
      <c r="L203" s="2" t="s">
        <v>1267</v>
      </c>
      <c r="N203" s="4"/>
      <c r="O203" s="2" t="s">
        <v>641</v>
      </c>
      <c r="P203" s="2" t="s">
        <v>641</v>
      </c>
      <c r="Q203" s="4">
        <v>1</v>
      </c>
      <c r="R203" s="2" t="s">
        <v>577</v>
      </c>
      <c r="S203" s="2" t="s">
        <v>435</v>
      </c>
      <c r="T203" s="2" t="s">
        <v>759</v>
      </c>
      <c r="U203" s="2" t="s">
        <v>340</v>
      </c>
      <c r="V203" s="2" t="s">
        <v>521</v>
      </c>
      <c r="W203" s="4">
        <v>1</v>
      </c>
      <c r="X203" s="2" t="s">
        <v>365</v>
      </c>
      <c r="Y203" s="4">
        <v>0</v>
      </c>
      <c r="Z203" s="4" t="s">
        <v>39</v>
      </c>
      <c r="AA203" s="2" t="s">
        <v>466</v>
      </c>
      <c r="AB203" s="2" t="s">
        <v>119</v>
      </c>
      <c r="AC203" s="2" t="s">
        <v>107</v>
      </c>
      <c r="AD203" s="4">
        <v>70</v>
      </c>
      <c r="AE203" s="2" t="s">
        <v>367</v>
      </c>
      <c r="AF203" s="2" t="s">
        <v>235</v>
      </c>
      <c r="AG203" s="2" t="s">
        <v>1092</v>
      </c>
      <c r="AH203" s="2" t="s">
        <v>185</v>
      </c>
      <c r="AI203" s="2" t="s">
        <v>94</v>
      </c>
      <c r="AJ203" s="4"/>
      <c r="AK203" s="2" t="s">
        <v>1258</v>
      </c>
      <c r="AL203" s="4"/>
      <c r="AN203" s="4" t="s">
        <v>876</v>
      </c>
      <c r="AO203" s="2" t="s">
        <v>12</v>
      </c>
      <c r="AP203" s="4"/>
      <c r="AQ203" s="4"/>
      <c r="AS203" s="4">
        <v>0</v>
      </c>
      <c r="AT203" s="4">
        <v>1</v>
      </c>
      <c r="AU203" s="4">
        <v>0</v>
      </c>
      <c r="AV203" s="4">
        <v>0</v>
      </c>
      <c r="AW203" s="4">
        <v>0</v>
      </c>
      <c r="AX203" s="4">
        <v>1</v>
      </c>
      <c r="AZ203" s="2" t="s">
        <v>60</v>
      </c>
    </row>
    <row r="204" spans="2:52" x14ac:dyDescent="0.15">
      <c r="B204" s="2" t="s">
        <v>950</v>
      </c>
      <c r="C204" s="2" t="s">
        <v>1268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208</v>
      </c>
      <c r="J204" s="4" t="str">
        <f>VLOOKUP(I204,citySet!$B$5:$C$46,2,0)</f>
        <v>新野</v>
      </c>
      <c r="K204" s="2" t="s">
        <v>1270</v>
      </c>
      <c r="L204" s="2" t="s">
        <v>1271</v>
      </c>
      <c r="M204" s="2" t="s">
        <v>1272</v>
      </c>
      <c r="N204" s="4"/>
      <c r="O204" s="2" t="s">
        <v>1269</v>
      </c>
      <c r="P204" s="2" t="s">
        <v>1269</v>
      </c>
      <c r="Q204" s="4">
        <v>0</v>
      </c>
      <c r="R204" s="2" t="s">
        <v>370</v>
      </c>
      <c r="S204" s="2" t="s">
        <v>489</v>
      </c>
      <c r="T204" s="2" t="s">
        <v>505</v>
      </c>
      <c r="U204" s="2" t="s">
        <v>491</v>
      </c>
      <c r="V204" s="2" t="s">
        <v>434</v>
      </c>
      <c r="W204" s="4">
        <v>2</v>
      </c>
      <c r="X204" s="2" t="s">
        <v>2983</v>
      </c>
      <c r="Y204" s="4">
        <v>0</v>
      </c>
      <c r="Z204" s="4" t="s">
        <v>39</v>
      </c>
      <c r="AA204" s="2" t="s">
        <v>60</v>
      </c>
      <c r="AB204" s="2" t="s">
        <v>432</v>
      </c>
      <c r="AC204" s="2" t="s">
        <v>21</v>
      </c>
      <c r="AD204" s="4">
        <v>68</v>
      </c>
      <c r="AE204" s="2" t="s">
        <v>374</v>
      </c>
      <c r="AF204" s="2" t="s">
        <v>257</v>
      </c>
      <c r="AG204" s="2" t="s">
        <v>416</v>
      </c>
      <c r="AH204" s="2" t="s">
        <v>185</v>
      </c>
      <c r="AI204" s="2" t="s">
        <v>479</v>
      </c>
      <c r="AJ204" s="4"/>
      <c r="AL204" s="4"/>
      <c r="AN204" s="4"/>
      <c r="AP204" s="4"/>
      <c r="AQ204" s="4"/>
      <c r="AS204" s="4">
        <v>1</v>
      </c>
      <c r="AT204" s="4">
        <v>0</v>
      </c>
      <c r="AU204" s="4">
        <v>1</v>
      </c>
      <c r="AV204" s="4">
        <v>0</v>
      </c>
      <c r="AW204" s="4">
        <v>1</v>
      </c>
      <c r="AX204" s="4">
        <v>0</v>
      </c>
      <c r="AZ204" s="2" t="s">
        <v>60</v>
      </c>
    </row>
    <row r="205" spans="2:52" x14ac:dyDescent="0.15">
      <c r="B205" s="2" t="s">
        <v>772</v>
      </c>
      <c r="C205" s="2" t="s">
        <v>1273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204</v>
      </c>
      <c r="J205" s="4" t="str">
        <f>VLOOKUP(I205,citySet!$B$5:$C$46,2,0)</f>
        <v>柴桑</v>
      </c>
      <c r="K205" s="2" t="s">
        <v>1260</v>
      </c>
      <c r="L205" s="2" t="s">
        <v>636</v>
      </c>
      <c r="M205" s="2" t="s">
        <v>1275</v>
      </c>
      <c r="N205" s="4"/>
      <c r="O205" s="2" t="s">
        <v>1274</v>
      </c>
      <c r="P205" s="2" t="s">
        <v>1274</v>
      </c>
      <c r="Q205" s="4">
        <v>0</v>
      </c>
      <c r="R205" s="2" t="s">
        <v>370</v>
      </c>
      <c r="S205" s="2" t="s">
        <v>326</v>
      </c>
      <c r="T205" s="2" t="s">
        <v>778</v>
      </c>
      <c r="U205" s="2" t="s">
        <v>453</v>
      </c>
      <c r="V205" s="2" t="s">
        <v>335</v>
      </c>
      <c r="W205" s="4">
        <v>2</v>
      </c>
      <c r="X205" s="2" t="s">
        <v>2983</v>
      </c>
      <c r="Y205" s="4">
        <v>0</v>
      </c>
      <c r="Z205" s="4" t="s">
        <v>39</v>
      </c>
      <c r="AA205" s="2" t="s">
        <v>60</v>
      </c>
      <c r="AB205" s="2" t="s">
        <v>321</v>
      </c>
      <c r="AC205" s="2" t="s">
        <v>237</v>
      </c>
      <c r="AD205" s="4">
        <v>78</v>
      </c>
      <c r="AE205" s="2" t="s">
        <v>481</v>
      </c>
      <c r="AF205" s="2" t="s">
        <v>445</v>
      </c>
      <c r="AG205" s="2" t="s">
        <v>1199</v>
      </c>
      <c r="AH205" s="2" t="s">
        <v>185</v>
      </c>
      <c r="AI205" s="2" t="s">
        <v>950</v>
      </c>
      <c r="AJ205" s="4"/>
      <c r="AL205" s="4"/>
      <c r="AN205" s="4"/>
      <c r="AP205" s="4"/>
      <c r="AQ205" s="4"/>
      <c r="AS205" s="4">
        <v>0</v>
      </c>
      <c r="AT205" s="4">
        <v>1</v>
      </c>
      <c r="AU205" s="4">
        <v>2</v>
      </c>
      <c r="AV205" s="4">
        <v>0</v>
      </c>
      <c r="AW205" s="4">
        <v>1</v>
      </c>
      <c r="AX205" s="4">
        <v>2</v>
      </c>
      <c r="AZ205" s="2" t="s">
        <v>60</v>
      </c>
    </row>
    <row r="206" spans="2:52" x14ac:dyDescent="0.15">
      <c r="B206" s="2" t="s">
        <v>536</v>
      </c>
      <c r="C206" s="2" t="s">
        <v>1276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24</v>
      </c>
      <c r="J206" s="4" t="str">
        <f>VLOOKUP(I206,citySet!$B$5:$C$46,2,0)</f>
        <v>寿春</v>
      </c>
      <c r="K206" s="2" t="s">
        <v>1270</v>
      </c>
      <c r="L206" s="2" t="s">
        <v>1278</v>
      </c>
      <c r="M206" s="2" t="s">
        <v>1279</v>
      </c>
      <c r="N206" s="4"/>
      <c r="O206" s="2" t="s">
        <v>1277</v>
      </c>
      <c r="P206" s="2" t="s">
        <v>1277</v>
      </c>
      <c r="Q206" s="4">
        <v>0</v>
      </c>
      <c r="R206" s="2" t="s">
        <v>370</v>
      </c>
      <c r="S206" s="2" t="s">
        <v>675</v>
      </c>
      <c r="T206" s="2" t="s">
        <v>585</v>
      </c>
      <c r="U206" s="2" t="s">
        <v>487</v>
      </c>
      <c r="V206" s="2" t="s">
        <v>208</v>
      </c>
      <c r="W206" s="4">
        <v>2</v>
      </c>
      <c r="X206" s="2" t="s">
        <v>2983</v>
      </c>
      <c r="Y206" s="4">
        <v>0</v>
      </c>
      <c r="Z206" s="4" t="s">
        <v>39</v>
      </c>
      <c r="AA206" s="2" t="s">
        <v>60</v>
      </c>
      <c r="AB206" s="2" t="s">
        <v>261</v>
      </c>
      <c r="AC206" s="2" t="s">
        <v>102</v>
      </c>
      <c r="AD206" s="4">
        <v>74</v>
      </c>
      <c r="AE206" s="2" t="s">
        <v>422</v>
      </c>
      <c r="AF206" s="2" t="s">
        <v>374</v>
      </c>
      <c r="AG206" s="2" t="s">
        <v>433</v>
      </c>
      <c r="AH206" s="2" t="s">
        <v>185</v>
      </c>
      <c r="AI206" s="2" t="s">
        <v>772</v>
      </c>
      <c r="AJ206" s="4"/>
      <c r="AL206" s="4"/>
      <c r="AN206" s="4"/>
      <c r="AP206" s="4"/>
      <c r="AQ206" s="4"/>
      <c r="AS206" s="4">
        <v>0</v>
      </c>
      <c r="AT206" s="4">
        <v>1</v>
      </c>
      <c r="AU206" s="4">
        <v>1</v>
      </c>
      <c r="AV206" s="4">
        <v>0</v>
      </c>
      <c r="AW206" s="4">
        <v>0</v>
      </c>
      <c r="AX206" s="4">
        <v>0</v>
      </c>
      <c r="AZ206" s="2" t="s">
        <v>60</v>
      </c>
    </row>
    <row r="207" spans="2:52" x14ac:dyDescent="0.15">
      <c r="B207" s="2" t="s">
        <v>1257</v>
      </c>
      <c r="C207" s="2" t="s">
        <v>1280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30</v>
      </c>
      <c r="J207" s="4" t="str">
        <f>VLOOKUP(I207,citySet!$B$5:$C$46,2,0)</f>
        <v>北海</v>
      </c>
      <c r="K207" s="2" t="s">
        <v>187</v>
      </c>
      <c r="L207" s="2" t="s">
        <v>1278</v>
      </c>
      <c r="M207" s="2" t="s">
        <v>1281</v>
      </c>
      <c r="N207" s="4"/>
      <c r="O207" s="2" t="s">
        <v>596</v>
      </c>
      <c r="P207" s="2" t="s">
        <v>596</v>
      </c>
      <c r="Q207" s="4">
        <v>0</v>
      </c>
      <c r="R207" s="2" t="s">
        <v>370</v>
      </c>
      <c r="S207" s="2" t="s">
        <v>327</v>
      </c>
      <c r="T207" s="2" t="s">
        <v>565</v>
      </c>
      <c r="U207" s="2" t="s">
        <v>424</v>
      </c>
      <c r="V207" s="2" t="s">
        <v>105</v>
      </c>
      <c r="W207" s="4">
        <v>2</v>
      </c>
      <c r="X207" s="2" t="s">
        <v>2983</v>
      </c>
      <c r="Y207" s="4">
        <v>0</v>
      </c>
      <c r="Z207" s="4" t="s">
        <v>39</v>
      </c>
      <c r="AA207" s="2" t="s">
        <v>60</v>
      </c>
      <c r="AB207" s="2" t="s">
        <v>18</v>
      </c>
      <c r="AC207" s="2" t="s">
        <v>208</v>
      </c>
      <c r="AD207" s="4">
        <v>68</v>
      </c>
      <c r="AE207" s="2" t="s">
        <v>432</v>
      </c>
      <c r="AF207" s="2" t="s">
        <v>226</v>
      </c>
      <c r="AG207" s="2" t="s">
        <v>505</v>
      </c>
      <c r="AH207" s="2" t="s">
        <v>185</v>
      </c>
      <c r="AI207" s="2" t="s">
        <v>536</v>
      </c>
      <c r="AJ207" s="4"/>
      <c r="AL207" s="4"/>
      <c r="AN207" s="4"/>
      <c r="AP207" s="4"/>
      <c r="AQ207" s="4"/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Z207" s="2" t="s">
        <v>60</v>
      </c>
    </row>
    <row r="208" spans="2:52" x14ac:dyDescent="0.15">
      <c r="B208" s="2" t="s">
        <v>380</v>
      </c>
      <c r="C208" s="2" t="s">
        <v>3093</v>
      </c>
      <c r="D208" s="2" t="s">
        <v>196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196</v>
      </c>
      <c r="H208" s="4" t="str">
        <f>VLOOKUP(G208,corpsSet!$B$5:$C$46,2,0)</f>
        <v>张绣</v>
      </c>
      <c r="I208" s="4" t="s">
        <v>103</v>
      </c>
      <c r="J208" s="4" t="str">
        <f>VLOOKUP(I208,citySet!$B$5:$C$46,2,0)</f>
        <v>宛</v>
      </c>
      <c r="K208" s="2" t="s">
        <v>1270</v>
      </c>
      <c r="L208" s="2" t="s">
        <v>1283</v>
      </c>
      <c r="N208" s="4"/>
      <c r="O208" s="2" t="s">
        <v>1282</v>
      </c>
      <c r="P208" s="2" t="s">
        <v>1282</v>
      </c>
      <c r="Q208" s="4">
        <v>0</v>
      </c>
      <c r="R208" s="2" t="s">
        <v>370</v>
      </c>
      <c r="S208" s="2" t="s">
        <v>438</v>
      </c>
      <c r="T208" s="2" t="s">
        <v>957</v>
      </c>
      <c r="U208" s="2" t="s">
        <v>326</v>
      </c>
      <c r="V208" s="2" t="s">
        <v>616</v>
      </c>
      <c r="W208" s="4">
        <v>1</v>
      </c>
      <c r="X208" s="2" t="s">
        <v>365</v>
      </c>
      <c r="Y208" s="4">
        <v>3</v>
      </c>
      <c r="Z208" s="4" t="s">
        <v>696</v>
      </c>
      <c r="AA208" s="2" t="s">
        <v>185</v>
      </c>
      <c r="AB208" s="2" t="s">
        <v>200</v>
      </c>
      <c r="AC208" s="2" t="s">
        <v>554</v>
      </c>
      <c r="AD208" s="4">
        <v>41</v>
      </c>
      <c r="AE208" s="2" t="s">
        <v>35</v>
      </c>
      <c r="AF208" s="2" t="s">
        <v>119</v>
      </c>
      <c r="AG208" s="2" t="s">
        <v>778</v>
      </c>
      <c r="AH208" s="2" t="s">
        <v>185</v>
      </c>
      <c r="AI208" s="2" t="s">
        <v>1257</v>
      </c>
      <c r="AJ208" s="4"/>
      <c r="AL208" s="4"/>
      <c r="AN208" s="4"/>
      <c r="AP208" s="4"/>
      <c r="AQ208" s="4"/>
      <c r="AS208" s="4">
        <v>0</v>
      </c>
      <c r="AT208" s="4">
        <v>1</v>
      </c>
      <c r="AU208" s="4">
        <v>0</v>
      </c>
      <c r="AV208" s="4">
        <v>1</v>
      </c>
      <c r="AW208" s="4">
        <v>0</v>
      </c>
      <c r="AX208" s="4">
        <v>0</v>
      </c>
      <c r="AZ208" s="2" t="s">
        <v>60</v>
      </c>
    </row>
    <row r="209" spans="2:52" x14ac:dyDescent="0.15">
      <c r="B209" s="2" t="s">
        <v>90</v>
      </c>
      <c r="C209" s="2" t="s">
        <v>1284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106</v>
      </c>
      <c r="J209" s="4" t="str">
        <f>VLOOKUP(I209,citySet!$B$5:$C$46,2,0)</f>
        <v>安定</v>
      </c>
      <c r="K209" s="2" t="s">
        <v>1270</v>
      </c>
      <c r="L209" s="2" t="s">
        <v>1285</v>
      </c>
      <c r="N209" s="4"/>
      <c r="O209" s="2" t="s">
        <v>977</v>
      </c>
      <c r="P209" s="2" t="s">
        <v>977</v>
      </c>
      <c r="Q209" s="4">
        <v>0</v>
      </c>
      <c r="R209" s="2" t="s">
        <v>370</v>
      </c>
      <c r="S209" s="2" t="s">
        <v>702</v>
      </c>
      <c r="T209" s="2" t="s">
        <v>950</v>
      </c>
      <c r="U209" s="2" t="s">
        <v>651</v>
      </c>
      <c r="V209" s="2" t="s">
        <v>106</v>
      </c>
      <c r="W209" s="4">
        <v>2</v>
      </c>
      <c r="X209" s="2" t="s">
        <v>2983</v>
      </c>
      <c r="Y209" s="4">
        <v>0</v>
      </c>
      <c r="Z209" s="4" t="s">
        <v>39</v>
      </c>
      <c r="AA209" s="2" t="s">
        <v>60</v>
      </c>
      <c r="AB209" s="2" t="s">
        <v>153</v>
      </c>
      <c r="AC209" s="2" t="s">
        <v>434</v>
      </c>
      <c r="AD209" s="4">
        <v>52</v>
      </c>
      <c r="AE209" s="2" t="s">
        <v>4</v>
      </c>
      <c r="AF209" s="2" t="s">
        <v>423</v>
      </c>
      <c r="AG209" s="2" t="s">
        <v>771</v>
      </c>
      <c r="AH209" s="2" t="s">
        <v>185</v>
      </c>
      <c r="AI209" s="2" t="s">
        <v>380</v>
      </c>
      <c r="AJ209" s="4"/>
      <c r="AL209" s="4"/>
      <c r="AN209" s="4"/>
      <c r="AP209" s="4"/>
      <c r="AQ209" s="4"/>
      <c r="AS209" s="4">
        <v>2</v>
      </c>
      <c r="AT209" s="4">
        <v>1</v>
      </c>
      <c r="AU209" s="4">
        <v>0</v>
      </c>
      <c r="AV209" s="4">
        <v>2</v>
      </c>
      <c r="AW209" s="4">
        <v>1</v>
      </c>
      <c r="AX209" s="4">
        <v>0</v>
      </c>
      <c r="AZ209" s="2" t="s">
        <v>60</v>
      </c>
    </row>
    <row r="210" spans="2:52" x14ac:dyDescent="0.15">
      <c r="B210" s="2" t="s">
        <v>326</v>
      </c>
      <c r="C210" s="2" t="s">
        <v>224</v>
      </c>
      <c r="D210" s="2" t="s">
        <v>36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36</v>
      </c>
      <c r="H210" s="4" t="str">
        <f>VLOOKUP(G210,corpsSet!$B$5:$C$46,2,0)</f>
        <v>董卓</v>
      </c>
      <c r="I210" s="4" t="s">
        <v>106</v>
      </c>
      <c r="J210" s="4" t="str">
        <f>VLOOKUP(I210,citySet!$B$5:$C$46,2,0)</f>
        <v>安定</v>
      </c>
      <c r="K210" s="2" t="s">
        <v>1270</v>
      </c>
      <c r="L210" s="2" t="s">
        <v>1287</v>
      </c>
      <c r="M210" s="2" t="s">
        <v>1288</v>
      </c>
      <c r="N210" s="4"/>
      <c r="O210" s="2" t="s">
        <v>1286</v>
      </c>
      <c r="P210" s="2" t="s">
        <v>1286</v>
      </c>
      <c r="Q210" s="4">
        <v>0</v>
      </c>
      <c r="R210" s="2" t="s">
        <v>370</v>
      </c>
      <c r="S210" s="2" t="s">
        <v>578</v>
      </c>
      <c r="T210" s="2" t="s">
        <v>550</v>
      </c>
      <c r="U210" s="2" t="s">
        <v>372</v>
      </c>
      <c r="V210" s="2" t="s">
        <v>1007</v>
      </c>
      <c r="W210" s="4">
        <v>1</v>
      </c>
      <c r="X210" s="2" t="s">
        <v>365</v>
      </c>
      <c r="Y210" s="4">
        <v>0</v>
      </c>
      <c r="Z210" s="4" t="s">
        <v>39</v>
      </c>
      <c r="AA210" s="2" t="s">
        <v>185</v>
      </c>
      <c r="AB210" s="2" t="s">
        <v>257</v>
      </c>
      <c r="AC210" s="2" t="s">
        <v>367</v>
      </c>
      <c r="AD210" s="4">
        <v>12</v>
      </c>
      <c r="AE210" s="2" t="s">
        <v>8</v>
      </c>
      <c r="AF210" s="2" t="s">
        <v>107</v>
      </c>
      <c r="AG210" s="2" t="s">
        <v>544</v>
      </c>
      <c r="AH210" s="2" t="s">
        <v>185</v>
      </c>
      <c r="AI210" s="2" t="s">
        <v>90</v>
      </c>
      <c r="AJ210" s="4"/>
      <c r="AL210" s="4"/>
      <c r="AN210" s="4"/>
      <c r="AP210" s="4"/>
      <c r="AQ210" s="4"/>
      <c r="AS210" s="4">
        <v>1</v>
      </c>
      <c r="AT210" s="4">
        <v>0</v>
      </c>
      <c r="AU210" s="4">
        <v>0</v>
      </c>
      <c r="AV210" s="4">
        <v>2</v>
      </c>
      <c r="AW210" s="4">
        <v>0</v>
      </c>
      <c r="AX210" s="4">
        <v>0</v>
      </c>
      <c r="AZ210" s="2" t="s">
        <v>60</v>
      </c>
    </row>
    <row r="211" spans="2:52" x14ac:dyDescent="0.15">
      <c r="B211" s="2" t="s">
        <v>505</v>
      </c>
      <c r="C211" s="2" t="s">
        <v>1289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196</v>
      </c>
      <c r="J211" s="4" t="str">
        <f>VLOOKUP(I211,citySet!$B$5:$C$46,2,0)</f>
        <v>会稽</v>
      </c>
      <c r="K211" s="2" t="s">
        <v>1292</v>
      </c>
      <c r="L211" s="2" t="s">
        <v>551</v>
      </c>
      <c r="M211" s="2" t="s">
        <v>1293</v>
      </c>
      <c r="N211" s="4"/>
      <c r="O211" s="2" t="s">
        <v>1290</v>
      </c>
      <c r="P211" s="2" t="s">
        <v>1290</v>
      </c>
      <c r="Q211" s="4">
        <v>0</v>
      </c>
      <c r="R211" s="2" t="s">
        <v>370</v>
      </c>
      <c r="S211" s="2" t="s">
        <v>379</v>
      </c>
      <c r="T211" s="2" t="s">
        <v>1257</v>
      </c>
      <c r="U211" s="2" t="s">
        <v>717</v>
      </c>
      <c r="V211" s="2" t="s">
        <v>134</v>
      </c>
      <c r="W211" s="4">
        <v>2</v>
      </c>
      <c r="X211" s="2" t="s">
        <v>2983</v>
      </c>
      <c r="Y211" s="4">
        <v>0</v>
      </c>
      <c r="Z211" s="4" t="s">
        <v>39</v>
      </c>
      <c r="AA211" s="2" t="s">
        <v>60</v>
      </c>
      <c r="AB211" s="2" t="s">
        <v>95</v>
      </c>
      <c r="AC211" s="2" t="s">
        <v>189</v>
      </c>
      <c r="AD211" s="4">
        <v>70</v>
      </c>
      <c r="AE211" s="2" t="s">
        <v>88</v>
      </c>
      <c r="AF211" s="2" t="s">
        <v>481</v>
      </c>
      <c r="AG211" s="2" t="s">
        <v>610</v>
      </c>
      <c r="AH211" s="2" t="s">
        <v>185</v>
      </c>
      <c r="AI211" s="2" t="s">
        <v>417</v>
      </c>
      <c r="AJ211" s="4" t="s">
        <v>689</v>
      </c>
      <c r="AK211" s="2" t="s">
        <v>1291</v>
      </c>
      <c r="AL211" s="4"/>
      <c r="AN211" s="4"/>
      <c r="AP211" s="4"/>
      <c r="AQ211" s="4"/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1</v>
      </c>
      <c r="AZ211" s="2" t="s">
        <v>60</v>
      </c>
    </row>
    <row r="212" spans="2:52" x14ac:dyDescent="0.15">
      <c r="B212" s="2" t="s">
        <v>406</v>
      </c>
      <c r="C212" s="2" t="s">
        <v>595</v>
      </c>
      <c r="D212" s="2" t="s">
        <v>200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200</v>
      </c>
      <c r="H212" s="4" t="str">
        <f>VLOOKUP(G212,corpsSet!$B$5:$C$46,2,0)</f>
        <v>孟获</v>
      </c>
      <c r="I212" s="4" t="s">
        <v>98</v>
      </c>
      <c r="J212" s="4" t="str">
        <f>VLOOKUP(I212,citySet!$B$5:$C$46,2,0)</f>
        <v>云南</v>
      </c>
      <c r="K212" s="2" t="s">
        <v>1294</v>
      </c>
      <c r="L212" s="2" t="s">
        <v>1295</v>
      </c>
      <c r="N212" s="4"/>
      <c r="O212" s="2" t="s">
        <v>537</v>
      </c>
      <c r="P212" s="2" t="s">
        <v>537</v>
      </c>
      <c r="Q212" s="4">
        <v>0</v>
      </c>
      <c r="R212" s="2" t="s">
        <v>370</v>
      </c>
      <c r="S212" s="2" t="s">
        <v>371</v>
      </c>
      <c r="T212" s="2" t="s">
        <v>707</v>
      </c>
      <c r="U212" s="2" t="s">
        <v>373</v>
      </c>
      <c r="V212" s="2" t="s">
        <v>7</v>
      </c>
      <c r="W212" s="4">
        <v>1</v>
      </c>
      <c r="X212" s="2" t="s">
        <v>365</v>
      </c>
      <c r="Y212" s="4">
        <v>4</v>
      </c>
      <c r="Z212" s="4" t="s">
        <v>1091</v>
      </c>
      <c r="AA212" s="2" t="s">
        <v>185</v>
      </c>
      <c r="AB212" s="2" t="s">
        <v>374</v>
      </c>
      <c r="AC212" s="2" t="s">
        <v>258</v>
      </c>
      <c r="AD212" s="4">
        <v>1</v>
      </c>
      <c r="AE212" s="2" t="s">
        <v>31</v>
      </c>
      <c r="AF212" s="2" t="s">
        <v>107</v>
      </c>
      <c r="AG212" s="2" t="s">
        <v>426</v>
      </c>
      <c r="AH212" s="2" t="s">
        <v>185</v>
      </c>
      <c r="AI212" s="2" t="s">
        <v>505</v>
      </c>
      <c r="AJ212" s="4"/>
      <c r="AL212" s="4"/>
      <c r="AN212" s="4"/>
      <c r="AP212" s="4"/>
      <c r="AQ212" s="4"/>
      <c r="AS212" s="4">
        <v>2</v>
      </c>
      <c r="AT212" s="4">
        <v>3</v>
      </c>
      <c r="AU212" s="4">
        <v>1</v>
      </c>
      <c r="AV212" s="4">
        <v>0</v>
      </c>
      <c r="AW212" s="4">
        <v>0</v>
      </c>
      <c r="AX212" s="4">
        <v>0</v>
      </c>
      <c r="AZ212" s="2" t="s">
        <v>60</v>
      </c>
    </row>
    <row r="213" spans="2:52" x14ac:dyDescent="0.15">
      <c r="B213" s="2" t="s">
        <v>490</v>
      </c>
      <c r="C213" s="2" t="s">
        <v>1296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20</v>
      </c>
      <c r="J213" s="4" t="str">
        <f>VLOOKUP(I213,citySet!$B$5:$C$46,2,0)</f>
        <v>濮阳</v>
      </c>
      <c r="K213" s="2" t="s">
        <v>1270</v>
      </c>
      <c r="L213" s="2" t="s">
        <v>1297</v>
      </c>
      <c r="N213" s="4"/>
      <c r="O213" s="2" t="s">
        <v>980</v>
      </c>
      <c r="P213" s="2" t="s">
        <v>980</v>
      </c>
      <c r="Q213" s="4">
        <v>0</v>
      </c>
      <c r="R213" s="2" t="s">
        <v>370</v>
      </c>
      <c r="S213" s="2" t="s">
        <v>94</v>
      </c>
      <c r="T213" s="2" t="s">
        <v>498</v>
      </c>
      <c r="U213" s="2" t="s">
        <v>762</v>
      </c>
      <c r="V213" s="2" t="s">
        <v>434</v>
      </c>
      <c r="W213" s="4">
        <v>2</v>
      </c>
      <c r="X213" s="2" t="s">
        <v>2983</v>
      </c>
      <c r="Y213" s="4">
        <v>0</v>
      </c>
      <c r="Z213" s="4" t="s">
        <v>39</v>
      </c>
      <c r="AA213" s="2" t="s">
        <v>60</v>
      </c>
      <c r="AB213" s="2" t="s">
        <v>254</v>
      </c>
      <c r="AC213" s="2" t="s">
        <v>254</v>
      </c>
      <c r="AD213" s="4">
        <v>58</v>
      </c>
      <c r="AE213" s="2" t="s">
        <v>4</v>
      </c>
      <c r="AF213" s="2" t="s">
        <v>423</v>
      </c>
      <c r="AG213" s="2" t="s">
        <v>610</v>
      </c>
      <c r="AH213" s="2" t="s">
        <v>185</v>
      </c>
      <c r="AI213" s="2" t="s">
        <v>406</v>
      </c>
      <c r="AJ213" s="4"/>
      <c r="AL213" s="4"/>
      <c r="AN213" s="4"/>
      <c r="AP213" s="4"/>
      <c r="AQ213" s="4"/>
      <c r="AS213" s="4">
        <v>0</v>
      </c>
      <c r="AT213" s="4">
        <v>1</v>
      </c>
      <c r="AU213" s="4">
        <v>1</v>
      </c>
      <c r="AV213" s="4">
        <v>0</v>
      </c>
      <c r="AW213" s="4">
        <v>0</v>
      </c>
      <c r="AX213" s="4">
        <v>1</v>
      </c>
      <c r="AZ213" s="2" t="s">
        <v>60</v>
      </c>
    </row>
    <row r="214" spans="2:52" x14ac:dyDescent="0.15">
      <c r="B214" s="2" t="s">
        <v>685</v>
      </c>
      <c r="C214" s="2" t="s">
        <v>1298</v>
      </c>
      <c r="D214" s="2" t="s">
        <v>33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33</v>
      </c>
      <c r="H214" s="4" t="str">
        <f>VLOOKUP(G214,corpsSet!$B$5:$C$46,2,0)</f>
        <v>刘焉</v>
      </c>
      <c r="I214" s="4" t="s">
        <v>126</v>
      </c>
      <c r="J214" s="4" t="str">
        <f>VLOOKUP(I214,citySet!$B$5:$C$46,2,0)</f>
        <v>成都</v>
      </c>
      <c r="K214" s="2" t="s">
        <v>187</v>
      </c>
      <c r="L214" s="2" t="s">
        <v>1297</v>
      </c>
      <c r="M214" s="2" t="s">
        <v>1299</v>
      </c>
      <c r="N214" s="4"/>
      <c r="O214" s="2" t="s">
        <v>96</v>
      </c>
      <c r="P214" s="2" t="s">
        <v>96</v>
      </c>
      <c r="Q214" s="4">
        <v>0</v>
      </c>
      <c r="R214" s="2" t="s">
        <v>370</v>
      </c>
      <c r="S214" s="2" t="s">
        <v>372</v>
      </c>
      <c r="T214" s="2" t="s">
        <v>579</v>
      </c>
      <c r="U214" s="2" t="s">
        <v>609</v>
      </c>
      <c r="V214" s="2" t="s">
        <v>374</v>
      </c>
      <c r="W214" s="4">
        <v>1</v>
      </c>
      <c r="X214" s="2" t="s">
        <v>365</v>
      </c>
      <c r="Y214" s="4">
        <v>0</v>
      </c>
      <c r="Z214" s="4" t="s">
        <v>39</v>
      </c>
      <c r="AA214" s="2" t="s">
        <v>228</v>
      </c>
      <c r="AB214" s="2" t="s">
        <v>367</v>
      </c>
      <c r="AC214" s="2" t="s">
        <v>515</v>
      </c>
      <c r="AD214" s="4">
        <v>56</v>
      </c>
      <c r="AE214" s="2" t="s">
        <v>101</v>
      </c>
      <c r="AF214" s="2" t="s">
        <v>404</v>
      </c>
      <c r="AG214" s="2" t="s">
        <v>832</v>
      </c>
      <c r="AH214" s="2" t="s">
        <v>185</v>
      </c>
      <c r="AI214" s="2" t="s">
        <v>394</v>
      </c>
      <c r="AJ214" s="4"/>
      <c r="AL214" s="4"/>
      <c r="AN214" s="4"/>
      <c r="AP214" s="4"/>
      <c r="AQ214" s="4"/>
      <c r="AS214" s="4">
        <v>2</v>
      </c>
      <c r="AT214" s="4">
        <v>1</v>
      </c>
      <c r="AU214" s="4">
        <v>1</v>
      </c>
      <c r="AV214" s="4">
        <v>1</v>
      </c>
      <c r="AW214" s="4">
        <v>0</v>
      </c>
      <c r="AX214" s="4">
        <v>1</v>
      </c>
      <c r="AZ214" s="2" t="s">
        <v>60</v>
      </c>
    </row>
    <row r="215" spans="2:52" x14ac:dyDescent="0.15">
      <c r="B215" s="2" t="s">
        <v>417</v>
      </c>
      <c r="C215" s="2" t="s">
        <v>1300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106</v>
      </c>
      <c r="J215" s="4" t="str">
        <f>VLOOKUP(I215,citySet!$B$5:$C$46,2,0)</f>
        <v>安定</v>
      </c>
      <c r="K215" s="2" t="s">
        <v>1270</v>
      </c>
      <c r="L215" s="2" t="s">
        <v>1301</v>
      </c>
      <c r="M215" s="2" t="s">
        <v>1302</v>
      </c>
      <c r="N215" s="4"/>
      <c r="O215" s="2" t="s">
        <v>406</v>
      </c>
      <c r="P215" s="2" t="s">
        <v>406</v>
      </c>
      <c r="Q215" s="4">
        <v>0</v>
      </c>
      <c r="R215" s="2" t="s">
        <v>370</v>
      </c>
      <c r="S215" s="2" t="s">
        <v>562</v>
      </c>
      <c r="T215" s="2" t="s">
        <v>512</v>
      </c>
      <c r="U215" s="2" t="s">
        <v>1264</v>
      </c>
      <c r="V215" s="2" t="s">
        <v>106</v>
      </c>
      <c r="W215" s="4">
        <v>2</v>
      </c>
      <c r="X215" s="2" t="s">
        <v>2983</v>
      </c>
      <c r="Y215" s="4">
        <v>0</v>
      </c>
      <c r="Z215" s="4" t="s">
        <v>39</v>
      </c>
      <c r="AA215" s="2" t="s">
        <v>60</v>
      </c>
      <c r="AB215" s="2" t="s">
        <v>515</v>
      </c>
      <c r="AC215" s="2" t="s">
        <v>434</v>
      </c>
      <c r="AD215" s="4">
        <v>50</v>
      </c>
      <c r="AE215" s="2" t="s">
        <v>14</v>
      </c>
      <c r="AF215" s="2" t="s">
        <v>254</v>
      </c>
      <c r="AG215" s="2" t="s">
        <v>68</v>
      </c>
      <c r="AH215" s="2" t="s">
        <v>185</v>
      </c>
      <c r="AI215" s="2" t="s">
        <v>380</v>
      </c>
      <c r="AJ215" s="4">
        <v>25</v>
      </c>
      <c r="AK215" s="2" t="s">
        <v>1284</v>
      </c>
      <c r="AL215" s="4"/>
      <c r="AN215" s="4"/>
      <c r="AP215" s="4"/>
      <c r="AQ215" s="4"/>
      <c r="AS215" s="4">
        <v>0</v>
      </c>
      <c r="AT215" s="4">
        <v>1</v>
      </c>
      <c r="AU215" s="4">
        <v>0</v>
      </c>
      <c r="AV215" s="4">
        <v>2</v>
      </c>
      <c r="AW215" s="4">
        <v>3</v>
      </c>
      <c r="AX215" s="4">
        <v>0</v>
      </c>
      <c r="AZ215" s="2" t="s">
        <v>60</v>
      </c>
    </row>
    <row r="216" spans="2:52" x14ac:dyDescent="0.15">
      <c r="B216" s="2" t="s">
        <v>689</v>
      </c>
      <c r="C216" s="2" t="s">
        <v>1291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193</v>
      </c>
      <c r="J216" s="4" t="str">
        <f>VLOOKUP(I216,citySet!$B$5:$C$46,2,0)</f>
        <v>吴</v>
      </c>
      <c r="K216" s="2" t="s">
        <v>1292</v>
      </c>
      <c r="L216" s="2" t="s">
        <v>1016</v>
      </c>
      <c r="M216" s="2" t="s">
        <v>1303</v>
      </c>
      <c r="N216" s="4"/>
      <c r="O216" s="2" t="s">
        <v>778</v>
      </c>
      <c r="P216" s="2" t="s">
        <v>778</v>
      </c>
      <c r="Q216" s="4">
        <v>0</v>
      </c>
      <c r="R216" s="2" t="s">
        <v>370</v>
      </c>
      <c r="S216" s="2" t="s">
        <v>425</v>
      </c>
      <c r="T216" s="2" t="s">
        <v>518</v>
      </c>
      <c r="U216" s="2" t="s">
        <v>198</v>
      </c>
      <c r="V216" s="2" t="s">
        <v>134</v>
      </c>
      <c r="W216" s="4">
        <v>2</v>
      </c>
      <c r="X216" s="2" t="s">
        <v>2983</v>
      </c>
      <c r="Y216" s="4">
        <v>0</v>
      </c>
      <c r="Z216" s="4" t="s">
        <v>39</v>
      </c>
      <c r="AA216" s="2" t="s">
        <v>60</v>
      </c>
      <c r="AB216" s="2" t="s">
        <v>99</v>
      </c>
      <c r="AC216" s="2" t="s">
        <v>104</v>
      </c>
      <c r="AD216" s="4">
        <v>80</v>
      </c>
      <c r="AE216" s="2" t="s">
        <v>176</v>
      </c>
      <c r="AF216" s="2" t="s">
        <v>434</v>
      </c>
      <c r="AG216" s="2" t="s">
        <v>568</v>
      </c>
      <c r="AH216" s="2" t="s">
        <v>185</v>
      </c>
      <c r="AI216" s="2" t="s">
        <v>417</v>
      </c>
      <c r="AJ216" s="4"/>
      <c r="AL216" s="4"/>
      <c r="AN216" s="4"/>
      <c r="AP216" s="4"/>
      <c r="AQ216" s="4"/>
      <c r="AS216" s="4">
        <v>0</v>
      </c>
      <c r="AT216" s="4">
        <v>0</v>
      </c>
      <c r="AU216" s="4">
        <v>0</v>
      </c>
      <c r="AV216" s="4">
        <v>0</v>
      </c>
      <c r="AW216" s="4">
        <v>1</v>
      </c>
      <c r="AX216" s="4">
        <v>0</v>
      </c>
      <c r="AZ216" s="2" t="s">
        <v>60</v>
      </c>
    </row>
    <row r="217" spans="2:52" x14ac:dyDescent="0.15">
      <c r="B217" s="2" t="s">
        <v>961</v>
      </c>
      <c r="C217" s="2" t="s">
        <v>1304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126</v>
      </c>
      <c r="J217" s="4" t="str">
        <f>VLOOKUP(I217,citySet!$B$5:$C$46,2,0)</f>
        <v>成都</v>
      </c>
      <c r="K217" s="2" t="s">
        <v>187</v>
      </c>
      <c r="L217" s="2" t="s">
        <v>1305</v>
      </c>
      <c r="N217" s="4"/>
      <c r="O217" s="2" t="s">
        <v>981</v>
      </c>
      <c r="P217" s="2" t="s">
        <v>981</v>
      </c>
      <c r="Q217" s="4">
        <v>0</v>
      </c>
      <c r="R217" s="2" t="s">
        <v>370</v>
      </c>
      <c r="S217" s="2" t="s">
        <v>393</v>
      </c>
      <c r="T217" s="2" t="s">
        <v>555</v>
      </c>
      <c r="U217" s="2" t="s">
        <v>379</v>
      </c>
      <c r="V217" s="2" t="s">
        <v>486</v>
      </c>
      <c r="W217" s="4">
        <v>2</v>
      </c>
      <c r="X217" s="2" t="s">
        <v>2983</v>
      </c>
      <c r="Y217" s="4">
        <v>0</v>
      </c>
      <c r="Z217" s="4" t="s">
        <v>39</v>
      </c>
      <c r="AA217" s="2" t="s">
        <v>60</v>
      </c>
      <c r="AB217" s="2" t="s">
        <v>423</v>
      </c>
      <c r="AC217" s="2" t="s">
        <v>329</v>
      </c>
      <c r="AD217" s="4">
        <v>35</v>
      </c>
      <c r="AE217" s="2" t="s">
        <v>15</v>
      </c>
      <c r="AF217" s="2" t="s">
        <v>4</v>
      </c>
      <c r="AG217" s="2" t="s">
        <v>919</v>
      </c>
      <c r="AH217" s="2" t="s">
        <v>185</v>
      </c>
      <c r="AI217" s="2" t="s">
        <v>689</v>
      </c>
      <c r="AJ217" s="4"/>
      <c r="AL217" s="4"/>
      <c r="AN217" s="4"/>
      <c r="AP217" s="4"/>
      <c r="AQ217" s="4"/>
      <c r="AS217" s="4">
        <v>1</v>
      </c>
      <c r="AT217" s="4">
        <v>1</v>
      </c>
      <c r="AU217" s="4">
        <v>0</v>
      </c>
      <c r="AV217" s="4">
        <v>1</v>
      </c>
      <c r="AW217" s="4">
        <v>0</v>
      </c>
      <c r="AX217" s="4">
        <v>0</v>
      </c>
      <c r="AZ217" s="2" t="s">
        <v>60</v>
      </c>
    </row>
    <row r="218" spans="2:52" x14ac:dyDescent="0.15">
      <c r="B218" s="2" t="s">
        <v>675</v>
      </c>
      <c r="C218" s="2" t="s">
        <v>1306</v>
      </c>
      <c r="D218" s="2" t="s">
        <v>220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220</v>
      </c>
      <c r="H218" s="4" t="str">
        <f>VLOOKUP(G218,corpsSet!$B$5:$C$46,2,0)</f>
        <v>锺会</v>
      </c>
      <c r="I218" s="4" t="s">
        <v>207</v>
      </c>
      <c r="J218" s="4" t="str">
        <f>VLOOKUP(I218,citySet!$B$5:$C$46,2,0)</f>
        <v>梓潼</v>
      </c>
      <c r="K218" s="2" t="s">
        <v>1270</v>
      </c>
      <c r="L218" s="2" t="s">
        <v>1309</v>
      </c>
      <c r="M218" s="2" t="s">
        <v>1310</v>
      </c>
      <c r="N218" s="4"/>
      <c r="O218" s="2" t="s">
        <v>558</v>
      </c>
      <c r="P218" s="2" t="s">
        <v>558</v>
      </c>
      <c r="Q218" s="4">
        <v>0</v>
      </c>
      <c r="R218" s="2" t="s">
        <v>370</v>
      </c>
      <c r="S218" s="2" t="s">
        <v>427</v>
      </c>
      <c r="T218" s="2" t="s">
        <v>373</v>
      </c>
      <c r="U218" s="2" t="s">
        <v>658</v>
      </c>
      <c r="V218" s="2" t="s">
        <v>119</v>
      </c>
      <c r="W218" s="4">
        <v>1</v>
      </c>
      <c r="X218" s="2" t="s">
        <v>365</v>
      </c>
      <c r="Y218" s="4">
        <v>4</v>
      </c>
      <c r="Z218" s="4" t="s">
        <v>1091</v>
      </c>
      <c r="AA218" s="2" t="s">
        <v>195</v>
      </c>
      <c r="AB218" s="2" t="s">
        <v>261</v>
      </c>
      <c r="AC218" s="2" t="s">
        <v>445</v>
      </c>
      <c r="AD218" s="4">
        <v>72</v>
      </c>
      <c r="AE218" s="2" t="s">
        <v>257</v>
      </c>
      <c r="AF218" s="2" t="s">
        <v>454</v>
      </c>
      <c r="AG218" s="2" t="s">
        <v>1307</v>
      </c>
      <c r="AH218" s="2" t="s">
        <v>185</v>
      </c>
      <c r="AI218" s="2" t="s">
        <v>380</v>
      </c>
      <c r="AJ218" s="4">
        <v>25</v>
      </c>
      <c r="AK218" s="2" t="s">
        <v>1284</v>
      </c>
      <c r="AL218" s="4"/>
      <c r="AN218" s="4"/>
      <c r="AP218" s="4"/>
      <c r="AQ218" s="4"/>
      <c r="AS218" s="4">
        <v>1</v>
      </c>
      <c r="AT218" s="4">
        <v>2</v>
      </c>
      <c r="AU218" s="4">
        <v>2</v>
      </c>
      <c r="AV218" s="4">
        <v>1</v>
      </c>
      <c r="AW218" s="4">
        <v>1</v>
      </c>
      <c r="AX218" s="4">
        <v>0</v>
      </c>
      <c r="AZ218" s="2" t="s">
        <v>60</v>
      </c>
    </row>
    <row r="219" spans="2:52" x14ac:dyDescent="0.15">
      <c r="B219" s="2" t="s">
        <v>332</v>
      </c>
      <c r="C219" s="2" t="s">
        <v>1311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33</v>
      </c>
      <c r="J219" s="4" t="str">
        <f>VLOOKUP(I219,citySet!$B$5:$C$46,2,0)</f>
        <v>平原</v>
      </c>
      <c r="K219" s="2" t="s">
        <v>1313</v>
      </c>
      <c r="L219" s="2" t="s">
        <v>1314</v>
      </c>
      <c r="M219" s="2" t="s">
        <v>1315</v>
      </c>
      <c r="N219" s="4"/>
      <c r="O219" s="2" t="s">
        <v>1312</v>
      </c>
      <c r="P219" s="2" t="s">
        <v>1312</v>
      </c>
      <c r="Q219" s="4">
        <v>0</v>
      </c>
      <c r="R219" s="2" t="s">
        <v>370</v>
      </c>
      <c r="S219" s="2" t="s">
        <v>435</v>
      </c>
      <c r="T219" s="2" t="s">
        <v>394</v>
      </c>
      <c r="U219" s="2" t="s">
        <v>340</v>
      </c>
      <c r="V219" s="2" t="s">
        <v>106</v>
      </c>
      <c r="W219" s="4">
        <v>2</v>
      </c>
      <c r="X219" s="2" t="s">
        <v>2983</v>
      </c>
      <c r="Y219" s="4">
        <v>0</v>
      </c>
      <c r="Z219" s="4" t="s">
        <v>39</v>
      </c>
      <c r="AA219" s="2" t="s">
        <v>60</v>
      </c>
      <c r="AB219" s="2" t="s">
        <v>104</v>
      </c>
      <c r="AC219" s="2" t="s">
        <v>254</v>
      </c>
      <c r="AD219" s="4">
        <v>70</v>
      </c>
      <c r="AE219" s="2" t="s">
        <v>397</v>
      </c>
      <c r="AF219" s="2" t="s">
        <v>481</v>
      </c>
      <c r="AG219" s="2" t="s">
        <v>416</v>
      </c>
      <c r="AH219" s="2" t="s">
        <v>185</v>
      </c>
      <c r="AI219" s="2" t="s">
        <v>675</v>
      </c>
      <c r="AJ219" s="4"/>
      <c r="AL219" s="4"/>
      <c r="AN219" s="4"/>
      <c r="AP219" s="4"/>
      <c r="AQ219" s="4"/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Z219" s="2" t="s">
        <v>60</v>
      </c>
    </row>
    <row r="220" spans="2:52" x14ac:dyDescent="0.15">
      <c r="B220" s="2" t="s">
        <v>340</v>
      </c>
      <c r="C220" s="2" t="s">
        <v>1316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18</v>
      </c>
      <c r="J220" s="4" t="str">
        <f>VLOOKUP(I220,citySet!$B$5:$C$46,2,0)</f>
        <v>洛阳</v>
      </c>
      <c r="K220" s="2" t="s">
        <v>1318</v>
      </c>
      <c r="L220" s="2" t="s">
        <v>1314</v>
      </c>
      <c r="M220" s="2" t="s">
        <v>1319</v>
      </c>
      <c r="N220" s="4"/>
      <c r="O220" s="2" t="s">
        <v>1317</v>
      </c>
      <c r="P220" s="2" t="s">
        <v>1317</v>
      </c>
      <c r="Q220" s="4">
        <v>1</v>
      </c>
      <c r="R220" s="2" t="s">
        <v>577</v>
      </c>
      <c r="S220" s="2" t="s">
        <v>435</v>
      </c>
      <c r="T220" s="2" t="s">
        <v>518</v>
      </c>
      <c r="U220" s="2" t="s">
        <v>633</v>
      </c>
      <c r="V220" s="2" t="s">
        <v>10</v>
      </c>
      <c r="W220" s="4">
        <v>2</v>
      </c>
      <c r="X220" s="2" t="s">
        <v>2983</v>
      </c>
      <c r="Y220" s="4">
        <v>0</v>
      </c>
      <c r="Z220" s="4" t="s">
        <v>39</v>
      </c>
      <c r="AA220" s="2" t="s">
        <v>60</v>
      </c>
      <c r="AB220" s="2" t="s">
        <v>20</v>
      </c>
      <c r="AC220" s="2" t="s">
        <v>24</v>
      </c>
      <c r="AD220" s="4">
        <v>76</v>
      </c>
      <c r="AE220" s="2" t="s">
        <v>329</v>
      </c>
      <c r="AF220" s="2" t="s">
        <v>256</v>
      </c>
      <c r="AG220" s="2" t="s">
        <v>491</v>
      </c>
      <c r="AH220" s="2" t="s">
        <v>185</v>
      </c>
      <c r="AI220" s="2" t="s">
        <v>332</v>
      </c>
      <c r="AJ220" s="4"/>
      <c r="AL220" s="4"/>
      <c r="AN220" s="4"/>
      <c r="AP220" s="4"/>
      <c r="AQ220" s="4"/>
      <c r="AS220" s="4">
        <v>0</v>
      </c>
      <c r="AT220" s="4">
        <v>0</v>
      </c>
      <c r="AU220" s="4">
        <v>0</v>
      </c>
      <c r="AV220" s="4">
        <v>1</v>
      </c>
      <c r="AW220" s="4">
        <v>0</v>
      </c>
      <c r="AX220" s="4">
        <v>0</v>
      </c>
      <c r="AZ220" s="2" t="s">
        <v>60</v>
      </c>
    </row>
    <row r="221" spans="2:52" x14ac:dyDescent="0.15">
      <c r="B221" s="2" t="s">
        <v>371</v>
      </c>
      <c r="C221" s="2" t="s">
        <v>1320</v>
      </c>
      <c r="D221" s="2" t="s">
        <v>34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34</v>
      </c>
      <c r="H221" s="4" t="str">
        <f>VLOOKUP(G221,corpsSet!$B$5:$C$46,2,0)</f>
        <v>刘表</v>
      </c>
      <c r="I221" s="4" t="s">
        <v>119</v>
      </c>
      <c r="J221" s="4" t="str">
        <f>VLOOKUP(I221,citySet!$B$5:$C$46,2,0)</f>
        <v>襄阳</v>
      </c>
      <c r="K221" s="2" t="s">
        <v>1318</v>
      </c>
      <c r="L221" s="2" t="s">
        <v>855</v>
      </c>
      <c r="N221" s="4"/>
      <c r="O221" s="2" t="s">
        <v>520</v>
      </c>
      <c r="P221" s="2" t="s">
        <v>520</v>
      </c>
      <c r="Q221" s="4">
        <v>0</v>
      </c>
      <c r="R221" s="2" t="s">
        <v>370</v>
      </c>
      <c r="S221" s="2" t="s">
        <v>578</v>
      </c>
      <c r="T221" s="2" t="s">
        <v>673</v>
      </c>
      <c r="U221" s="2" t="s">
        <v>406</v>
      </c>
      <c r="V221" s="2" t="s">
        <v>15</v>
      </c>
      <c r="W221" s="4">
        <v>1</v>
      </c>
      <c r="X221" s="2" t="s">
        <v>365</v>
      </c>
      <c r="Y221" s="4">
        <v>0</v>
      </c>
      <c r="Z221" s="4" t="s">
        <v>39</v>
      </c>
      <c r="AA221" s="2" t="s">
        <v>403</v>
      </c>
      <c r="AB221" s="2" t="s">
        <v>21</v>
      </c>
      <c r="AC221" s="2" t="s">
        <v>4</v>
      </c>
      <c r="AD221" s="4">
        <v>1</v>
      </c>
      <c r="AE221" s="2" t="s">
        <v>200</v>
      </c>
      <c r="AF221" s="2" t="s">
        <v>101</v>
      </c>
      <c r="AG221" s="2" t="s">
        <v>759</v>
      </c>
      <c r="AH221" s="2" t="s">
        <v>185</v>
      </c>
      <c r="AI221" s="2" t="s">
        <v>702</v>
      </c>
      <c r="AJ221" s="4"/>
      <c r="AK221" s="2" t="s">
        <v>1322</v>
      </c>
      <c r="AL221" s="4"/>
      <c r="AN221" s="4"/>
      <c r="AP221" s="4"/>
      <c r="AQ221" s="4"/>
      <c r="AS221" s="4">
        <v>0</v>
      </c>
      <c r="AT221" s="4">
        <v>0</v>
      </c>
      <c r="AU221" s="4">
        <v>1</v>
      </c>
      <c r="AV221" s="4">
        <v>0</v>
      </c>
      <c r="AW221" s="4">
        <v>0</v>
      </c>
      <c r="AX221" s="4">
        <v>2</v>
      </c>
      <c r="AZ221" s="2" t="s">
        <v>60</v>
      </c>
    </row>
    <row r="222" spans="2:52" x14ac:dyDescent="0.15">
      <c r="B222" s="2" t="s">
        <v>379</v>
      </c>
      <c r="C222" s="2" t="s">
        <v>1323</v>
      </c>
      <c r="D222" s="2" t="s">
        <v>34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34</v>
      </c>
      <c r="H222" s="4" t="str">
        <f>VLOOKUP(G222,corpsSet!$B$5:$C$46,2,0)</f>
        <v>刘表</v>
      </c>
      <c r="I222" s="4" t="s">
        <v>119</v>
      </c>
      <c r="J222" s="4" t="str">
        <f>VLOOKUP(I222,citySet!$B$5:$C$46,2,0)</f>
        <v>襄阳</v>
      </c>
      <c r="K222" s="2" t="s">
        <v>1318</v>
      </c>
      <c r="L222" s="2" t="s">
        <v>1326</v>
      </c>
      <c r="N222" s="4"/>
      <c r="O222" s="2" t="s">
        <v>1324</v>
      </c>
      <c r="P222" s="2" t="s">
        <v>1324</v>
      </c>
      <c r="Q222" s="4">
        <v>1</v>
      </c>
      <c r="R222" s="2" t="s">
        <v>577</v>
      </c>
      <c r="S222" s="2" t="s">
        <v>435</v>
      </c>
      <c r="T222" s="2" t="s">
        <v>436</v>
      </c>
      <c r="U222" s="2" t="s">
        <v>406</v>
      </c>
      <c r="V222" s="2" t="s">
        <v>15</v>
      </c>
      <c r="W222" s="4">
        <v>1</v>
      </c>
      <c r="X222" s="2" t="s">
        <v>365</v>
      </c>
      <c r="Y222" s="4">
        <v>0</v>
      </c>
      <c r="Z222" s="4" t="s">
        <v>39</v>
      </c>
      <c r="AA222" s="2" t="s">
        <v>134</v>
      </c>
      <c r="AB222" s="2" t="s">
        <v>30</v>
      </c>
      <c r="AC222" s="2" t="s">
        <v>34</v>
      </c>
      <c r="AD222" s="4">
        <v>69</v>
      </c>
      <c r="AE222" s="2" t="s">
        <v>485</v>
      </c>
      <c r="AF222" s="2" t="s">
        <v>404</v>
      </c>
      <c r="AG222" s="2" t="s">
        <v>406</v>
      </c>
      <c r="AH222" s="2" t="s">
        <v>185</v>
      </c>
      <c r="AI222" s="2" t="s">
        <v>702</v>
      </c>
      <c r="AJ222" s="4"/>
      <c r="AK222" s="2" t="s">
        <v>1325</v>
      </c>
      <c r="AL222" s="4"/>
      <c r="AN222" s="4" t="s">
        <v>2269</v>
      </c>
      <c r="AO222" s="2" t="s">
        <v>2468</v>
      </c>
      <c r="AP222" s="4"/>
      <c r="AQ222" s="4"/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1</v>
      </c>
      <c r="AZ222" s="2" t="s">
        <v>60</v>
      </c>
    </row>
    <row r="223" spans="2:52" x14ac:dyDescent="0.15">
      <c r="B223" s="2" t="s">
        <v>702</v>
      </c>
      <c r="C223" s="2" t="s">
        <v>1327</v>
      </c>
      <c r="D223" s="2" t="s">
        <v>34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34</v>
      </c>
      <c r="H223" s="4" t="str">
        <f>VLOOKUP(G223,corpsSet!$B$5:$C$46,2,0)</f>
        <v>刘表</v>
      </c>
      <c r="I223" s="4" t="s">
        <v>119</v>
      </c>
      <c r="J223" s="4" t="str">
        <f>VLOOKUP(I223,citySet!$B$5:$C$46,2,0)</f>
        <v>襄阳</v>
      </c>
      <c r="K223" s="2" t="s">
        <v>1318</v>
      </c>
      <c r="L223" s="2" t="s">
        <v>1329</v>
      </c>
      <c r="N223" s="4"/>
      <c r="O223" s="2" t="s">
        <v>1328</v>
      </c>
      <c r="P223" s="2" t="s">
        <v>1328</v>
      </c>
      <c r="Q223" s="4">
        <v>0</v>
      </c>
      <c r="R223" s="2" t="s">
        <v>370</v>
      </c>
      <c r="S223" s="2" t="s">
        <v>544</v>
      </c>
      <c r="T223" s="2" t="s">
        <v>518</v>
      </c>
      <c r="U223" s="2" t="s">
        <v>406</v>
      </c>
      <c r="V223" s="2" t="s">
        <v>15</v>
      </c>
      <c r="W223" s="4">
        <v>1</v>
      </c>
      <c r="X223" s="2" t="s">
        <v>365</v>
      </c>
      <c r="Y223" s="4">
        <v>0</v>
      </c>
      <c r="Z223" s="4" t="s">
        <v>39</v>
      </c>
      <c r="AA223" s="2" t="s">
        <v>403</v>
      </c>
      <c r="AB223" s="2" t="s">
        <v>126</v>
      </c>
      <c r="AC223" s="2" t="s">
        <v>3</v>
      </c>
      <c r="AD223" s="4">
        <v>2</v>
      </c>
      <c r="AE223" s="2" t="s">
        <v>10</v>
      </c>
      <c r="AF223" s="2" t="s">
        <v>99</v>
      </c>
      <c r="AG223" s="2" t="s">
        <v>759</v>
      </c>
      <c r="AH223" s="2" t="s">
        <v>185</v>
      </c>
      <c r="AI223" s="2" t="s">
        <v>702</v>
      </c>
      <c r="AJ223" s="4"/>
      <c r="AK223" s="2" t="s">
        <v>1322</v>
      </c>
      <c r="AL223" s="4"/>
      <c r="AN223" s="4"/>
      <c r="AP223" s="4"/>
      <c r="AQ223" s="4"/>
      <c r="AS223" s="4">
        <v>0</v>
      </c>
      <c r="AT223" s="4">
        <v>1</v>
      </c>
      <c r="AU223" s="4">
        <v>0</v>
      </c>
      <c r="AV223" s="4">
        <v>0</v>
      </c>
      <c r="AW223" s="4">
        <v>0</v>
      </c>
      <c r="AX223" s="4">
        <v>2</v>
      </c>
      <c r="AZ223" s="2" t="s">
        <v>60</v>
      </c>
    </row>
    <row r="224" spans="2:52" x14ac:dyDescent="0.15">
      <c r="B224" s="2" t="s">
        <v>456</v>
      </c>
      <c r="C224" s="2" t="s">
        <v>1330</v>
      </c>
      <c r="D224" s="2" t="s">
        <v>34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34</v>
      </c>
      <c r="H224" s="4" t="str">
        <f>VLOOKUP(G224,corpsSet!$B$5:$C$46,2,0)</f>
        <v>刘表</v>
      </c>
      <c r="I224" s="4" t="s">
        <v>119</v>
      </c>
      <c r="J224" s="4" t="str">
        <f>VLOOKUP(I224,citySet!$B$5:$C$46,2,0)</f>
        <v>襄阳</v>
      </c>
      <c r="K224" s="2" t="s">
        <v>1318</v>
      </c>
      <c r="L224" s="2" t="s">
        <v>1078</v>
      </c>
      <c r="N224" s="4"/>
      <c r="O224" s="2" t="s">
        <v>837</v>
      </c>
      <c r="P224" s="2" t="s">
        <v>837</v>
      </c>
      <c r="Q224" s="4">
        <v>0</v>
      </c>
      <c r="R224" s="2" t="s">
        <v>370</v>
      </c>
      <c r="S224" s="2" t="s">
        <v>435</v>
      </c>
      <c r="T224" s="2" t="s">
        <v>933</v>
      </c>
      <c r="U224" s="2" t="s">
        <v>406</v>
      </c>
      <c r="V224" s="2" t="s">
        <v>15</v>
      </c>
      <c r="W224" s="4">
        <v>1</v>
      </c>
      <c r="X224" s="2" t="s">
        <v>365</v>
      </c>
      <c r="Y224" s="4">
        <v>4</v>
      </c>
      <c r="Z224" s="4" t="s">
        <v>1091</v>
      </c>
      <c r="AA224" s="2" t="s">
        <v>185</v>
      </c>
      <c r="AB224" s="2" t="s">
        <v>422</v>
      </c>
      <c r="AC224" s="2" t="s">
        <v>153</v>
      </c>
      <c r="AD224" s="4">
        <v>77</v>
      </c>
      <c r="AE224" s="2" t="s">
        <v>374</v>
      </c>
      <c r="AF224" s="2" t="s">
        <v>423</v>
      </c>
      <c r="AG224" s="2" t="s">
        <v>956</v>
      </c>
      <c r="AH224" s="2" t="s">
        <v>185</v>
      </c>
      <c r="AI224" s="2" t="s">
        <v>702</v>
      </c>
      <c r="AJ224" s="4"/>
      <c r="AK224" s="2" t="s">
        <v>1325</v>
      </c>
      <c r="AL224" s="4"/>
      <c r="AN224" s="4"/>
      <c r="AP224" s="4"/>
      <c r="AQ224" s="4"/>
      <c r="AS224" s="4">
        <v>1</v>
      </c>
      <c r="AT224" s="4">
        <v>1</v>
      </c>
      <c r="AU224" s="4">
        <v>1</v>
      </c>
      <c r="AV224" s="4">
        <v>0</v>
      </c>
      <c r="AW224" s="4">
        <v>0</v>
      </c>
      <c r="AX224" s="4">
        <v>3</v>
      </c>
      <c r="AZ224" s="2" t="s">
        <v>60</v>
      </c>
    </row>
    <row r="225" spans="2:52" x14ac:dyDescent="0.15">
      <c r="B225" s="2" t="s">
        <v>437</v>
      </c>
      <c r="C225" s="2" t="s">
        <v>1331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34</v>
      </c>
      <c r="J225" s="4" t="str">
        <f>VLOOKUP(I225,citySet!$B$5:$C$46,2,0)</f>
        <v>邺</v>
      </c>
      <c r="K225" s="2" t="s">
        <v>1313</v>
      </c>
      <c r="L225" s="2" t="s">
        <v>1333</v>
      </c>
      <c r="M225" s="2" t="s">
        <v>1334</v>
      </c>
      <c r="N225" s="4"/>
      <c r="O225" s="2" t="s">
        <v>1332</v>
      </c>
      <c r="P225" s="2" t="s">
        <v>1332</v>
      </c>
      <c r="Q225" s="4">
        <v>0</v>
      </c>
      <c r="R225" s="2" t="s">
        <v>370</v>
      </c>
      <c r="S225" s="2" t="s">
        <v>505</v>
      </c>
      <c r="T225" s="2" t="s">
        <v>544</v>
      </c>
      <c r="U225" s="2" t="s">
        <v>717</v>
      </c>
      <c r="V225" s="2" t="s">
        <v>10</v>
      </c>
      <c r="W225" s="4">
        <v>2</v>
      </c>
      <c r="X225" s="2" t="s">
        <v>2983</v>
      </c>
      <c r="Y225" s="4">
        <v>0</v>
      </c>
      <c r="Z225" s="4" t="s">
        <v>39</v>
      </c>
      <c r="AA225" s="2" t="s">
        <v>60</v>
      </c>
      <c r="AB225" s="2" t="s">
        <v>5</v>
      </c>
      <c r="AC225" s="2" t="s">
        <v>10</v>
      </c>
      <c r="AD225" s="4">
        <v>66</v>
      </c>
      <c r="AE225" s="2" t="s">
        <v>431</v>
      </c>
      <c r="AF225" s="2" t="s">
        <v>434</v>
      </c>
      <c r="AG225" s="2" t="s">
        <v>1046</v>
      </c>
      <c r="AH225" s="2" t="s">
        <v>185</v>
      </c>
      <c r="AI225" s="2" t="s">
        <v>675</v>
      </c>
      <c r="AJ225" s="4"/>
      <c r="AL225" s="4"/>
      <c r="AN225" s="4"/>
      <c r="AP225" s="4"/>
      <c r="AQ225" s="4"/>
      <c r="AS225" s="4">
        <v>0</v>
      </c>
      <c r="AT225" s="4">
        <v>0</v>
      </c>
      <c r="AU225" s="4">
        <v>1</v>
      </c>
      <c r="AV225" s="4">
        <v>0</v>
      </c>
      <c r="AW225" s="4">
        <v>0</v>
      </c>
      <c r="AX225" s="4">
        <v>0</v>
      </c>
      <c r="AZ225" s="2" t="s">
        <v>60</v>
      </c>
    </row>
    <row r="226" spans="2:52" x14ac:dyDescent="0.15">
      <c r="B226" s="2" t="s">
        <v>512</v>
      </c>
      <c r="C226" s="2" t="s">
        <v>1335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95</v>
      </c>
      <c r="J226" s="4" t="str">
        <f>VLOOKUP(I226,citySet!$B$5:$C$46,2,0)</f>
        <v>武陵</v>
      </c>
      <c r="K226" s="2" t="s">
        <v>1337</v>
      </c>
      <c r="L226" s="2" t="s">
        <v>774</v>
      </c>
      <c r="N226" s="4"/>
      <c r="O226" s="2" t="s">
        <v>317</v>
      </c>
      <c r="P226" s="2" t="s">
        <v>317</v>
      </c>
      <c r="Q226" s="4">
        <v>0</v>
      </c>
      <c r="R226" s="2" t="s">
        <v>370</v>
      </c>
      <c r="S226" s="2" t="s">
        <v>215</v>
      </c>
      <c r="T226" s="2" t="s">
        <v>991</v>
      </c>
      <c r="U226" s="2" t="s">
        <v>610</v>
      </c>
      <c r="V226" s="2" t="s">
        <v>1012</v>
      </c>
      <c r="W226" s="4">
        <v>2</v>
      </c>
      <c r="X226" s="2" t="s">
        <v>2983</v>
      </c>
      <c r="Y226" s="4">
        <v>0</v>
      </c>
      <c r="Z226" s="4" t="s">
        <v>39</v>
      </c>
      <c r="AA226" s="2" t="s">
        <v>60</v>
      </c>
      <c r="AB226" s="2" t="s">
        <v>423</v>
      </c>
      <c r="AC226" s="2" t="s">
        <v>404</v>
      </c>
      <c r="AD226" s="4">
        <v>51</v>
      </c>
      <c r="AE226" s="2" t="s">
        <v>99</v>
      </c>
      <c r="AF226" s="2" t="s">
        <v>432</v>
      </c>
      <c r="AG226" s="2" t="s">
        <v>907</v>
      </c>
      <c r="AH226" s="2" t="s">
        <v>185</v>
      </c>
      <c r="AI226" s="2" t="s">
        <v>437</v>
      </c>
      <c r="AJ226" s="4"/>
      <c r="AL226" s="4"/>
      <c r="AN226" s="4"/>
      <c r="AP226" s="4"/>
      <c r="AQ226" s="4"/>
      <c r="AS226" s="4">
        <v>0</v>
      </c>
      <c r="AT226" s="4">
        <v>2</v>
      </c>
      <c r="AU226" s="4">
        <v>1</v>
      </c>
      <c r="AV226" s="4">
        <v>0</v>
      </c>
      <c r="AW226" s="4">
        <v>0</v>
      </c>
      <c r="AX226" s="4">
        <v>0</v>
      </c>
      <c r="AZ226" s="2" t="s">
        <v>60</v>
      </c>
    </row>
    <row r="227" spans="2:52" x14ac:dyDescent="0.15">
      <c r="B227" s="2" t="s">
        <v>489</v>
      </c>
      <c r="C227" s="2" t="s">
        <v>1338</v>
      </c>
      <c r="D227" s="2" t="s">
        <v>193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193</v>
      </c>
      <c r="H227" s="4" t="str">
        <f>VLOOKUP(G227,corpsSet!$B$5:$C$46,2,0)</f>
        <v>刘繇</v>
      </c>
      <c r="I227" s="4" t="s">
        <v>189</v>
      </c>
      <c r="J227" s="4" t="str">
        <f>VLOOKUP(I227,citySet!$B$5:$C$46,2,0)</f>
        <v>建业</v>
      </c>
      <c r="K227" s="2" t="s">
        <v>1340</v>
      </c>
      <c r="L227" s="2" t="s">
        <v>1240</v>
      </c>
      <c r="N227" s="4"/>
      <c r="O227" s="2" t="s">
        <v>1339</v>
      </c>
      <c r="P227" s="2" t="s">
        <v>1339</v>
      </c>
      <c r="Q227" s="4">
        <v>0</v>
      </c>
      <c r="R227" s="2" t="s">
        <v>370</v>
      </c>
      <c r="S227" s="2" t="s">
        <v>435</v>
      </c>
      <c r="T227" s="2" t="s">
        <v>759</v>
      </c>
      <c r="U227" s="2" t="s">
        <v>83</v>
      </c>
      <c r="V227" s="2" t="s">
        <v>24</v>
      </c>
      <c r="W227" s="4">
        <v>1</v>
      </c>
      <c r="X227" s="2" t="s">
        <v>365</v>
      </c>
      <c r="Y227" s="4">
        <v>1</v>
      </c>
      <c r="Z227" s="4" t="s">
        <v>1243</v>
      </c>
      <c r="AA227" s="2" t="s">
        <v>79</v>
      </c>
      <c r="AB227" s="2" t="s">
        <v>93</v>
      </c>
      <c r="AC227" s="2" t="s">
        <v>454</v>
      </c>
      <c r="AD227" s="4">
        <v>38</v>
      </c>
      <c r="AE227" s="2" t="s">
        <v>107</v>
      </c>
      <c r="AF227" s="2" t="s">
        <v>17</v>
      </c>
      <c r="AG227" s="2" t="s">
        <v>536</v>
      </c>
      <c r="AH227" s="2" t="s">
        <v>185</v>
      </c>
      <c r="AI227" s="2" t="s">
        <v>512</v>
      </c>
      <c r="AJ227" s="4"/>
      <c r="AL227" s="4"/>
      <c r="AN227" s="4"/>
      <c r="AP227" s="4"/>
      <c r="AQ227" s="4"/>
      <c r="AS227" s="4">
        <v>1</v>
      </c>
      <c r="AT227" s="4">
        <v>2</v>
      </c>
      <c r="AU227" s="4">
        <v>0</v>
      </c>
      <c r="AV227" s="4">
        <v>0</v>
      </c>
      <c r="AW227" s="4">
        <v>2</v>
      </c>
      <c r="AX227" s="4">
        <v>0</v>
      </c>
      <c r="AZ227" s="2" t="s">
        <v>60</v>
      </c>
    </row>
    <row r="228" spans="2:52" x14ac:dyDescent="0.15">
      <c r="B228" s="2" t="s">
        <v>633</v>
      </c>
      <c r="C228" s="2" t="s">
        <v>1341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189</v>
      </c>
      <c r="J228" s="4" t="str">
        <f>VLOOKUP(I228,citySet!$B$5:$C$46,2,0)</f>
        <v>建业</v>
      </c>
      <c r="K228" s="2" t="s">
        <v>1343</v>
      </c>
      <c r="L228" s="2" t="s">
        <v>1344</v>
      </c>
      <c r="N228" s="4"/>
      <c r="O228" s="2" t="s">
        <v>1342</v>
      </c>
      <c r="P228" s="2" t="s">
        <v>1342</v>
      </c>
      <c r="Q228" s="4">
        <v>0</v>
      </c>
      <c r="R228" s="2" t="s">
        <v>370</v>
      </c>
      <c r="S228" s="2" t="s">
        <v>453</v>
      </c>
      <c r="T228" s="2" t="s">
        <v>395</v>
      </c>
      <c r="U228" s="2" t="s">
        <v>659</v>
      </c>
      <c r="V228" s="2" t="s">
        <v>603</v>
      </c>
      <c r="W228" s="4">
        <v>2</v>
      </c>
      <c r="X228" s="2" t="s">
        <v>2983</v>
      </c>
      <c r="Y228" s="4">
        <v>0</v>
      </c>
      <c r="Z228" s="4" t="s">
        <v>39</v>
      </c>
      <c r="AA228" s="2" t="s">
        <v>60</v>
      </c>
      <c r="AB228" s="2" t="s">
        <v>207</v>
      </c>
      <c r="AC228" s="2" t="s">
        <v>257</v>
      </c>
      <c r="AD228" s="4">
        <v>47</v>
      </c>
      <c r="AE228" s="2" t="s">
        <v>107</v>
      </c>
      <c r="AF228" s="2" t="s">
        <v>3</v>
      </c>
      <c r="AG228" s="2" t="s">
        <v>373</v>
      </c>
      <c r="AH228" s="2" t="s">
        <v>185</v>
      </c>
      <c r="AI228" s="2" t="s">
        <v>489</v>
      </c>
      <c r="AJ228" s="4"/>
      <c r="AL228" s="4"/>
      <c r="AN228" s="4"/>
      <c r="AP228" s="4"/>
      <c r="AQ228" s="4"/>
      <c r="AS228" s="4">
        <v>0</v>
      </c>
      <c r="AT228" s="4">
        <v>1</v>
      </c>
      <c r="AU228" s="4">
        <v>1</v>
      </c>
      <c r="AV228" s="4">
        <v>0</v>
      </c>
      <c r="AW228" s="4">
        <v>0</v>
      </c>
      <c r="AX228" s="4">
        <v>0</v>
      </c>
      <c r="AZ228" s="2" t="s">
        <v>60</v>
      </c>
    </row>
    <row r="229" spans="2:52" x14ac:dyDescent="0.15">
      <c r="B229" s="2" t="s">
        <v>373</v>
      </c>
      <c r="C229" s="2" t="s">
        <v>1345</v>
      </c>
      <c r="D229" s="2" t="s">
        <v>15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15</v>
      </c>
      <c r="H229" s="4" t="str">
        <f>VLOOKUP(G229,corpsSet!$B$5:$C$46,2,0)</f>
        <v>邓艾</v>
      </c>
      <c r="I229" s="4" t="s">
        <v>21</v>
      </c>
      <c r="J229" s="4" t="str">
        <f>VLOOKUP(I229,citySet!$B$5:$C$46,2,0)</f>
        <v>江州</v>
      </c>
      <c r="K229" s="2" t="s">
        <v>1347</v>
      </c>
      <c r="L229" s="2" t="s">
        <v>1348</v>
      </c>
      <c r="N229" s="4"/>
      <c r="O229" s="2" t="s">
        <v>1346</v>
      </c>
      <c r="P229" s="2" t="s">
        <v>1346</v>
      </c>
      <c r="Q229" s="4">
        <v>0</v>
      </c>
      <c r="R229" s="2" t="s">
        <v>370</v>
      </c>
      <c r="S229" s="2" t="s">
        <v>609</v>
      </c>
      <c r="T229" s="2" t="s">
        <v>332</v>
      </c>
      <c r="U229" s="2" t="s">
        <v>491</v>
      </c>
      <c r="V229" s="2" t="s">
        <v>237</v>
      </c>
      <c r="W229" s="4">
        <v>1</v>
      </c>
      <c r="X229" s="2" t="s">
        <v>365</v>
      </c>
      <c r="Y229" s="4">
        <v>3</v>
      </c>
      <c r="Z229" s="4" t="s">
        <v>696</v>
      </c>
      <c r="AA229" s="2" t="s">
        <v>228</v>
      </c>
      <c r="AB229" s="2" t="s">
        <v>93</v>
      </c>
      <c r="AC229" s="2" t="s">
        <v>374</v>
      </c>
      <c r="AD229" s="4">
        <v>54</v>
      </c>
      <c r="AE229" s="2" t="s">
        <v>102</v>
      </c>
      <c r="AF229" s="2" t="s">
        <v>17</v>
      </c>
      <c r="AG229" s="2" t="s">
        <v>786</v>
      </c>
      <c r="AH229" s="2" t="s">
        <v>185</v>
      </c>
      <c r="AI229" s="2" t="s">
        <v>633</v>
      </c>
      <c r="AJ229" s="4"/>
      <c r="AL229" s="4"/>
      <c r="AN229" s="4"/>
      <c r="AP229" s="4"/>
      <c r="AQ229" s="4"/>
      <c r="AS229" s="4">
        <v>2</v>
      </c>
      <c r="AT229" s="4">
        <v>1</v>
      </c>
      <c r="AU229" s="4">
        <v>0</v>
      </c>
      <c r="AV229" s="4">
        <v>1</v>
      </c>
      <c r="AW229" s="4">
        <v>0</v>
      </c>
      <c r="AX229" s="4">
        <v>0</v>
      </c>
      <c r="AZ229" s="2" t="s">
        <v>60</v>
      </c>
    </row>
    <row r="230" spans="2:52" x14ac:dyDescent="0.15">
      <c r="B230" s="2" t="s">
        <v>395</v>
      </c>
      <c r="C230" s="2" t="s">
        <v>1349</v>
      </c>
      <c r="D230" s="2" t="s">
        <v>18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18</v>
      </c>
      <c r="H230" s="4" t="str">
        <f>VLOOKUP(G230,corpsSet!$B$5:$C$46,2,0)</f>
        <v>司马懿</v>
      </c>
      <c r="I230" s="4" t="s">
        <v>18</v>
      </c>
      <c r="J230" s="4" t="str">
        <f>VLOOKUP(I230,citySet!$B$5:$C$46,2,0)</f>
        <v>洛阳</v>
      </c>
      <c r="K230" s="2" t="s">
        <v>583</v>
      </c>
      <c r="L230" s="2" t="s">
        <v>1153</v>
      </c>
      <c r="M230" s="2" t="s">
        <v>1353</v>
      </c>
      <c r="N230" s="4"/>
      <c r="O230" s="2" t="s">
        <v>1351</v>
      </c>
      <c r="P230" s="2" t="s">
        <v>1351</v>
      </c>
      <c r="Q230" s="4">
        <v>0</v>
      </c>
      <c r="R230" s="2" t="s">
        <v>370</v>
      </c>
      <c r="S230" s="2" t="s">
        <v>94</v>
      </c>
      <c r="T230" s="2" t="s">
        <v>498</v>
      </c>
      <c r="U230" s="2" t="s">
        <v>215</v>
      </c>
      <c r="V230" s="2" t="s">
        <v>213</v>
      </c>
      <c r="W230" s="4">
        <v>3</v>
      </c>
      <c r="X230" s="2" t="s">
        <v>2</v>
      </c>
      <c r="Y230" s="4">
        <v>0</v>
      </c>
      <c r="Z230" s="4" t="s">
        <v>39</v>
      </c>
      <c r="AA230" s="2" t="s">
        <v>185</v>
      </c>
      <c r="AB230" s="2" t="s">
        <v>228</v>
      </c>
      <c r="AC230" s="2" t="s">
        <v>382</v>
      </c>
      <c r="AD230" s="4">
        <v>96</v>
      </c>
      <c r="AE230" s="2" t="s">
        <v>130</v>
      </c>
      <c r="AF230" s="2" t="s">
        <v>837</v>
      </c>
      <c r="AG230" s="2" t="s">
        <v>1350</v>
      </c>
      <c r="AH230" s="2" t="s">
        <v>185</v>
      </c>
      <c r="AI230" s="2" t="s">
        <v>373</v>
      </c>
      <c r="AJ230" s="4"/>
      <c r="AK230" s="2" t="s">
        <v>1352</v>
      </c>
      <c r="AL230" s="4"/>
      <c r="AN230" s="4" t="s">
        <v>1899</v>
      </c>
      <c r="AO230" s="2" t="s">
        <v>1359</v>
      </c>
      <c r="AP230" s="4"/>
      <c r="AQ230" s="4"/>
      <c r="AS230" s="4">
        <v>3</v>
      </c>
      <c r="AT230" s="4">
        <v>2</v>
      </c>
      <c r="AU230" s="4">
        <v>2</v>
      </c>
      <c r="AV230" s="4">
        <v>3</v>
      </c>
      <c r="AW230" s="4">
        <v>2</v>
      </c>
      <c r="AX230" s="4">
        <v>0</v>
      </c>
      <c r="AZ230" s="2" t="s">
        <v>60</v>
      </c>
    </row>
    <row r="231" spans="2:52" x14ac:dyDescent="0.15">
      <c r="B231" s="2" t="s">
        <v>519</v>
      </c>
      <c r="C231" s="2" t="s">
        <v>1354</v>
      </c>
      <c r="D231" s="2" t="s">
        <v>18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18</v>
      </c>
      <c r="H231" s="4" t="str">
        <f>VLOOKUP(G231,corpsSet!$B$5:$C$46,2,0)</f>
        <v>司马懿</v>
      </c>
      <c r="I231" s="4" t="s">
        <v>18</v>
      </c>
      <c r="J231" s="4" t="str">
        <f>VLOOKUP(I231,citySet!$B$5:$C$46,2,0)</f>
        <v>洛阳</v>
      </c>
      <c r="K231" s="2" t="s">
        <v>583</v>
      </c>
      <c r="L231" s="2" t="s">
        <v>1356</v>
      </c>
      <c r="M231" s="2" t="s">
        <v>1357</v>
      </c>
      <c r="N231" s="4"/>
      <c r="O231" s="2" t="s">
        <v>490</v>
      </c>
      <c r="P231" s="2" t="s">
        <v>490</v>
      </c>
      <c r="Q231" s="4">
        <v>0</v>
      </c>
      <c r="R231" s="2" t="s">
        <v>370</v>
      </c>
      <c r="S231" s="2" t="s">
        <v>487</v>
      </c>
      <c r="T231" s="2" t="s">
        <v>562</v>
      </c>
      <c r="U231" s="2" t="s">
        <v>1042</v>
      </c>
      <c r="V231" s="2" t="s">
        <v>213</v>
      </c>
      <c r="W231" s="4">
        <v>1</v>
      </c>
      <c r="X231" s="2" t="s">
        <v>365</v>
      </c>
      <c r="Y231" s="4">
        <v>0</v>
      </c>
      <c r="Z231" s="4" t="s">
        <v>39</v>
      </c>
      <c r="AA231" s="2" t="s">
        <v>134</v>
      </c>
      <c r="AB231" s="2" t="s">
        <v>454</v>
      </c>
      <c r="AC231" s="2" t="s">
        <v>486</v>
      </c>
      <c r="AD231" s="4">
        <v>76</v>
      </c>
      <c r="AE231" s="2" t="s">
        <v>88</v>
      </c>
      <c r="AF231" s="2" t="s">
        <v>367</v>
      </c>
      <c r="AG231" s="2" t="s">
        <v>960</v>
      </c>
      <c r="AH231" s="2" t="s">
        <v>185</v>
      </c>
      <c r="AI231" s="2" t="s">
        <v>373</v>
      </c>
      <c r="AJ231" s="4" t="s">
        <v>806</v>
      </c>
      <c r="AK231" s="2" t="s">
        <v>1355</v>
      </c>
      <c r="AL231" s="4"/>
      <c r="AN231" s="4"/>
      <c r="AP231" s="4"/>
      <c r="AQ231" s="4"/>
      <c r="AS231" s="4">
        <v>0</v>
      </c>
      <c r="AT231" s="4">
        <v>0</v>
      </c>
      <c r="AU231" s="4">
        <v>1</v>
      </c>
      <c r="AV231" s="4">
        <v>1</v>
      </c>
      <c r="AW231" s="4">
        <v>0</v>
      </c>
      <c r="AX231" s="4">
        <v>0</v>
      </c>
      <c r="AZ231" s="2" t="s">
        <v>60</v>
      </c>
    </row>
    <row r="232" spans="2:52" x14ac:dyDescent="0.15">
      <c r="B232" s="2" t="s">
        <v>667</v>
      </c>
      <c r="C232" s="2" t="s">
        <v>179</v>
      </c>
      <c r="D232" s="2" t="s">
        <v>18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18</v>
      </c>
      <c r="H232" s="4" t="str">
        <f>VLOOKUP(G232,corpsSet!$B$5:$C$46,2,0)</f>
        <v>司马懿</v>
      </c>
      <c r="I232" s="4" t="s">
        <v>18</v>
      </c>
      <c r="J232" s="4" t="str">
        <f>VLOOKUP(I232,citySet!$B$5:$C$46,2,0)</f>
        <v>洛阳</v>
      </c>
      <c r="K232" s="2" t="s">
        <v>583</v>
      </c>
      <c r="L232" s="2" t="s">
        <v>1347</v>
      </c>
      <c r="M232" s="2" t="s">
        <v>1360</v>
      </c>
      <c r="N232" s="4"/>
      <c r="O232" s="2" t="s">
        <v>123</v>
      </c>
      <c r="P232" s="2" t="s">
        <v>123</v>
      </c>
      <c r="Q232" s="4">
        <v>0</v>
      </c>
      <c r="R232" s="2" t="s">
        <v>370</v>
      </c>
      <c r="S232" s="2" t="s">
        <v>512</v>
      </c>
      <c r="T232" s="2" t="s">
        <v>406</v>
      </c>
      <c r="U232" s="2" t="s">
        <v>86</v>
      </c>
      <c r="V232" s="2" t="s">
        <v>213</v>
      </c>
      <c r="W232" s="4">
        <v>1</v>
      </c>
      <c r="X232" s="2" t="s">
        <v>365</v>
      </c>
      <c r="Y232" s="4">
        <v>6</v>
      </c>
      <c r="Z232" s="4" t="s">
        <v>614</v>
      </c>
      <c r="AA232" s="2" t="s">
        <v>134</v>
      </c>
      <c r="AB232" s="2" t="s">
        <v>329</v>
      </c>
      <c r="AC232" s="2" t="s">
        <v>444</v>
      </c>
      <c r="AD232" s="4">
        <v>88</v>
      </c>
      <c r="AE232" s="2" t="s">
        <v>554</v>
      </c>
      <c r="AF232" s="2" t="s">
        <v>431</v>
      </c>
      <c r="AG232" s="2" t="s">
        <v>1358</v>
      </c>
      <c r="AH232" s="2" t="s">
        <v>185</v>
      </c>
      <c r="AI232" s="2" t="s">
        <v>373</v>
      </c>
      <c r="AJ232" s="4" t="s">
        <v>395</v>
      </c>
      <c r="AK232" s="2" t="s">
        <v>1349</v>
      </c>
      <c r="AL232" s="4" t="s">
        <v>1899</v>
      </c>
      <c r="AM232" s="2" t="s">
        <v>1359</v>
      </c>
      <c r="AN232" s="4"/>
      <c r="AP232" s="4"/>
      <c r="AQ232" s="4"/>
      <c r="AS232" s="4">
        <v>2</v>
      </c>
      <c r="AT232" s="4">
        <v>1</v>
      </c>
      <c r="AU232" s="4">
        <v>1</v>
      </c>
      <c r="AV232" s="4">
        <v>1</v>
      </c>
      <c r="AW232" s="4">
        <v>0</v>
      </c>
      <c r="AX232" s="4">
        <v>0</v>
      </c>
      <c r="AZ232" s="2" t="s">
        <v>60</v>
      </c>
    </row>
    <row r="233" spans="2:52" x14ac:dyDescent="0.15">
      <c r="B233" s="2" t="s">
        <v>806</v>
      </c>
      <c r="C233" s="2" t="s">
        <v>1355</v>
      </c>
      <c r="D233" s="2" t="s">
        <v>18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18</v>
      </c>
      <c r="H233" s="4" t="str">
        <f>VLOOKUP(G233,corpsSet!$B$5:$C$46,2,0)</f>
        <v>司马懿</v>
      </c>
      <c r="I233" s="4" t="s">
        <v>18</v>
      </c>
      <c r="J233" s="4" t="str">
        <f>VLOOKUP(I233,citySet!$B$5:$C$46,2,0)</f>
        <v>洛阳</v>
      </c>
      <c r="K233" s="2" t="s">
        <v>583</v>
      </c>
      <c r="L233" s="2" t="s">
        <v>387</v>
      </c>
      <c r="M233" s="2" t="s">
        <v>1361</v>
      </c>
      <c r="N233" s="4"/>
      <c r="O233" s="2" t="s">
        <v>78</v>
      </c>
      <c r="P233" s="2" t="s">
        <v>78</v>
      </c>
      <c r="Q233" s="4">
        <v>0</v>
      </c>
      <c r="R233" s="2" t="s">
        <v>370</v>
      </c>
      <c r="S233" s="2" t="s">
        <v>373</v>
      </c>
      <c r="T233" s="2" t="s">
        <v>417</v>
      </c>
      <c r="U233" s="2" t="s">
        <v>854</v>
      </c>
      <c r="V233" s="2" t="s">
        <v>213</v>
      </c>
      <c r="W233" s="4">
        <v>1</v>
      </c>
      <c r="X233" s="2" t="s">
        <v>365</v>
      </c>
      <c r="Y233" s="4">
        <v>5</v>
      </c>
      <c r="Z233" s="4" t="s">
        <v>575</v>
      </c>
      <c r="AA233" s="2" t="s">
        <v>134</v>
      </c>
      <c r="AB233" s="2" t="s">
        <v>434</v>
      </c>
      <c r="AC233" s="2" t="s">
        <v>432</v>
      </c>
      <c r="AD233" s="4">
        <v>87</v>
      </c>
      <c r="AE233" s="2" t="s">
        <v>123</v>
      </c>
      <c r="AF233" s="2" t="s">
        <v>329</v>
      </c>
      <c r="AG233" s="2" t="s">
        <v>871</v>
      </c>
      <c r="AH233" s="2" t="s">
        <v>185</v>
      </c>
      <c r="AI233" s="2" t="s">
        <v>373</v>
      </c>
      <c r="AJ233" s="4" t="s">
        <v>395</v>
      </c>
      <c r="AK233" s="2" t="s">
        <v>1349</v>
      </c>
      <c r="AL233" s="4" t="s">
        <v>1899</v>
      </c>
      <c r="AM233" s="2" t="s">
        <v>1359</v>
      </c>
      <c r="AN233" s="4"/>
      <c r="AP233" s="4"/>
      <c r="AQ233" s="4"/>
      <c r="AS233" s="4">
        <v>2</v>
      </c>
      <c r="AT233" s="4">
        <v>1</v>
      </c>
      <c r="AU233" s="4">
        <v>2</v>
      </c>
      <c r="AV233" s="4">
        <v>1</v>
      </c>
      <c r="AW233" s="4">
        <v>1</v>
      </c>
      <c r="AX233" s="4">
        <v>0</v>
      </c>
      <c r="AZ233" s="2" t="s">
        <v>60</v>
      </c>
    </row>
    <row r="234" spans="2:52" x14ac:dyDescent="0.15">
      <c r="B234" s="2" t="s">
        <v>424</v>
      </c>
      <c r="C234" s="2" t="s">
        <v>1362</v>
      </c>
      <c r="D234" s="2" t="s">
        <v>18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18</v>
      </c>
      <c r="H234" s="4" t="str">
        <f>VLOOKUP(G234,corpsSet!$B$5:$C$46,2,0)</f>
        <v>司马懿</v>
      </c>
      <c r="I234" s="4" t="s">
        <v>18</v>
      </c>
      <c r="J234" s="4" t="str">
        <f>VLOOKUP(I234,citySet!$B$5:$C$46,2,0)</f>
        <v>洛阳</v>
      </c>
      <c r="K234" s="2" t="s">
        <v>583</v>
      </c>
      <c r="L234" s="2" t="s">
        <v>1221</v>
      </c>
      <c r="M234" s="2" t="s">
        <v>1365</v>
      </c>
      <c r="N234" s="4"/>
      <c r="O234" s="2" t="s">
        <v>1363</v>
      </c>
      <c r="P234" s="2" t="s">
        <v>1363</v>
      </c>
      <c r="Q234" s="4">
        <v>0</v>
      </c>
      <c r="R234" s="2" t="s">
        <v>370</v>
      </c>
      <c r="S234" s="2" t="s">
        <v>1136</v>
      </c>
      <c r="T234" s="2" t="s">
        <v>519</v>
      </c>
      <c r="U234" s="2" t="s">
        <v>941</v>
      </c>
      <c r="V234" s="2" t="s">
        <v>213</v>
      </c>
      <c r="W234" s="4">
        <v>1</v>
      </c>
      <c r="X234" s="2" t="s">
        <v>365</v>
      </c>
      <c r="Y234" s="4">
        <v>0</v>
      </c>
      <c r="Z234" s="4" t="s">
        <v>39</v>
      </c>
      <c r="AA234" s="2" t="s">
        <v>134</v>
      </c>
      <c r="AB234" s="2" t="s">
        <v>269</v>
      </c>
      <c r="AC234" s="2" t="s">
        <v>14</v>
      </c>
      <c r="AD234" s="4">
        <v>61</v>
      </c>
      <c r="AE234" s="2" t="s">
        <v>404</v>
      </c>
      <c r="AF234" s="2" t="s">
        <v>423</v>
      </c>
      <c r="AG234" s="2" t="s">
        <v>488</v>
      </c>
      <c r="AH234" s="2" t="s">
        <v>185</v>
      </c>
      <c r="AI234" s="2" t="s">
        <v>373</v>
      </c>
      <c r="AJ234" s="4" t="s">
        <v>395</v>
      </c>
      <c r="AK234" s="2" t="s">
        <v>1349</v>
      </c>
      <c r="AL234" s="4"/>
      <c r="AN234" s="4"/>
      <c r="AP234" s="4"/>
      <c r="AQ234" s="4"/>
      <c r="AS234" s="4">
        <v>0</v>
      </c>
      <c r="AT234" s="4">
        <v>0</v>
      </c>
      <c r="AU234" s="4">
        <v>1</v>
      </c>
      <c r="AV234" s="4">
        <v>0</v>
      </c>
      <c r="AW234" s="4">
        <v>0</v>
      </c>
      <c r="AX234" s="4">
        <v>2</v>
      </c>
      <c r="AZ234" s="2" t="s">
        <v>60</v>
      </c>
    </row>
    <row r="235" spans="2:52" x14ac:dyDescent="0.15">
      <c r="B235" s="2" t="s">
        <v>556</v>
      </c>
      <c r="C235" s="2" t="s">
        <v>1366</v>
      </c>
      <c r="D235" s="2" t="s">
        <v>18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18</v>
      </c>
      <c r="H235" s="4" t="str">
        <f>VLOOKUP(G235,corpsSet!$B$5:$C$46,2,0)</f>
        <v>司马懿</v>
      </c>
      <c r="I235" s="4" t="s">
        <v>18</v>
      </c>
      <c r="J235" s="4" t="str">
        <f>VLOOKUP(I235,citySet!$B$5:$C$46,2,0)</f>
        <v>洛阳</v>
      </c>
      <c r="K235" s="2" t="s">
        <v>583</v>
      </c>
      <c r="L235" s="2" t="s">
        <v>1367</v>
      </c>
      <c r="M235" s="2" t="s">
        <v>1368</v>
      </c>
      <c r="N235" s="4"/>
      <c r="O235" s="2" t="s">
        <v>284</v>
      </c>
      <c r="P235" s="2" t="s">
        <v>284</v>
      </c>
      <c r="Q235" s="4">
        <v>0</v>
      </c>
      <c r="R235" s="2" t="s">
        <v>370</v>
      </c>
      <c r="S235" s="2" t="s">
        <v>479</v>
      </c>
      <c r="T235" s="2" t="s">
        <v>96</v>
      </c>
      <c r="U235" s="2" t="s">
        <v>658</v>
      </c>
      <c r="V235" s="2" t="s">
        <v>193</v>
      </c>
      <c r="W235" s="4">
        <v>1</v>
      </c>
      <c r="X235" s="2" t="s">
        <v>365</v>
      </c>
      <c r="Y235" s="4">
        <v>7</v>
      </c>
      <c r="Z235" s="4" t="s">
        <v>3078</v>
      </c>
      <c r="AA235" s="2" t="s">
        <v>185</v>
      </c>
      <c r="AB235" s="2" t="s">
        <v>153</v>
      </c>
      <c r="AC235" s="2" t="s">
        <v>226</v>
      </c>
      <c r="AD235" s="4">
        <v>76</v>
      </c>
      <c r="AE235" s="2" t="s">
        <v>88</v>
      </c>
      <c r="AF235" s="2" t="s">
        <v>256</v>
      </c>
      <c r="AG235" s="2" t="s">
        <v>615</v>
      </c>
      <c r="AH235" s="2" t="s">
        <v>185</v>
      </c>
      <c r="AI235" s="2" t="s">
        <v>373</v>
      </c>
      <c r="AJ235" s="4"/>
      <c r="AK235" s="2" t="s">
        <v>1352</v>
      </c>
      <c r="AL235" s="4"/>
      <c r="AN235" s="4"/>
      <c r="AP235" s="4"/>
      <c r="AQ235" s="4"/>
      <c r="AS235" s="4">
        <v>1</v>
      </c>
      <c r="AT235" s="4">
        <v>1</v>
      </c>
      <c r="AU235" s="4">
        <v>1</v>
      </c>
      <c r="AV235" s="4">
        <v>0</v>
      </c>
      <c r="AW235" s="4">
        <v>1</v>
      </c>
      <c r="AX235" s="4">
        <v>0</v>
      </c>
      <c r="AZ235" s="2" t="s">
        <v>60</v>
      </c>
    </row>
    <row r="236" spans="2:52" x14ac:dyDescent="0.15">
      <c r="B236" s="2" t="s">
        <v>991</v>
      </c>
      <c r="C236" s="2" t="s">
        <v>1369</v>
      </c>
      <c r="D236" s="2" t="s">
        <v>18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18</v>
      </c>
      <c r="H236" s="4" t="str">
        <f>VLOOKUP(G236,corpsSet!$B$5:$C$46,2,0)</f>
        <v>司马懿</v>
      </c>
      <c r="I236" s="4" t="s">
        <v>18</v>
      </c>
      <c r="J236" s="4" t="str">
        <f>VLOOKUP(I236,citySet!$B$5:$C$46,2,0)</f>
        <v>洛阳</v>
      </c>
      <c r="K236" s="2" t="s">
        <v>583</v>
      </c>
      <c r="L236" s="2" t="s">
        <v>1371</v>
      </c>
      <c r="M236" s="2" t="s">
        <v>1372</v>
      </c>
      <c r="N236" s="4"/>
      <c r="O236" s="2" t="s">
        <v>1370</v>
      </c>
      <c r="P236" s="2" t="s">
        <v>1370</v>
      </c>
      <c r="Q236" s="4">
        <v>0</v>
      </c>
      <c r="R236" s="2" t="s">
        <v>370</v>
      </c>
      <c r="S236" s="2" t="s">
        <v>702</v>
      </c>
      <c r="T236" s="2" t="s">
        <v>90</v>
      </c>
      <c r="U236" s="2" t="s">
        <v>1014</v>
      </c>
      <c r="V236" s="2" t="s">
        <v>193</v>
      </c>
      <c r="W236" s="4">
        <v>1</v>
      </c>
      <c r="X236" s="2" t="s">
        <v>365</v>
      </c>
      <c r="Y236" s="4">
        <v>0</v>
      </c>
      <c r="Z236" s="4" t="s">
        <v>39</v>
      </c>
      <c r="AA236" s="2" t="s">
        <v>134</v>
      </c>
      <c r="AB236" s="2" t="s">
        <v>261</v>
      </c>
      <c r="AC236" s="2" t="s">
        <v>485</v>
      </c>
      <c r="AD236" s="4">
        <v>78</v>
      </c>
      <c r="AE236" s="2" t="s">
        <v>257</v>
      </c>
      <c r="AF236" s="2" t="s">
        <v>98</v>
      </c>
      <c r="AG236" s="2" t="s">
        <v>726</v>
      </c>
      <c r="AH236" s="2" t="s">
        <v>185</v>
      </c>
      <c r="AI236" s="2" t="s">
        <v>373</v>
      </c>
      <c r="AJ236" s="4" t="s">
        <v>556</v>
      </c>
      <c r="AK236" s="2" t="s">
        <v>1366</v>
      </c>
      <c r="AL236" s="4"/>
      <c r="AN236" s="4"/>
      <c r="AP236" s="4"/>
      <c r="AQ236" s="4"/>
      <c r="AS236" s="4">
        <v>0</v>
      </c>
      <c r="AT236" s="4">
        <v>1</v>
      </c>
      <c r="AU236" s="4">
        <v>0</v>
      </c>
      <c r="AV236" s="4">
        <v>1</v>
      </c>
      <c r="AW236" s="4">
        <v>0</v>
      </c>
      <c r="AX236" s="4">
        <v>0</v>
      </c>
      <c r="AZ236" s="2" t="s">
        <v>60</v>
      </c>
    </row>
    <row r="237" spans="2:52" x14ac:dyDescent="0.15">
      <c r="B237" s="2" t="s">
        <v>762</v>
      </c>
      <c r="C237" s="2" t="s">
        <v>1373</v>
      </c>
      <c r="D237" s="2" t="s">
        <v>18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18</v>
      </c>
      <c r="H237" s="4" t="str">
        <f>VLOOKUP(G237,corpsSet!$B$5:$C$46,2,0)</f>
        <v>司马懿</v>
      </c>
      <c r="I237" s="4" t="s">
        <v>18</v>
      </c>
      <c r="J237" s="4" t="str">
        <f>VLOOKUP(I237,citySet!$B$5:$C$46,2,0)</f>
        <v>洛阳</v>
      </c>
      <c r="K237" s="2" t="s">
        <v>583</v>
      </c>
      <c r="L237" s="2" t="s">
        <v>1044</v>
      </c>
      <c r="M237" s="2" t="s">
        <v>1375</v>
      </c>
      <c r="N237" s="4"/>
      <c r="O237" s="2" t="s">
        <v>907</v>
      </c>
      <c r="P237" s="2" t="s">
        <v>907</v>
      </c>
      <c r="Q237" s="4">
        <v>0</v>
      </c>
      <c r="R237" s="2" t="s">
        <v>370</v>
      </c>
      <c r="S237" s="2" t="s">
        <v>548</v>
      </c>
      <c r="T237" s="2" t="s">
        <v>646</v>
      </c>
      <c r="U237" s="2" t="s">
        <v>941</v>
      </c>
      <c r="V237" s="2" t="s">
        <v>119</v>
      </c>
      <c r="W237" s="4">
        <v>1</v>
      </c>
      <c r="X237" s="2" t="s">
        <v>365</v>
      </c>
      <c r="Y237" s="4">
        <v>0</v>
      </c>
      <c r="Z237" s="4" t="s">
        <v>39</v>
      </c>
      <c r="AA237" s="2" t="s">
        <v>134</v>
      </c>
      <c r="AB237" s="2" t="s">
        <v>515</v>
      </c>
      <c r="AC237" s="2" t="s">
        <v>321</v>
      </c>
      <c r="AD237" s="4">
        <v>75</v>
      </c>
      <c r="AE237" s="2" t="s">
        <v>422</v>
      </c>
      <c r="AF237" s="2" t="s">
        <v>837</v>
      </c>
      <c r="AG237" s="2" t="s">
        <v>1374</v>
      </c>
      <c r="AH237" s="2" t="s">
        <v>185</v>
      </c>
      <c r="AI237" s="2" t="s">
        <v>373</v>
      </c>
      <c r="AJ237" s="4" t="s">
        <v>806</v>
      </c>
      <c r="AK237" s="2" t="s">
        <v>1355</v>
      </c>
      <c r="AL237" s="4"/>
      <c r="AN237" s="4"/>
      <c r="AP237" s="4"/>
      <c r="AQ237" s="4"/>
      <c r="AS237" s="4">
        <v>1</v>
      </c>
      <c r="AT237" s="4">
        <v>1</v>
      </c>
      <c r="AU237" s="4">
        <v>2</v>
      </c>
      <c r="AV237" s="4">
        <v>1</v>
      </c>
      <c r="AW237" s="4">
        <v>1</v>
      </c>
      <c r="AX237" s="4">
        <v>0</v>
      </c>
      <c r="AZ237" s="2" t="s">
        <v>60</v>
      </c>
    </row>
    <row r="238" spans="2:52" x14ac:dyDescent="0.15">
      <c r="B238" s="2" t="s">
        <v>609</v>
      </c>
      <c r="C238" s="2" t="s">
        <v>1376</v>
      </c>
      <c r="D238" s="2" t="s">
        <v>18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18</v>
      </c>
      <c r="H238" s="4" t="str">
        <f>VLOOKUP(G238,corpsSet!$B$5:$C$46,2,0)</f>
        <v>司马懿</v>
      </c>
      <c r="I238" s="4" t="s">
        <v>18</v>
      </c>
      <c r="J238" s="4" t="str">
        <f>VLOOKUP(I238,citySet!$B$5:$C$46,2,0)</f>
        <v>洛阳</v>
      </c>
      <c r="K238" s="2" t="s">
        <v>583</v>
      </c>
      <c r="L238" s="2" t="s">
        <v>721</v>
      </c>
      <c r="M238" s="2" t="s">
        <v>1377</v>
      </c>
      <c r="N238" s="4"/>
      <c r="O238" s="2" t="s">
        <v>960</v>
      </c>
      <c r="P238" s="2" t="s">
        <v>960</v>
      </c>
      <c r="Q238" s="4">
        <v>0</v>
      </c>
      <c r="R238" s="2" t="s">
        <v>370</v>
      </c>
      <c r="S238" s="2" t="s">
        <v>372</v>
      </c>
      <c r="T238" s="2" t="s">
        <v>579</v>
      </c>
      <c r="U238" s="2" t="s">
        <v>371</v>
      </c>
      <c r="V238" s="2" t="s">
        <v>106</v>
      </c>
      <c r="W238" s="4">
        <v>1</v>
      </c>
      <c r="X238" s="2" t="s">
        <v>365</v>
      </c>
      <c r="Y238" s="4">
        <v>8</v>
      </c>
      <c r="Z238" s="4" t="s">
        <v>3079</v>
      </c>
      <c r="AA238" s="2" t="s">
        <v>185</v>
      </c>
      <c r="AB238" s="2" t="s">
        <v>106</v>
      </c>
      <c r="AC238" s="2" t="s">
        <v>107</v>
      </c>
      <c r="AD238" s="4">
        <v>71</v>
      </c>
      <c r="AE238" s="2" t="s">
        <v>554</v>
      </c>
      <c r="AF238" s="2" t="s">
        <v>235</v>
      </c>
      <c r="AG238" s="2" t="s">
        <v>405</v>
      </c>
      <c r="AH238" s="2" t="s">
        <v>185</v>
      </c>
      <c r="AI238" s="2" t="s">
        <v>373</v>
      </c>
      <c r="AJ238" s="4"/>
      <c r="AK238" s="2" t="s">
        <v>1352</v>
      </c>
      <c r="AL238" s="4"/>
      <c r="AN238" s="4"/>
      <c r="AP238" s="4"/>
      <c r="AQ238" s="4"/>
      <c r="AS238" s="4">
        <v>0</v>
      </c>
      <c r="AT238" s="4">
        <v>0</v>
      </c>
      <c r="AU238" s="4">
        <v>1</v>
      </c>
      <c r="AV238" s="4">
        <v>0</v>
      </c>
      <c r="AW238" s="4">
        <v>0</v>
      </c>
      <c r="AX238" s="4">
        <v>0</v>
      </c>
      <c r="AZ238" s="2" t="s">
        <v>60</v>
      </c>
    </row>
    <row r="239" spans="2:52" x14ac:dyDescent="0.15">
      <c r="B239" s="2" t="s">
        <v>887</v>
      </c>
      <c r="C239" s="2" t="s">
        <v>1378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189</v>
      </c>
      <c r="J239" s="4" t="str">
        <f>VLOOKUP(I239,citySet!$B$5:$C$46,2,0)</f>
        <v>建业</v>
      </c>
      <c r="K239" s="2" t="s">
        <v>1381</v>
      </c>
      <c r="L239" s="2" t="s">
        <v>1382</v>
      </c>
      <c r="N239" s="4"/>
      <c r="O239" s="2" t="s">
        <v>1379</v>
      </c>
      <c r="P239" s="2" t="s">
        <v>1379</v>
      </c>
      <c r="Q239" s="4">
        <v>0</v>
      </c>
      <c r="R239" s="2" t="s">
        <v>370</v>
      </c>
      <c r="S239" s="2" t="s">
        <v>425</v>
      </c>
      <c r="T239" s="2" t="s">
        <v>725</v>
      </c>
      <c r="U239" s="2" t="s">
        <v>437</v>
      </c>
      <c r="V239" s="2" t="s">
        <v>1035</v>
      </c>
      <c r="W239" s="4">
        <v>2</v>
      </c>
      <c r="X239" s="2" t="s">
        <v>2983</v>
      </c>
      <c r="Y239" s="4">
        <v>0</v>
      </c>
      <c r="Z239" s="4" t="s">
        <v>39</v>
      </c>
      <c r="AA239" s="2" t="s">
        <v>60</v>
      </c>
      <c r="AB239" s="2" t="s">
        <v>444</v>
      </c>
      <c r="AC239" s="2" t="s">
        <v>434</v>
      </c>
      <c r="AD239" s="4">
        <v>34</v>
      </c>
      <c r="AE239" s="2" t="s">
        <v>95</v>
      </c>
      <c r="AF239" s="2" t="s">
        <v>100</v>
      </c>
      <c r="AG239" s="2" t="s">
        <v>215</v>
      </c>
      <c r="AH239" s="2" t="s">
        <v>185</v>
      </c>
      <c r="AI239" s="2" t="s">
        <v>609</v>
      </c>
      <c r="AJ239" s="4"/>
      <c r="AL239" s="4"/>
      <c r="AN239" s="4"/>
      <c r="AP239" s="4"/>
      <c r="AQ239" s="4"/>
      <c r="AS239" s="4">
        <v>2</v>
      </c>
      <c r="AT239" s="4">
        <v>0</v>
      </c>
      <c r="AU239" s="4">
        <v>0</v>
      </c>
      <c r="AV239" s="4">
        <v>1</v>
      </c>
      <c r="AW239" s="4">
        <v>0</v>
      </c>
      <c r="AX239" s="4">
        <v>1</v>
      </c>
      <c r="AZ239" s="2" t="s">
        <v>60</v>
      </c>
    </row>
    <row r="240" spans="2:52" x14ac:dyDescent="0.15">
      <c r="B240" s="2" t="s">
        <v>562</v>
      </c>
      <c r="C240" s="2" t="s">
        <v>1383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29</v>
      </c>
      <c r="J240" s="4" t="str">
        <f>VLOOKUP(I240,citySet!$B$5:$C$46,2,0)</f>
        <v>下邳</v>
      </c>
      <c r="K240" s="2" t="s">
        <v>1385</v>
      </c>
      <c r="L240" s="2" t="s">
        <v>1386</v>
      </c>
      <c r="N240" s="4"/>
      <c r="O240" s="2" t="s">
        <v>324</v>
      </c>
      <c r="P240" s="2" t="s">
        <v>324</v>
      </c>
      <c r="Q240" s="4">
        <v>0</v>
      </c>
      <c r="R240" s="2" t="s">
        <v>370</v>
      </c>
      <c r="S240" s="2" t="s">
        <v>435</v>
      </c>
      <c r="T240" s="2" t="s">
        <v>957</v>
      </c>
      <c r="U240" s="2" t="s">
        <v>479</v>
      </c>
      <c r="V240" s="2" t="s">
        <v>107</v>
      </c>
      <c r="W240" s="4">
        <v>2</v>
      </c>
      <c r="X240" s="2" t="s">
        <v>2983</v>
      </c>
      <c r="Y240" s="4">
        <v>0</v>
      </c>
      <c r="Z240" s="4" t="s">
        <v>39</v>
      </c>
      <c r="AA240" s="2" t="s">
        <v>60</v>
      </c>
      <c r="AB240" s="2" t="s">
        <v>233</v>
      </c>
      <c r="AC240" s="2" t="s">
        <v>233</v>
      </c>
      <c r="AD240" s="4">
        <v>40</v>
      </c>
      <c r="AE240" s="2" t="s">
        <v>485</v>
      </c>
      <c r="AF240" s="2" t="s">
        <v>4</v>
      </c>
      <c r="AG240" s="2" t="s">
        <v>786</v>
      </c>
      <c r="AH240" s="2" t="s">
        <v>185</v>
      </c>
      <c r="AI240" s="2" t="s">
        <v>887</v>
      </c>
      <c r="AJ240" s="4"/>
      <c r="AL240" s="4"/>
      <c r="AN240" s="4"/>
      <c r="AP240" s="4"/>
      <c r="AQ240" s="4"/>
      <c r="AS240" s="4">
        <v>0</v>
      </c>
      <c r="AT240" s="4">
        <v>1</v>
      </c>
      <c r="AU240" s="4">
        <v>0</v>
      </c>
      <c r="AV240" s="4">
        <v>1</v>
      </c>
      <c r="AW240" s="4">
        <v>0</v>
      </c>
      <c r="AX240" s="4">
        <v>0</v>
      </c>
      <c r="AZ240" s="2" t="s">
        <v>60</v>
      </c>
    </row>
    <row r="241" spans="2:52" x14ac:dyDescent="0.15">
      <c r="B241" s="2" t="s">
        <v>626</v>
      </c>
      <c r="C241" s="2" t="s">
        <v>1387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95</v>
      </c>
      <c r="J241" s="4" t="str">
        <f>VLOOKUP(I241,citySet!$B$5:$C$46,2,0)</f>
        <v>武陵</v>
      </c>
      <c r="K241" s="2" t="s">
        <v>1388</v>
      </c>
      <c r="L241" s="2" t="s">
        <v>1389</v>
      </c>
      <c r="N241" s="4"/>
      <c r="O241" s="2" t="s">
        <v>409</v>
      </c>
      <c r="P241" s="2" t="s">
        <v>409</v>
      </c>
      <c r="Q241" s="4">
        <v>0</v>
      </c>
      <c r="R241" s="2" t="s">
        <v>370</v>
      </c>
      <c r="S241" s="2" t="s">
        <v>326</v>
      </c>
      <c r="T241" s="2" t="s">
        <v>779</v>
      </c>
      <c r="U241" s="2" t="s">
        <v>512</v>
      </c>
      <c r="V241" s="2" t="s">
        <v>515</v>
      </c>
      <c r="W241" s="4">
        <v>2</v>
      </c>
      <c r="X241" s="2" t="s">
        <v>2983</v>
      </c>
      <c r="Y241" s="4">
        <v>0</v>
      </c>
      <c r="Z241" s="4" t="s">
        <v>39</v>
      </c>
      <c r="AA241" s="2" t="s">
        <v>60</v>
      </c>
      <c r="AB241" s="2" t="s">
        <v>93</v>
      </c>
      <c r="AC241" s="2" t="s">
        <v>391</v>
      </c>
      <c r="AD241" s="4">
        <v>25</v>
      </c>
      <c r="AE241" s="2" t="s">
        <v>17</v>
      </c>
      <c r="AF241" s="2" t="s">
        <v>100</v>
      </c>
      <c r="AG241" s="2" t="s">
        <v>519</v>
      </c>
      <c r="AH241" s="2" t="s">
        <v>185</v>
      </c>
      <c r="AI241" s="2" t="s">
        <v>562</v>
      </c>
      <c r="AJ241" s="4"/>
      <c r="AL241" s="4"/>
      <c r="AN241" s="4"/>
      <c r="AP241" s="4"/>
      <c r="AQ241" s="4"/>
      <c r="AS241" s="4">
        <v>0</v>
      </c>
      <c r="AT241" s="4">
        <v>3</v>
      </c>
      <c r="AU241" s="4">
        <v>2</v>
      </c>
      <c r="AV241" s="4">
        <v>0</v>
      </c>
      <c r="AW241" s="4">
        <v>0</v>
      </c>
      <c r="AX241" s="4">
        <v>0</v>
      </c>
      <c r="AZ241" s="2" t="s">
        <v>60</v>
      </c>
    </row>
    <row r="242" spans="2:52" x14ac:dyDescent="0.15">
      <c r="B242" s="2" t="s">
        <v>843</v>
      </c>
      <c r="C242" s="2" t="s">
        <v>3094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193</v>
      </c>
      <c r="J242" s="4" t="str">
        <f>VLOOKUP(I242,citySet!$B$5:$C$46,2,0)</f>
        <v>吴</v>
      </c>
      <c r="K242" s="2" t="s">
        <v>1391</v>
      </c>
      <c r="L242" s="2" t="s">
        <v>581</v>
      </c>
      <c r="M242" s="2" t="s">
        <v>1392</v>
      </c>
      <c r="N242" s="4"/>
      <c r="O242" s="2" t="s">
        <v>1178</v>
      </c>
      <c r="P242" s="2" t="s">
        <v>1178</v>
      </c>
      <c r="Q242" s="4">
        <v>0</v>
      </c>
      <c r="R242" s="2" t="s">
        <v>370</v>
      </c>
      <c r="S242" s="2" t="s">
        <v>332</v>
      </c>
      <c r="T242" s="2" t="s">
        <v>772</v>
      </c>
      <c r="U242" s="2" t="s">
        <v>815</v>
      </c>
      <c r="V242" s="2" t="s">
        <v>608</v>
      </c>
      <c r="W242" s="4">
        <v>2</v>
      </c>
      <c r="X242" s="2" t="s">
        <v>2983</v>
      </c>
      <c r="Y242" s="4">
        <v>0</v>
      </c>
      <c r="Z242" s="4" t="s">
        <v>39</v>
      </c>
      <c r="AA242" s="2" t="s">
        <v>60</v>
      </c>
      <c r="AB242" s="2" t="s">
        <v>153</v>
      </c>
      <c r="AC242" s="2" t="s">
        <v>321</v>
      </c>
      <c r="AD242" s="4">
        <v>60</v>
      </c>
      <c r="AE242" s="2" t="s">
        <v>101</v>
      </c>
      <c r="AF242" s="2" t="s">
        <v>3</v>
      </c>
      <c r="AG242" s="2" t="s">
        <v>627</v>
      </c>
      <c r="AH242" s="2" t="s">
        <v>185</v>
      </c>
      <c r="AI242" s="2" t="s">
        <v>786</v>
      </c>
      <c r="AJ242" s="4" t="s">
        <v>861</v>
      </c>
      <c r="AK242" s="2" t="s">
        <v>1390</v>
      </c>
      <c r="AL242" s="4"/>
      <c r="AN242" s="4"/>
      <c r="AP242" s="4"/>
      <c r="AQ242" s="4"/>
      <c r="AS242" s="4">
        <v>1</v>
      </c>
      <c r="AT242" s="4">
        <v>2</v>
      </c>
      <c r="AU242" s="4">
        <v>1</v>
      </c>
      <c r="AV242" s="4">
        <v>0</v>
      </c>
      <c r="AW242" s="4">
        <v>0</v>
      </c>
      <c r="AX242" s="4">
        <v>2</v>
      </c>
      <c r="AZ242" s="2" t="s">
        <v>60</v>
      </c>
    </row>
    <row r="243" spans="2:52" x14ac:dyDescent="0.15">
      <c r="B243" s="2" t="s">
        <v>427</v>
      </c>
      <c r="C243" s="2" t="s">
        <v>1393</v>
      </c>
      <c r="D243" s="2" t="s">
        <v>193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193</v>
      </c>
      <c r="H243" s="4" t="str">
        <f>VLOOKUP(G243,corpsSet!$B$5:$C$46,2,0)</f>
        <v>刘繇</v>
      </c>
      <c r="I243" s="4" t="s">
        <v>189</v>
      </c>
      <c r="J243" s="4" t="str">
        <f>VLOOKUP(I243,citySet!$B$5:$C$46,2,0)</f>
        <v>建业</v>
      </c>
      <c r="K243" s="2" t="s">
        <v>1396</v>
      </c>
      <c r="L243" s="2" t="s">
        <v>1397</v>
      </c>
      <c r="M243" s="2" t="s">
        <v>1398</v>
      </c>
      <c r="N243" s="4"/>
      <c r="O243" s="2" t="s">
        <v>433</v>
      </c>
      <c r="P243" s="2" t="s">
        <v>433</v>
      </c>
      <c r="Q243" s="4">
        <v>0</v>
      </c>
      <c r="R243" s="2" t="s">
        <v>370</v>
      </c>
      <c r="S243" s="2" t="s">
        <v>435</v>
      </c>
      <c r="T243" s="2" t="s">
        <v>436</v>
      </c>
      <c r="U243" s="2" t="s">
        <v>327</v>
      </c>
      <c r="V243" s="2" t="s">
        <v>24</v>
      </c>
      <c r="W243" s="4">
        <v>1</v>
      </c>
      <c r="X243" s="2" t="s">
        <v>365</v>
      </c>
      <c r="Y243" s="4">
        <v>8</v>
      </c>
      <c r="Z243" s="4" t="s">
        <v>3079</v>
      </c>
      <c r="AA243" s="2" t="s">
        <v>403</v>
      </c>
      <c r="AB243" s="2" t="s">
        <v>257</v>
      </c>
      <c r="AC243" s="2" t="s">
        <v>423</v>
      </c>
      <c r="AD243" s="4">
        <v>72</v>
      </c>
      <c r="AE243" s="2" t="s">
        <v>257</v>
      </c>
      <c r="AF243" s="2" t="s">
        <v>269</v>
      </c>
      <c r="AG243" s="2" t="s">
        <v>1158</v>
      </c>
      <c r="AH243" s="2" t="s">
        <v>185</v>
      </c>
      <c r="AI243" s="2" t="s">
        <v>843</v>
      </c>
      <c r="AJ243" s="4"/>
      <c r="AK243" s="2" t="s">
        <v>1394</v>
      </c>
      <c r="AL243" s="4"/>
      <c r="AN243" s="4"/>
      <c r="AP243" s="4"/>
      <c r="AQ243" s="4"/>
      <c r="AS243" s="4">
        <v>1</v>
      </c>
      <c r="AT243" s="4">
        <v>0</v>
      </c>
      <c r="AU243" s="4">
        <v>2</v>
      </c>
      <c r="AV243" s="4">
        <v>0</v>
      </c>
      <c r="AW243" s="4">
        <v>0</v>
      </c>
      <c r="AX243" s="4">
        <v>0</v>
      </c>
      <c r="AZ243" s="2" t="s">
        <v>60</v>
      </c>
    </row>
    <row r="244" spans="2:52" x14ac:dyDescent="0.15">
      <c r="B244" s="2" t="s">
        <v>977</v>
      </c>
      <c r="C244" s="2" t="s">
        <v>1399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196</v>
      </c>
      <c r="J244" s="4" t="str">
        <f>VLOOKUP(I244,citySet!$B$5:$C$46,2,0)</f>
        <v>会稽</v>
      </c>
      <c r="K244" s="2" t="s">
        <v>1396</v>
      </c>
      <c r="L244" s="2" t="s">
        <v>1401</v>
      </c>
      <c r="N244" s="4"/>
      <c r="O244" s="2" t="s">
        <v>1400</v>
      </c>
      <c r="P244" s="2" t="s">
        <v>1400</v>
      </c>
      <c r="Q244" s="4">
        <v>0</v>
      </c>
      <c r="R244" s="2" t="s">
        <v>370</v>
      </c>
      <c r="S244" s="2" t="s">
        <v>435</v>
      </c>
      <c r="T244" s="2" t="s">
        <v>394</v>
      </c>
      <c r="U244" s="2" t="s">
        <v>83</v>
      </c>
      <c r="V244" s="2" t="s">
        <v>129</v>
      </c>
      <c r="W244" s="4">
        <v>2</v>
      </c>
      <c r="X244" s="2" t="s">
        <v>2983</v>
      </c>
      <c r="Y244" s="4">
        <v>0</v>
      </c>
      <c r="Z244" s="4" t="s">
        <v>39</v>
      </c>
      <c r="AA244" s="2" t="s">
        <v>60</v>
      </c>
      <c r="AB244" s="2" t="s">
        <v>367</v>
      </c>
      <c r="AC244" s="2" t="s">
        <v>257</v>
      </c>
      <c r="AD244" s="4">
        <v>62</v>
      </c>
      <c r="AE244" s="2" t="s">
        <v>233</v>
      </c>
      <c r="AF244" s="2" t="s">
        <v>423</v>
      </c>
      <c r="AG244" s="2" t="s">
        <v>832</v>
      </c>
      <c r="AH244" s="2" t="s">
        <v>185</v>
      </c>
      <c r="AI244" s="2" t="s">
        <v>843</v>
      </c>
      <c r="AJ244" s="4"/>
      <c r="AK244" s="2" t="s">
        <v>1394</v>
      </c>
      <c r="AL244" s="4"/>
      <c r="AN244" s="4"/>
      <c r="AP244" s="4"/>
      <c r="AQ244" s="4"/>
      <c r="AS244" s="4">
        <v>0</v>
      </c>
      <c r="AT244" s="4">
        <v>0</v>
      </c>
      <c r="AU244" s="4">
        <v>2</v>
      </c>
      <c r="AV244" s="4">
        <v>0</v>
      </c>
      <c r="AW244" s="4">
        <v>2</v>
      </c>
      <c r="AX244" s="4">
        <v>0</v>
      </c>
      <c r="AZ244" s="2" t="s">
        <v>60</v>
      </c>
    </row>
    <row r="245" spans="2:52" x14ac:dyDescent="0.15">
      <c r="B245" s="2" t="s">
        <v>1136</v>
      </c>
      <c r="C245" s="2" t="s">
        <v>1402</v>
      </c>
      <c r="D245" s="2" t="s">
        <v>18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18</v>
      </c>
      <c r="H245" s="4" t="str">
        <f>VLOOKUP(G245,corpsSet!$B$5:$C$46,2,0)</f>
        <v>司马懿</v>
      </c>
      <c r="I245" s="4" t="s">
        <v>18</v>
      </c>
      <c r="J245" s="4" t="str">
        <f>VLOOKUP(I245,citySet!$B$5:$C$46,2,0)</f>
        <v>洛阳</v>
      </c>
      <c r="K245" s="2" t="s">
        <v>1396</v>
      </c>
      <c r="L245" s="2" t="s">
        <v>1404</v>
      </c>
      <c r="N245" s="4"/>
      <c r="O245" s="2" t="s">
        <v>1403</v>
      </c>
      <c r="P245" s="2" t="s">
        <v>1403</v>
      </c>
      <c r="Q245" s="4">
        <v>0</v>
      </c>
      <c r="R245" s="2" t="s">
        <v>370</v>
      </c>
      <c r="S245" s="2" t="s">
        <v>542</v>
      </c>
      <c r="T245" s="2" t="s">
        <v>762</v>
      </c>
      <c r="U245" s="2" t="s">
        <v>813</v>
      </c>
      <c r="V245" s="2" t="s">
        <v>5</v>
      </c>
      <c r="W245" s="4">
        <v>1</v>
      </c>
      <c r="X245" s="2" t="s">
        <v>365</v>
      </c>
      <c r="Y245" s="4">
        <v>2</v>
      </c>
      <c r="Z245" s="4" t="s">
        <v>443</v>
      </c>
      <c r="AA245" s="2" t="s">
        <v>185</v>
      </c>
      <c r="AB245" s="2" t="s">
        <v>257</v>
      </c>
      <c r="AC245" s="2" t="s">
        <v>256</v>
      </c>
      <c r="AD245" s="4">
        <v>41</v>
      </c>
      <c r="AE245" s="2" t="s">
        <v>208</v>
      </c>
      <c r="AF245" s="2" t="s">
        <v>99</v>
      </c>
      <c r="AG245" s="2" t="s">
        <v>919</v>
      </c>
      <c r="AH245" s="2" t="s">
        <v>185</v>
      </c>
      <c r="AI245" s="2" t="s">
        <v>977</v>
      </c>
      <c r="AJ245" s="4"/>
      <c r="AL245" s="4"/>
      <c r="AN245" s="4"/>
      <c r="AP245" s="4"/>
      <c r="AQ245" s="4"/>
      <c r="AS245" s="4">
        <v>0</v>
      </c>
      <c r="AT245" s="4">
        <v>0</v>
      </c>
      <c r="AU245" s="4">
        <v>0</v>
      </c>
      <c r="AV245" s="4">
        <v>2</v>
      </c>
      <c r="AW245" s="4">
        <v>3</v>
      </c>
      <c r="AX245" s="4">
        <v>2</v>
      </c>
      <c r="AZ245" s="2" t="s">
        <v>60</v>
      </c>
    </row>
    <row r="246" spans="2:52" x14ac:dyDescent="0.15">
      <c r="B246" s="2" t="s">
        <v>368</v>
      </c>
      <c r="C246" s="2" t="s">
        <v>1405</v>
      </c>
      <c r="D246" s="2" t="s">
        <v>35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35</v>
      </c>
      <c r="H246" s="4" t="str">
        <f>VLOOKUP(G246,corpsSet!$B$5:$C$46,2,0)</f>
        <v>刘备</v>
      </c>
      <c r="I246" s="4" t="s">
        <v>213</v>
      </c>
      <c r="J246" s="4" t="str">
        <f>VLOOKUP(I246,citySet!$B$5:$C$46,2,0)</f>
        <v>江陵</v>
      </c>
      <c r="K246" s="2" t="s">
        <v>1396</v>
      </c>
      <c r="L246" s="2" t="s">
        <v>1406</v>
      </c>
      <c r="N246" s="4"/>
      <c r="O246" s="2" t="s">
        <v>106</v>
      </c>
      <c r="P246" s="2" t="s">
        <v>106</v>
      </c>
      <c r="Q246" s="4">
        <v>0</v>
      </c>
      <c r="R246" s="2" t="s">
        <v>370</v>
      </c>
      <c r="S246" s="2" t="s">
        <v>435</v>
      </c>
      <c r="T246" s="2" t="s">
        <v>957</v>
      </c>
      <c r="U246" s="2" t="s">
        <v>702</v>
      </c>
      <c r="V246" s="2" t="s">
        <v>481</v>
      </c>
      <c r="W246" s="4">
        <v>1</v>
      </c>
      <c r="X246" s="2" t="s">
        <v>365</v>
      </c>
      <c r="Y246" s="4">
        <v>0</v>
      </c>
      <c r="Z246" s="4" t="s">
        <v>39</v>
      </c>
      <c r="AA246" s="2" t="s">
        <v>185</v>
      </c>
      <c r="AB246" s="2" t="s">
        <v>423</v>
      </c>
      <c r="AC246" s="2" t="s">
        <v>391</v>
      </c>
      <c r="AD246" s="4">
        <v>42</v>
      </c>
      <c r="AE246" s="2" t="s">
        <v>95</v>
      </c>
      <c r="AF246" s="2" t="s">
        <v>93</v>
      </c>
      <c r="AG246" s="2" t="s">
        <v>597</v>
      </c>
      <c r="AH246" s="2" t="s">
        <v>185</v>
      </c>
      <c r="AI246" s="2" t="s">
        <v>1136</v>
      </c>
      <c r="AJ246" s="4"/>
      <c r="AL246" s="4"/>
      <c r="AN246" s="4"/>
      <c r="AP246" s="4"/>
      <c r="AQ246" s="4"/>
      <c r="AS246" s="4">
        <v>0</v>
      </c>
      <c r="AT246" s="4">
        <v>2</v>
      </c>
      <c r="AU246" s="4">
        <v>0</v>
      </c>
      <c r="AV246" s="4">
        <v>1</v>
      </c>
      <c r="AW246" s="4">
        <v>0</v>
      </c>
      <c r="AX246" s="4">
        <v>2</v>
      </c>
      <c r="AZ246" s="2" t="s">
        <v>60</v>
      </c>
    </row>
    <row r="247" spans="2:52" x14ac:dyDescent="0.15">
      <c r="B247" s="2" t="s">
        <v>198</v>
      </c>
      <c r="C247" s="2" t="s">
        <v>1407</v>
      </c>
      <c r="D247" s="2" t="s">
        <v>31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31</v>
      </c>
      <c r="H247" s="4" t="str">
        <f>VLOOKUP(G247,corpsSet!$B$5:$C$46,2,0)</f>
        <v>孙坚</v>
      </c>
      <c r="I247" s="4" t="s">
        <v>204</v>
      </c>
      <c r="J247" s="4" t="str">
        <f>VLOOKUP(I247,citySet!$B$5:$C$46,2,0)</f>
        <v>柴桑</v>
      </c>
      <c r="K247" s="2" t="s">
        <v>1396</v>
      </c>
      <c r="L247" s="2" t="s">
        <v>1408</v>
      </c>
      <c r="M247" s="2" t="s">
        <v>1409</v>
      </c>
      <c r="N247" s="4"/>
      <c r="O247" s="2" t="s">
        <v>176</v>
      </c>
      <c r="P247" s="2" t="s">
        <v>176</v>
      </c>
      <c r="Q247" s="4">
        <v>0</v>
      </c>
      <c r="R247" s="2" t="s">
        <v>370</v>
      </c>
      <c r="S247" s="2" t="s">
        <v>393</v>
      </c>
      <c r="T247" s="2" t="s">
        <v>579</v>
      </c>
      <c r="U247" s="2" t="s">
        <v>373</v>
      </c>
      <c r="V247" s="2" t="s">
        <v>335</v>
      </c>
      <c r="W247" s="4">
        <v>1</v>
      </c>
      <c r="X247" s="2" t="s">
        <v>365</v>
      </c>
      <c r="Y247" s="4">
        <v>0</v>
      </c>
      <c r="Z247" s="4" t="s">
        <v>39</v>
      </c>
      <c r="AA247" s="2" t="s">
        <v>185</v>
      </c>
      <c r="AB247" s="2" t="s">
        <v>434</v>
      </c>
      <c r="AC247" s="2" t="s">
        <v>148</v>
      </c>
      <c r="AD247" s="4">
        <v>48</v>
      </c>
      <c r="AE247" s="2" t="s">
        <v>207</v>
      </c>
      <c r="AF247" s="2" t="s">
        <v>93</v>
      </c>
      <c r="AG247" s="2" t="s">
        <v>850</v>
      </c>
      <c r="AH247" s="2" t="s">
        <v>185</v>
      </c>
      <c r="AI247" s="2" t="s">
        <v>368</v>
      </c>
      <c r="AJ247" s="4"/>
      <c r="AL247" s="4"/>
      <c r="AN247" s="4"/>
      <c r="AP247" s="4"/>
      <c r="AQ247" s="4"/>
      <c r="AS247" s="4">
        <v>2</v>
      </c>
      <c r="AT247" s="4">
        <v>3</v>
      </c>
      <c r="AU247" s="4">
        <v>0</v>
      </c>
      <c r="AV247" s="4">
        <v>2</v>
      </c>
      <c r="AW247" s="4">
        <v>0</v>
      </c>
      <c r="AX247" s="4">
        <v>3</v>
      </c>
      <c r="AZ247" s="2" t="s">
        <v>60</v>
      </c>
    </row>
    <row r="248" spans="2:52" x14ac:dyDescent="0.15">
      <c r="B248" s="2" t="s">
        <v>717</v>
      </c>
      <c r="C248" s="2" t="s">
        <v>1410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103</v>
      </c>
      <c r="J248" s="4" t="str">
        <f>VLOOKUP(I248,citySet!$B$5:$C$46,2,0)</f>
        <v>宛</v>
      </c>
      <c r="K248" s="2" t="s">
        <v>114</v>
      </c>
      <c r="L248" s="2" t="s">
        <v>1408</v>
      </c>
      <c r="N248" s="4"/>
      <c r="O248" s="2" t="s">
        <v>511</v>
      </c>
      <c r="P248" s="2" t="s">
        <v>511</v>
      </c>
      <c r="Q248" s="4">
        <v>0</v>
      </c>
      <c r="R248" s="2" t="s">
        <v>370</v>
      </c>
      <c r="S248" s="2" t="s">
        <v>395</v>
      </c>
      <c r="T248" s="2" t="s">
        <v>505</v>
      </c>
      <c r="U248" s="2" t="s">
        <v>590</v>
      </c>
      <c r="V248" s="2" t="s">
        <v>237</v>
      </c>
      <c r="W248" s="4">
        <v>2</v>
      </c>
      <c r="X248" s="2" t="s">
        <v>2983</v>
      </c>
      <c r="Y248" s="4">
        <v>0</v>
      </c>
      <c r="Z248" s="4" t="s">
        <v>39</v>
      </c>
      <c r="AA248" s="2" t="s">
        <v>60</v>
      </c>
      <c r="AB248" s="2" t="s">
        <v>515</v>
      </c>
      <c r="AC248" s="2" t="s">
        <v>444</v>
      </c>
      <c r="AD248" s="4">
        <v>71</v>
      </c>
      <c r="AE248" s="2" t="s">
        <v>444</v>
      </c>
      <c r="AF248" s="2" t="s">
        <v>486</v>
      </c>
      <c r="AG248" s="2" t="s">
        <v>1199</v>
      </c>
      <c r="AH248" s="2" t="s">
        <v>185</v>
      </c>
      <c r="AI248" s="2" t="s">
        <v>198</v>
      </c>
      <c r="AJ248" s="4"/>
      <c r="AL248" s="4"/>
      <c r="AN248" s="4"/>
      <c r="AP248" s="4"/>
      <c r="AQ248" s="4"/>
      <c r="AS248" s="4">
        <v>2</v>
      </c>
      <c r="AT248" s="4">
        <v>1</v>
      </c>
      <c r="AU248" s="4">
        <v>1</v>
      </c>
      <c r="AV248" s="4">
        <v>1</v>
      </c>
      <c r="AW248" s="4">
        <v>1</v>
      </c>
      <c r="AX248" s="4">
        <v>0</v>
      </c>
      <c r="AZ248" s="2" t="s">
        <v>60</v>
      </c>
    </row>
    <row r="249" spans="2:52" x14ac:dyDescent="0.15">
      <c r="B249" s="2" t="s">
        <v>453</v>
      </c>
      <c r="C249" s="2" t="s">
        <v>1411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200</v>
      </c>
      <c r="J249" s="4" t="str">
        <f>VLOOKUP(I249,citySet!$B$5:$C$46,2,0)</f>
        <v>庐江</v>
      </c>
      <c r="K249" s="2" t="s">
        <v>1396</v>
      </c>
      <c r="L249" s="2" t="s">
        <v>1413</v>
      </c>
      <c r="M249" s="2" t="s">
        <v>765</v>
      </c>
      <c r="N249" s="4"/>
      <c r="O249" s="2" t="s">
        <v>1412</v>
      </c>
      <c r="P249" s="2" t="s">
        <v>1412</v>
      </c>
      <c r="Q249" s="4">
        <v>0</v>
      </c>
      <c r="R249" s="2" t="s">
        <v>370</v>
      </c>
      <c r="S249" s="2" t="s">
        <v>702</v>
      </c>
      <c r="T249" s="2" t="s">
        <v>950</v>
      </c>
      <c r="U249" s="2" t="s">
        <v>977</v>
      </c>
      <c r="V249" s="2" t="s">
        <v>137</v>
      </c>
      <c r="W249" s="4">
        <v>2</v>
      </c>
      <c r="X249" s="2" t="s">
        <v>2983</v>
      </c>
      <c r="Y249" s="4">
        <v>0</v>
      </c>
      <c r="Z249" s="4" t="s">
        <v>39</v>
      </c>
      <c r="AA249" s="2" t="s">
        <v>60</v>
      </c>
      <c r="AB249" s="2" t="s">
        <v>14</v>
      </c>
      <c r="AC249" s="2" t="s">
        <v>237</v>
      </c>
      <c r="AD249" s="4">
        <v>80</v>
      </c>
      <c r="AE249" s="2" t="s">
        <v>481</v>
      </c>
      <c r="AF249" s="2" t="s">
        <v>486</v>
      </c>
      <c r="AG249" s="2" t="s">
        <v>568</v>
      </c>
      <c r="AH249" s="2" t="s">
        <v>185</v>
      </c>
      <c r="AI249" s="2" t="s">
        <v>717</v>
      </c>
      <c r="AJ249" s="4"/>
      <c r="AL249" s="4"/>
      <c r="AN249" s="4"/>
      <c r="AP249" s="4"/>
      <c r="AQ249" s="4"/>
      <c r="AS249" s="4">
        <v>0</v>
      </c>
      <c r="AT249" s="4">
        <v>0</v>
      </c>
      <c r="AU249" s="4">
        <v>1</v>
      </c>
      <c r="AV249" s="4">
        <v>0</v>
      </c>
      <c r="AW249" s="4">
        <v>0</v>
      </c>
      <c r="AX249" s="4">
        <v>0</v>
      </c>
      <c r="AZ249" s="2" t="s">
        <v>60</v>
      </c>
    </row>
    <row r="250" spans="2:52" x14ac:dyDescent="0.15">
      <c r="B250" s="2" t="s">
        <v>786</v>
      </c>
      <c r="C250" s="2" t="s">
        <v>22</v>
      </c>
      <c r="D250" s="2" t="s">
        <v>31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31</v>
      </c>
      <c r="H250" s="4" t="str">
        <f>VLOOKUP(G250,corpsSet!$B$5:$C$46,2,0)</f>
        <v>孙坚</v>
      </c>
      <c r="I250" s="4" t="s">
        <v>204</v>
      </c>
      <c r="J250" s="4" t="str">
        <f>VLOOKUP(I250,citySet!$B$5:$C$46,2,0)</f>
        <v>柴桑</v>
      </c>
      <c r="K250" s="2" t="s">
        <v>1396</v>
      </c>
      <c r="L250" s="2" t="s">
        <v>1414</v>
      </c>
      <c r="M250" s="2" t="s">
        <v>1415</v>
      </c>
      <c r="N250" s="4"/>
      <c r="O250" s="2" t="s">
        <v>148</v>
      </c>
      <c r="P250" s="2" t="s">
        <v>148</v>
      </c>
      <c r="Q250" s="4">
        <v>0</v>
      </c>
      <c r="R250" s="2" t="s">
        <v>370</v>
      </c>
      <c r="S250" s="2" t="s">
        <v>393</v>
      </c>
      <c r="T250" s="2" t="s">
        <v>97</v>
      </c>
      <c r="U250" s="2" t="s">
        <v>685</v>
      </c>
      <c r="V250" s="2" t="s">
        <v>521</v>
      </c>
      <c r="W250" s="4">
        <v>1</v>
      </c>
      <c r="X250" s="2" t="s">
        <v>365</v>
      </c>
      <c r="Y250" s="4">
        <v>8</v>
      </c>
      <c r="Z250" s="4" t="s">
        <v>3079</v>
      </c>
      <c r="AA250" s="2" t="s">
        <v>134</v>
      </c>
      <c r="AB250" s="2" t="s">
        <v>413</v>
      </c>
      <c r="AC250" s="2" t="s">
        <v>515</v>
      </c>
      <c r="AD250" s="4">
        <v>96</v>
      </c>
      <c r="AE250" s="2" t="s">
        <v>258</v>
      </c>
      <c r="AF250" s="2" t="s">
        <v>130</v>
      </c>
      <c r="AG250" s="2" t="s">
        <v>1192</v>
      </c>
      <c r="AH250" s="2" t="s">
        <v>185</v>
      </c>
      <c r="AI250" s="2" t="s">
        <v>453</v>
      </c>
      <c r="AJ250" s="4"/>
      <c r="AL250" s="4"/>
      <c r="AN250" s="4" t="s">
        <v>917</v>
      </c>
      <c r="AO250" s="2" t="s">
        <v>1487</v>
      </c>
      <c r="AP250" s="4" t="s">
        <v>677</v>
      </c>
      <c r="AQ250" s="4"/>
      <c r="AS250" s="4">
        <v>2</v>
      </c>
      <c r="AT250" s="4">
        <v>2</v>
      </c>
      <c r="AU250" s="4">
        <v>3</v>
      </c>
      <c r="AV250" s="4">
        <v>0</v>
      </c>
      <c r="AW250" s="4">
        <v>0</v>
      </c>
      <c r="AX250" s="4">
        <v>3</v>
      </c>
      <c r="AZ250" s="2" t="s">
        <v>60</v>
      </c>
    </row>
    <row r="251" spans="2:52" x14ac:dyDescent="0.15">
      <c r="B251" s="2" t="s">
        <v>861</v>
      </c>
      <c r="C251" s="2" t="s">
        <v>1390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193</v>
      </c>
      <c r="J251" s="4" t="str">
        <f>VLOOKUP(I251,citySet!$B$5:$C$46,2,0)</f>
        <v>吴</v>
      </c>
      <c r="K251" s="2" t="s">
        <v>1391</v>
      </c>
      <c r="L251" s="2" t="s">
        <v>929</v>
      </c>
      <c r="M251" s="2" t="s">
        <v>1417</v>
      </c>
      <c r="N251" s="4"/>
      <c r="O251" s="2" t="s">
        <v>469</v>
      </c>
      <c r="P251" s="2" t="s">
        <v>469</v>
      </c>
      <c r="Q251" s="4">
        <v>0</v>
      </c>
      <c r="R251" s="2" t="s">
        <v>370</v>
      </c>
      <c r="S251" s="2" t="s">
        <v>327</v>
      </c>
      <c r="T251" s="2" t="s">
        <v>565</v>
      </c>
      <c r="U251" s="2" t="s">
        <v>843</v>
      </c>
      <c r="V251" s="2" t="s">
        <v>608</v>
      </c>
      <c r="W251" s="4">
        <v>2</v>
      </c>
      <c r="X251" s="2" t="s">
        <v>2983</v>
      </c>
      <c r="Y251" s="4">
        <v>0</v>
      </c>
      <c r="Z251" s="4" t="s">
        <v>39</v>
      </c>
      <c r="AA251" s="2" t="s">
        <v>60</v>
      </c>
      <c r="AB251" s="2" t="s">
        <v>391</v>
      </c>
      <c r="AC251" s="2" t="s">
        <v>554</v>
      </c>
      <c r="AD251" s="4">
        <v>73</v>
      </c>
      <c r="AE251" s="2" t="s">
        <v>201</v>
      </c>
      <c r="AF251" s="2" t="s">
        <v>486</v>
      </c>
      <c r="AG251" s="2" t="s">
        <v>1416</v>
      </c>
      <c r="AH251" s="2" t="s">
        <v>185</v>
      </c>
      <c r="AI251" s="2" t="s">
        <v>786</v>
      </c>
      <c r="AJ251" s="4"/>
      <c r="AL251" s="4"/>
      <c r="AN251" s="4"/>
      <c r="AP251" s="4"/>
      <c r="AQ251" s="4"/>
      <c r="AS251" s="4">
        <v>3</v>
      </c>
      <c r="AT251" s="4">
        <v>2</v>
      </c>
      <c r="AU251" s="4">
        <v>2</v>
      </c>
      <c r="AV251" s="4">
        <v>1</v>
      </c>
      <c r="AW251" s="4">
        <v>0</v>
      </c>
      <c r="AX251" s="4">
        <v>3</v>
      </c>
      <c r="AZ251" s="2" t="s">
        <v>60</v>
      </c>
    </row>
    <row r="252" spans="2:52" x14ac:dyDescent="0.15">
      <c r="B252" s="2" t="s">
        <v>646</v>
      </c>
      <c r="C252" s="2" t="s">
        <v>1418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193</v>
      </c>
      <c r="J252" s="4" t="str">
        <f>VLOOKUP(I252,citySet!$B$5:$C$46,2,0)</f>
        <v>吴</v>
      </c>
      <c r="K252" s="2" t="s">
        <v>1391</v>
      </c>
      <c r="L252" s="2" t="s">
        <v>1421</v>
      </c>
      <c r="M252" s="2" t="s">
        <v>1422</v>
      </c>
      <c r="N252" s="4"/>
      <c r="O252" s="2" t="s">
        <v>1420</v>
      </c>
      <c r="P252" s="2" t="s">
        <v>1420</v>
      </c>
      <c r="Q252" s="4">
        <v>0</v>
      </c>
      <c r="R252" s="2" t="s">
        <v>370</v>
      </c>
      <c r="S252" s="2" t="s">
        <v>490</v>
      </c>
      <c r="T252" s="2" t="s">
        <v>372</v>
      </c>
      <c r="U252" s="2" t="s">
        <v>786</v>
      </c>
      <c r="V252" s="2" t="s">
        <v>608</v>
      </c>
      <c r="W252" s="4">
        <v>2</v>
      </c>
      <c r="X252" s="2" t="s">
        <v>2983</v>
      </c>
      <c r="Y252" s="4">
        <v>0</v>
      </c>
      <c r="Z252" s="4" t="s">
        <v>39</v>
      </c>
      <c r="AA252" s="2" t="s">
        <v>60</v>
      </c>
      <c r="AB252" s="2" t="s">
        <v>422</v>
      </c>
      <c r="AC252" s="2" t="s">
        <v>432</v>
      </c>
      <c r="AD252" s="4">
        <v>72</v>
      </c>
      <c r="AE252" s="2" t="s">
        <v>153</v>
      </c>
      <c r="AF252" s="2" t="s">
        <v>434</v>
      </c>
      <c r="AG252" s="2" t="s">
        <v>1419</v>
      </c>
      <c r="AH252" s="2" t="s">
        <v>185</v>
      </c>
      <c r="AI252" s="2" t="s">
        <v>786</v>
      </c>
      <c r="AJ252" s="4"/>
      <c r="AL252" s="4"/>
      <c r="AN252" s="4"/>
      <c r="AP252" s="4"/>
      <c r="AQ252" s="4"/>
      <c r="AS252" s="4">
        <v>2</v>
      </c>
      <c r="AT252" s="4">
        <v>1</v>
      </c>
      <c r="AU252" s="4">
        <v>2</v>
      </c>
      <c r="AV252" s="4">
        <v>1</v>
      </c>
      <c r="AW252" s="4">
        <v>1</v>
      </c>
      <c r="AX252" s="4">
        <v>3</v>
      </c>
      <c r="AZ252" s="2" t="s">
        <v>60</v>
      </c>
    </row>
    <row r="253" spans="2:52" x14ac:dyDescent="0.15">
      <c r="B253" s="2" t="s">
        <v>732</v>
      </c>
      <c r="C253" s="2" t="s">
        <v>911</v>
      </c>
      <c r="D253" s="2" t="s">
        <v>200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200</v>
      </c>
      <c r="H253" s="4" t="str">
        <f>VLOOKUP(G253,corpsSet!$B$5:$C$46,2,0)</f>
        <v>孟获</v>
      </c>
      <c r="I253" s="4" t="s">
        <v>98</v>
      </c>
      <c r="J253" s="4" t="str">
        <f>VLOOKUP(I253,citySet!$B$5:$C$46,2,0)</f>
        <v>云南</v>
      </c>
      <c r="K253" s="2" t="s">
        <v>1424</v>
      </c>
      <c r="L253" s="2" t="s">
        <v>1240</v>
      </c>
      <c r="N253" s="4"/>
      <c r="O253" s="2" t="s">
        <v>584</v>
      </c>
      <c r="P253" s="2" t="s">
        <v>584</v>
      </c>
      <c r="Q253" s="4">
        <v>1</v>
      </c>
      <c r="R253" s="2" t="s">
        <v>577</v>
      </c>
      <c r="S253" s="2" t="s">
        <v>675</v>
      </c>
      <c r="T253" s="2" t="s">
        <v>467</v>
      </c>
      <c r="U253" s="2" t="s">
        <v>786</v>
      </c>
      <c r="V253" s="2" t="s">
        <v>93</v>
      </c>
      <c r="W253" s="4">
        <v>1</v>
      </c>
      <c r="X253" s="2" t="s">
        <v>365</v>
      </c>
      <c r="Y253" s="4">
        <v>3</v>
      </c>
      <c r="Z253" s="4" t="s">
        <v>696</v>
      </c>
      <c r="AA253" s="2" t="s">
        <v>466</v>
      </c>
      <c r="AB253" s="2" t="s">
        <v>367</v>
      </c>
      <c r="AC253" s="2" t="s">
        <v>256</v>
      </c>
      <c r="AD253" s="4">
        <v>29</v>
      </c>
      <c r="AE253" s="2" t="s">
        <v>193</v>
      </c>
      <c r="AF253" s="2" t="s">
        <v>367</v>
      </c>
      <c r="AG253" s="2" t="s">
        <v>446</v>
      </c>
      <c r="AH253" s="2" t="s">
        <v>185</v>
      </c>
      <c r="AI253" s="2" t="s">
        <v>646</v>
      </c>
      <c r="AJ253" s="4"/>
      <c r="AK253" s="2" t="s">
        <v>1423</v>
      </c>
      <c r="AL253" s="4"/>
      <c r="AN253" s="4" t="s">
        <v>1317</v>
      </c>
      <c r="AO253" s="2" t="s">
        <v>910</v>
      </c>
      <c r="AP253" s="4"/>
      <c r="AQ253" s="4"/>
      <c r="AS253" s="4">
        <v>2</v>
      </c>
      <c r="AT253" s="4">
        <v>3</v>
      </c>
      <c r="AU253" s="4">
        <v>0</v>
      </c>
      <c r="AV253" s="4">
        <v>1</v>
      </c>
      <c r="AW253" s="4">
        <v>0</v>
      </c>
      <c r="AX253" s="4">
        <v>0</v>
      </c>
      <c r="AZ253" s="2" t="s">
        <v>60</v>
      </c>
    </row>
    <row r="254" spans="2:52" x14ac:dyDescent="0.15">
      <c r="B254" s="2" t="s">
        <v>487</v>
      </c>
      <c r="C254" s="2" t="s">
        <v>1425</v>
      </c>
      <c r="D254" s="2" t="s">
        <v>208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208</v>
      </c>
      <c r="H254" s="4" t="str">
        <f>VLOOKUP(G254,corpsSet!$B$5:$C$46,2,0)</f>
        <v>何进</v>
      </c>
      <c r="I254" s="4" t="s">
        <v>104</v>
      </c>
      <c r="J254" s="4" t="str">
        <f>VLOOKUP(I254,citySet!$B$5:$C$46,2,0)</f>
        <v>长安</v>
      </c>
      <c r="K254" s="2" t="s">
        <v>1391</v>
      </c>
      <c r="L254" s="2" t="s">
        <v>1426</v>
      </c>
      <c r="M254" s="2" t="s">
        <v>1427</v>
      </c>
      <c r="N254" s="4"/>
      <c r="O254" s="2" t="s">
        <v>917</v>
      </c>
      <c r="P254" s="2" t="s">
        <v>917</v>
      </c>
      <c r="Q254" s="4">
        <v>0</v>
      </c>
      <c r="R254" s="2" t="s">
        <v>370</v>
      </c>
      <c r="S254" s="2" t="s">
        <v>435</v>
      </c>
      <c r="T254" s="2" t="s">
        <v>1007</v>
      </c>
      <c r="U254" s="2" t="s">
        <v>83</v>
      </c>
      <c r="V254" s="2" t="s">
        <v>123</v>
      </c>
      <c r="W254" s="4">
        <v>1</v>
      </c>
      <c r="X254" s="2" t="s">
        <v>365</v>
      </c>
      <c r="Y254" s="4">
        <v>2</v>
      </c>
      <c r="Z254" s="4" t="s">
        <v>443</v>
      </c>
      <c r="AA254" s="2" t="s">
        <v>185</v>
      </c>
      <c r="AB254" s="2" t="s">
        <v>431</v>
      </c>
      <c r="AC254" s="2" t="s">
        <v>257</v>
      </c>
      <c r="AD254" s="4">
        <v>70</v>
      </c>
      <c r="AE254" s="2" t="s">
        <v>515</v>
      </c>
      <c r="AF254" s="2" t="s">
        <v>261</v>
      </c>
      <c r="AG254" s="2" t="s">
        <v>960</v>
      </c>
      <c r="AH254" s="2" t="s">
        <v>185</v>
      </c>
      <c r="AI254" s="2" t="s">
        <v>732</v>
      </c>
      <c r="AJ254" s="4"/>
      <c r="AL254" s="4"/>
      <c r="AN254" s="4"/>
      <c r="AP254" s="4"/>
      <c r="AQ254" s="4"/>
      <c r="AS254" s="4">
        <v>1</v>
      </c>
      <c r="AT254" s="4">
        <v>2</v>
      </c>
      <c r="AU254" s="4">
        <v>2</v>
      </c>
      <c r="AV254" s="4">
        <v>1</v>
      </c>
      <c r="AW254" s="4">
        <v>2</v>
      </c>
      <c r="AX254" s="4">
        <v>0</v>
      </c>
      <c r="AZ254" s="2" t="s">
        <v>60</v>
      </c>
    </row>
    <row r="255" spans="2:52" x14ac:dyDescent="0.15">
      <c r="B255" s="2" t="s">
        <v>215</v>
      </c>
      <c r="C255" s="2" t="s">
        <v>1428</v>
      </c>
      <c r="D255" s="2" t="s">
        <v>31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31</v>
      </c>
      <c r="H255" s="4" t="str">
        <f>VLOOKUP(G255,corpsSet!$B$5:$C$46,2,0)</f>
        <v>孙坚</v>
      </c>
      <c r="I255" s="4" t="s">
        <v>204</v>
      </c>
      <c r="J255" s="4" t="str">
        <f>VLOOKUP(I255,citySet!$B$5:$C$46,2,0)</f>
        <v>柴桑</v>
      </c>
      <c r="K255" s="2" t="s">
        <v>1391</v>
      </c>
      <c r="L255" s="2" t="s">
        <v>1430</v>
      </c>
      <c r="M255" s="2" t="s">
        <v>1431</v>
      </c>
      <c r="N255" s="4"/>
      <c r="O255" s="2" t="s">
        <v>1307</v>
      </c>
      <c r="P255" s="2" t="s">
        <v>1307</v>
      </c>
      <c r="Q255" s="4">
        <v>0</v>
      </c>
      <c r="R255" s="2" t="s">
        <v>370</v>
      </c>
      <c r="S255" s="2" t="s">
        <v>327</v>
      </c>
      <c r="T255" s="2" t="s">
        <v>981</v>
      </c>
      <c r="U255" s="2" t="s">
        <v>732</v>
      </c>
      <c r="V255" s="2" t="s">
        <v>335</v>
      </c>
      <c r="W255" s="4">
        <v>1</v>
      </c>
      <c r="X255" s="2" t="s">
        <v>365</v>
      </c>
      <c r="Y255" s="4">
        <v>0</v>
      </c>
      <c r="Z255" s="4" t="s">
        <v>39</v>
      </c>
      <c r="AA255" s="2" t="s">
        <v>185</v>
      </c>
      <c r="AB255" s="2" t="s">
        <v>88</v>
      </c>
      <c r="AC255" s="2" t="s">
        <v>454</v>
      </c>
      <c r="AD255" s="4">
        <v>71</v>
      </c>
      <c r="AE255" s="2" t="s">
        <v>93</v>
      </c>
      <c r="AF255" s="2" t="s">
        <v>481</v>
      </c>
      <c r="AG255" s="2" t="s">
        <v>1416</v>
      </c>
      <c r="AH255" s="2" t="s">
        <v>185</v>
      </c>
      <c r="AI255" s="2" t="s">
        <v>215</v>
      </c>
      <c r="AJ255" s="4" t="s">
        <v>542</v>
      </c>
      <c r="AK255" s="2" t="s">
        <v>1429</v>
      </c>
      <c r="AL255" s="4"/>
      <c r="AN255" s="4"/>
      <c r="AP255" s="4"/>
      <c r="AQ255" s="4"/>
      <c r="AS255" s="4">
        <v>2</v>
      </c>
      <c r="AT255" s="4">
        <v>2</v>
      </c>
      <c r="AU255" s="4">
        <v>2</v>
      </c>
      <c r="AV255" s="4">
        <v>0</v>
      </c>
      <c r="AW255" s="4">
        <v>1</v>
      </c>
      <c r="AX255" s="4">
        <v>3</v>
      </c>
      <c r="AZ255" s="2" t="s">
        <v>60</v>
      </c>
    </row>
    <row r="256" spans="2:52" x14ac:dyDescent="0.15">
      <c r="B256" s="2" t="s">
        <v>542</v>
      </c>
      <c r="C256" s="2" t="s">
        <v>1429</v>
      </c>
      <c r="D256" s="2" t="s">
        <v>31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31</v>
      </c>
      <c r="H256" s="4" t="str">
        <f>VLOOKUP(G256,corpsSet!$B$5:$C$46,2,0)</f>
        <v>孙坚</v>
      </c>
      <c r="I256" s="4" t="s">
        <v>204</v>
      </c>
      <c r="J256" s="4" t="str">
        <f>VLOOKUP(I256,citySet!$B$5:$C$46,2,0)</f>
        <v>柴桑</v>
      </c>
      <c r="K256" s="2" t="s">
        <v>1391</v>
      </c>
      <c r="L256" s="2" t="s">
        <v>1432</v>
      </c>
      <c r="M256" s="2" t="s">
        <v>1433</v>
      </c>
      <c r="N256" s="4"/>
      <c r="O256" s="2" t="s">
        <v>615</v>
      </c>
      <c r="P256" s="2" t="s">
        <v>615</v>
      </c>
      <c r="Q256" s="4">
        <v>0</v>
      </c>
      <c r="R256" s="2" t="s">
        <v>370</v>
      </c>
      <c r="S256" s="2" t="s">
        <v>435</v>
      </c>
      <c r="T256" s="2" t="s">
        <v>824</v>
      </c>
      <c r="U256" s="2" t="s">
        <v>633</v>
      </c>
      <c r="V256" s="2" t="s">
        <v>335</v>
      </c>
      <c r="W256" s="4">
        <v>1</v>
      </c>
      <c r="X256" s="2" t="s">
        <v>365</v>
      </c>
      <c r="Y256" s="4">
        <v>5</v>
      </c>
      <c r="Z256" s="4" t="s">
        <v>575</v>
      </c>
      <c r="AA256" s="2" t="s">
        <v>185</v>
      </c>
      <c r="AB256" s="2" t="s">
        <v>515</v>
      </c>
      <c r="AC256" s="2" t="s">
        <v>201</v>
      </c>
      <c r="AD256" s="4">
        <v>72</v>
      </c>
      <c r="AE256" s="2" t="s">
        <v>261</v>
      </c>
      <c r="AF256" s="2" t="s">
        <v>481</v>
      </c>
      <c r="AG256" s="2" t="s">
        <v>615</v>
      </c>
      <c r="AH256" s="2" t="s">
        <v>185</v>
      </c>
      <c r="AI256" s="2" t="s">
        <v>215</v>
      </c>
      <c r="AJ256" s="4"/>
      <c r="AL256" s="4"/>
      <c r="AN256" s="4"/>
      <c r="AP256" s="4"/>
      <c r="AQ256" s="4"/>
      <c r="AS256" s="4">
        <v>1</v>
      </c>
      <c r="AT256" s="4">
        <v>1</v>
      </c>
      <c r="AU256" s="4">
        <v>2</v>
      </c>
      <c r="AV256" s="4">
        <v>1</v>
      </c>
      <c r="AW256" s="4">
        <v>0</v>
      </c>
      <c r="AX256" s="4">
        <v>0</v>
      </c>
      <c r="AZ256" s="2" t="s">
        <v>60</v>
      </c>
    </row>
    <row r="257" spans="2:52" x14ac:dyDescent="0.15">
      <c r="B257" s="2" t="s">
        <v>548</v>
      </c>
      <c r="C257" s="2" t="s">
        <v>1434</v>
      </c>
      <c r="D257" s="2" t="s">
        <v>204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204</v>
      </c>
      <c r="H257" s="4" t="str">
        <f>VLOOKUP(G257,corpsSet!$B$5:$C$46,2,0)</f>
        <v>雍闿</v>
      </c>
      <c r="I257" s="4" t="s">
        <v>237</v>
      </c>
      <c r="J257" s="4" t="str">
        <f>VLOOKUP(I257,citySet!$B$5:$C$46,2,0)</f>
        <v>建宁</v>
      </c>
      <c r="K257" s="2" t="s">
        <v>1391</v>
      </c>
      <c r="L257" s="2" t="s">
        <v>1435</v>
      </c>
      <c r="N257" s="4"/>
      <c r="O257" s="2" t="s">
        <v>654</v>
      </c>
      <c r="P257" s="2" t="s">
        <v>654</v>
      </c>
      <c r="Q257" s="4">
        <v>0</v>
      </c>
      <c r="R257" s="2" t="s">
        <v>370</v>
      </c>
      <c r="S257" s="2" t="s">
        <v>490</v>
      </c>
      <c r="T257" s="2" t="s">
        <v>564</v>
      </c>
      <c r="U257" s="2" t="s">
        <v>373</v>
      </c>
      <c r="V257" s="2" t="s">
        <v>14</v>
      </c>
      <c r="W257" s="4">
        <v>1</v>
      </c>
      <c r="X257" s="2" t="s">
        <v>365</v>
      </c>
      <c r="Y257" s="4">
        <v>4</v>
      </c>
      <c r="Z257" s="4" t="s">
        <v>1091</v>
      </c>
      <c r="AA257" s="2" t="s">
        <v>228</v>
      </c>
      <c r="AB257" s="2" t="s">
        <v>321</v>
      </c>
      <c r="AC257" s="2" t="s">
        <v>261</v>
      </c>
      <c r="AD257" s="4">
        <v>34</v>
      </c>
      <c r="AE257" s="2" t="s">
        <v>5</v>
      </c>
      <c r="AF257" s="2" t="s">
        <v>126</v>
      </c>
      <c r="AG257" s="2" t="s">
        <v>861</v>
      </c>
      <c r="AH257" s="2" t="s">
        <v>185</v>
      </c>
      <c r="AI257" s="2" t="s">
        <v>542</v>
      </c>
      <c r="AJ257" s="4"/>
      <c r="AL257" s="4"/>
      <c r="AN257" s="4"/>
      <c r="AP257" s="4"/>
      <c r="AQ257" s="4"/>
      <c r="AS257" s="4">
        <v>0</v>
      </c>
      <c r="AT257" s="4">
        <v>2</v>
      </c>
      <c r="AU257" s="4">
        <v>1</v>
      </c>
      <c r="AV257" s="4">
        <v>0</v>
      </c>
      <c r="AW257" s="4">
        <v>2</v>
      </c>
      <c r="AX257" s="4">
        <v>0</v>
      </c>
      <c r="AZ257" s="2" t="s">
        <v>60</v>
      </c>
    </row>
    <row r="258" spans="2:52" x14ac:dyDescent="0.15">
      <c r="B258" s="2" t="s">
        <v>621</v>
      </c>
      <c r="C258" s="2" t="s">
        <v>1436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33</v>
      </c>
      <c r="J258" s="4" t="str">
        <f>VLOOKUP(I258,citySet!$B$5:$C$46,2,0)</f>
        <v>平原</v>
      </c>
      <c r="K258" s="2" t="s">
        <v>1391</v>
      </c>
      <c r="L258" s="2" t="s">
        <v>1100</v>
      </c>
      <c r="M258" s="2" t="s">
        <v>1438</v>
      </c>
      <c r="N258" s="4"/>
      <c r="O258" s="2" t="s">
        <v>1437</v>
      </c>
      <c r="P258" s="2" t="s">
        <v>1437</v>
      </c>
      <c r="Q258" s="4">
        <v>0</v>
      </c>
      <c r="R258" s="2" t="s">
        <v>370</v>
      </c>
      <c r="S258" s="2" t="s">
        <v>393</v>
      </c>
      <c r="T258" s="2" t="s">
        <v>555</v>
      </c>
      <c r="U258" s="2" t="s">
        <v>562</v>
      </c>
      <c r="V258" s="2" t="s">
        <v>15</v>
      </c>
      <c r="W258" s="4">
        <v>2</v>
      </c>
      <c r="X258" s="2" t="s">
        <v>2983</v>
      </c>
      <c r="Y258" s="4">
        <v>0</v>
      </c>
      <c r="Z258" s="4" t="s">
        <v>39</v>
      </c>
      <c r="AA258" s="2" t="s">
        <v>60</v>
      </c>
      <c r="AB258" s="2" t="s">
        <v>515</v>
      </c>
      <c r="AC258" s="2" t="s">
        <v>261</v>
      </c>
      <c r="AD258" s="4">
        <v>67</v>
      </c>
      <c r="AE258" s="2" t="s">
        <v>19</v>
      </c>
      <c r="AF258" s="2" t="s">
        <v>98</v>
      </c>
      <c r="AG258" s="2" t="s">
        <v>640</v>
      </c>
      <c r="AH258" s="2" t="s">
        <v>185</v>
      </c>
      <c r="AI258" s="2" t="s">
        <v>548</v>
      </c>
      <c r="AJ258" s="4"/>
      <c r="AL258" s="4"/>
      <c r="AN258" s="4"/>
      <c r="AP258" s="4"/>
      <c r="AQ258" s="4"/>
      <c r="AS258" s="4">
        <v>1</v>
      </c>
      <c r="AT258" s="4">
        <v>0</v>
      </c>
      <c r="AU258" s="4">
        <v>0</v>
      </c>
      <c r="AV258" s="4">
        <v>2</v>
      </c>
      <c r="AW258" s="4">
        <v>0</v>
      </c>
      <c r="AX258" s="4">
        <v>0</v>
      </c>
      <c r="AZ258" s="2" t="s">
        <v>60</v>
      </c>
    </row>
    <row r="259" spans="2:52" x14ac:dyDescent="0.15">
      <c r="B259" s="2" t="s">
        <v>86</v>
      </c>
      <c r="C259" s="2" t="s">
        <v>1439</v>
      </c>
      <c r="D259" s="2" t="s">
        <v>27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27</v>
      </c>
      <c r="H259" s="4" t="str">
        <f>VLOOKUP(G259,corpsSet!$B$5:$C$46,2,0)</f>
        <v>曹操</v>
      </c>
      <c r="I259" s="4" t="s">
        <v>17</v>
      </c>
      <c r="J259" s="4" t="str">
        <f>VLOOKUP(I259,citySet!$B$5:$C$46,2,0)</f>
        <v>许昌</v>
      </c>
      <c r="K259" s="2" t="s">
        <v>1442</v>
      </c>
      <c r="L259" s="2" t="s">
        <v>1443</v>
      </c>
      <c r="M259" s="2" t="s">
        <v>1444</v>
      </c>
      <c r="N259" s="4"/>
      <c r="O259" s="2" t="s">
        <v>1440</v>
      </c>
      <c r="P259" s="2" t="s">
        <v>1440</v>
      </c>
      <c r="Q259" s="4">
        <v>0</v>
      </c>
      <c r="R259" s="2" t="s">
        <v>370</v>
      </c>
      <c r="S259" s="2" t="s">
        <v>435</v>
      </c>
      <c r="T259" s="2" t="s">
        <v>478</v>
      </c>
      <c r="U259" s="2" t="s">
        <v>689</v>
      </c>
      <c r="V259" s="2" t="s">
        <v>10</v>
      </c>
      <c r="W259" s="4">
        <v>1</v>
      </c>
      <c r="X259" s="2" t="s">
        <v>365</v>
      </c>
      <c r="Y259" s="4">
        <v>8</v>
      </c>
      <c r="Z259" s="4" t="s">
        <v>3079</v>
      </c>
      <c r="AA259" s="2" t="s">
        <v>185</v>
      </c>
      <c r="AB259" s="2" t="s">
        <v>14</v>
      </c>
      <c r="AC259" s="2" t="s">
        <v>17</v>
      </c>
      <c r="AD259" s="4">
        <v>95</v>
      </c>
      <c r="AE259" s="2" t="s">
        <v>228</v>
      </c>
      <c r="AF259" s="2" t="s">
        <v>130</v>
      </c>
      <c r="AG259" s="2" t="s">
        <v>1419</v>
      </c>
      <c r="AH259" s="2" t="s">
        <v>185</v>
      </c>
      <c r="AI259" s="2" t="s">
        <v>621</v>
      </c>
      <c r="AJ259" s="4"/>
      <c r="AK259" s="2" t="s">
        <v>1441</v>
      </c>
      <c r="AL259" s="4"/>
      <c r="AN259" s="4"/>
      <c r="AP259" s="4"/>
      <c r="AQ259" s="4"/>
      <c r="AS259" s="4">
        <v>0</v>
      </c>
      <c r="AT259" s="4">
        <v>1</v>
      </c>
      <c r="AU259" s="4">
        <v>1</v>
      </c>
      <c r="AV259" s="4">
        <v>0</v>
      </c>
      <c r="AW259" s="4">
        <v>0</v>
      </c>
      <c r="AX259" s="4">
        <v>0</v>
      </c>
      <c r="AZ259" s="2" t="s">
        <v>60</v>
      </c>
    </row>
    <row r="260" spans="2:52" x14ac:dyDescent="0.15">
      <c r="B260" s="2" t="s">
        <v>651</v>
      </c>
      <c r="C260" s="2" t="s">
        <v>1445</v>
      </c>
      <c r="D260" s="2" t="s">
        <v>30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30</v>
      </c>
      <c r="H260" s="4" t="str">
        <f>VLOOKUP(G260,corpsSet!$B$5:$C$46,2,0)</f>
        <v>袁绍</v>
      </c>
      <c r="I260" s="4" t="s">
        <v>37</v>
      </c>
      <c r="J260" s="4" t="str">
        <f>VLOOKUP(I260,citySet!$B$5:$C$46,2,0)</f>
        <v>南皮</v>
      </c>
      <c r="K260" s="2" t="s">
        <v>1447</v>
      </c>
      <c r="L260" s="2" t="s">
        <v>1448</v>
      </c>
      <c r="M260" s="2" t="s">
        <v>1449</v>
      </c>
      <c r="N260" s="4"/>
      <c r="O260" s="2" t="s">
        <v>330</v>
      </c>
      <c r="P260" s="2" t="s">
        <v>330</v>
      </c>
      <c r="Q260" s="4">
        <v>0</v>
      </c>
      <c r="R260" s="2" t="s">
        <v>370</v>
      </c>
      <c r="S260" s="2" t="s">
        <v>435</v>
      </c>
      <c r="T260" s="2" t="s">
        <v>550</v>
      </c>
      <c r="U260" s="2" t="s">
        <v>950</v>
      </c>
      <c r="V260" s="2" t="s">
        <v>79</v>
      </c>
      <c r="W260" s="4">
        <v>1</v>
      </c>
      <c r="X260" s="2" t="s">
        <v>365</v>
      </c>
      <c r="Y260" s="4">
        <v>0</v>
      </c>
      <c r="Z260" s="4" t="s">
        <v>39</v>
      </c>
      <c r="AA260" s="2" t="s">
        <v>228</v>
      </c>
      <c r="AB260" s="2" t="s">
        <v>374</v>
      </c>
      <c r="AC260" s="2" t="s">
        <v>404</v>
      </c>
      <c r="AD260" s="4">
        <v>29</v>
      </c>
      <c r="AE260" s="2" t="s">
        <v>208</v>
      </c>
      <c r="AF260" s="2" t="s">
        <v>15</v>
      </c>
      <c r="AG260" s="2" t="s">
        <v>991</v>
      </c>
      <c r="AH260" s="2" t="s">
        <v>185</v>
      </c>
      <c r="AI260" s="2" t="s">
        <v>86</v>
      </c>
      <c r="AJ260" s="4"/>
      <c r="AL260" s="4"/>
      <c r="AN260" s="4"/>
      <c r="AP260" s="4"/>
      <c r="AQ260" s="4"/>
      <c r="AS260" s="4">
        <v>1</v>
      </c>
      <c r="AT260" s="4">
        <v>0</v>
      </c>
      <c r="AU260" s="4">
        <v>0</v>
      </c>
      <c r="AV260" s="4">
        <v>1</v>
      </c>
      <c r="AW260" s="4">
        <v>0</v>
      </c>
      <c r="AX260" s="4">
        <v>0</v>
      </c>
      <c r="AZ260" s="2" t="s">
        <v>60</v>
      </c>
    </row>
    <row r="261" spans="2:52" x14ac:dyDescent="0.15">
      <c r="B261" s="2" t="s">
        <v>815</v>
      </c>
      <c r="C261" s="2" t="s">
        <v>1450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17</v>
      </c>
      <c r="J261" s="4" t="str">
        <f>VLOOKUP(I261,citySet!$B$5:$C$46,2,0)</f>
        <v>许昌</v>
      </c>
      <c r="K261" s="2" t="s">
        <v>1442</v>
      </c>
      <c r="L261" s="2" t="s">
        <v>1452</v>
      </c>
      <c r="M261" s="2" t="s">
        <v>1453</v>
      </c>
      <c r="N261" s="4"/>
      <c r="O261" s="2" t="s">
        <v>1451</v>
      </c>
      <c r="P261" s="2" t="s">
        <v>1451</v>
      </c>
      <c r="Q261" s="4">
        <v>0</v>
      </c>
      <c r="R261" s="2" t="s">
        <v>370</v>
      </c>
      <c r="S261" s="2" t="s">
        <v>395</v>
      </c>
      <c r="T261" s="2" t="s">
        <v>505</v>
      </c>
      <c r="U261" s="2" t="s">
        <v>597</v>
      </c>
      <c r="V261" s="2" t="s">
        <v>213</v>
      </c>
      <c r="W261" s="4">
        <v>2</v>
      </c>
      <c r="X261" s="2" t="s">
        <v>2983</v>
      </c>
      <c r="Y261" s="4">
        <v>0</v>
      </c>
      <c r="Z261" s="4" t="s">
        <v>39</v>
      </c>
      <c r="AA261" s="2" t="s">
        <v>60</v>
      </c>
      <c r="AB261" s="2" t="s">
        <v>18</v>
      </c>
      <c r="AC261" s="2" t="s">
        <v>41</v>
      </c>
      <c r="AD261" s="4">
        <v>70</v>
      </c>
      <c r="AE261" s="2" t="s">
        <v>367</v>
      </c>
      <c r="AF261" s="2" t="s">
        <v>454</v>
      </c>
      <c r="AG261" s="2" t="s">
        <v>368</v>
      </c>
      <c r="AH261" s="2" t="s">
        <v>185</v>
      </c>
      <c r="AI261" s="2" t="s">
        <v>621</v>
      </c>
      <c r="AJ261" s="4" t="s">
        <v>86</v>
      </c>
      <c r="AK261" s="2" t="s">
        <v>1439</v>
      </c>
      <c r="AL261" s="4"/>
      <c r="AN261" s="4"/>
      <c r="AP261" s="4"/>
      <c r="AQ261" s="4"/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Z261" s="2" t="s">
        <v>60</v>
      </c>
    </row>
    <row r="262" spans="2:52" x14ac:dyDescent="0.15">
      <c r="B262" s="2" t="s">
        <v>447</v>
      </c>
      <c r="C262" s="2" t="s">
        <v>3095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17</v>
      </c>
      <c r="J262" s="4" t="str">
        <f>VLOOKUP(I262,citySet!$B$5:$C$46,2,0)</f>
        <v>许昌</v>
      </c>
      <c r="K262" s="2" t="s">
        <v>1442</v>
      </c>
      <c r="L262" s="2" t="s">
        <v>1455</v>
      </c>
      <c r="M262" s="2" t="s">
        <v>1456</v>
      </c>
      <c r="N262" s="4"/>
      <c r="O262" s="2" t="s">
        <v>1113</v>
      </c>
      <c r="P262" s="2" t="s">
        <v>1113</v>
      </c>
      <c r="Q262" s="4">
        <v>0</v>
      </c>
      <c r="R262" s="2" t="s">
        <v>370</v>
      </c>
      <c r="S262" s="2" t="s">
        <v>717</v>
      </c>
      <c r="T262" s="2" t="s">
        <v>373</v>
      </c>
      <c r="U262" s="2" t="s">
        <v>325</v>
      </c>
      <c r="V262" s="2" t="s">
        <v>213</v>
      </c>
      <c r="W262" s="4">
        <v>2</v>
      </c>
      <c r="X262" s="2" t="s">
        <v>2983</v>
      </c>
      <c r="Y262" s="4">
        <v>0</v>
      </c>
      <c r="Z262" s="4" t="s">
        <v>39</v>
      </c>
      <c r="AA262" s="2" t="s">
        <v>60</v>
      </c>
      <c r="AB262" s="2" t="s">
        <v>30</v>
      </c>
      <c r="AC262" s="2" t="s">
        <v>105</v>
      </c>
      <c r="AD262" s="4">
        <v>77</v>
      </c>
      <c r="AE262" s="2" t="s">
        <v>374</v>
      </c>
      <c r="AF262" s="2" t="s">
        <v>19</v>
      </c>
      <c r="AG262" s="2" t="s">
        <v>806</v>
      </c>
      <c r="AH262" s="2" t="s">
        <v>185</v>
      </c>
      <c r="AI262" s="2" t="s">
        <v>621</v>
      </c>
      <c r="AJ262" s="4"/>
      <c r="AK262" s="2" t="s">
        <v>1454</v>
      </c>
      <c r="AL262" s="4"/>
      <c r="AN262" s="4"/>
      <c r="AP262" s="4"/>
      <c r="AQ262" s="4"/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Z262" s="2" t="s">
        <v>60</v>
      </c>
    </row>
    <row r="263" spans="2:52" x14ac:dyDescent="0.15">
      <c r="B263" s="2" t="s">
        <v>679</v>
      </c>
      <c r="C263" s="2" t="s">
        <v>1457</v>
      </c>
      <c r="D263" s="2" t="s">
        <v>8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8</v>
      </c>
      <c r="H263" s="4" t="str">
        <f>VLOOKUP(G263,corpsSet!$B$5:$C$46,2,0)</f>
        <v>韩馥</v>
      </c>
      <c r="I263" s="4" t="s">
        <v>34</v>
      </c>
      <c r="J263" s="4" t="str">
        <f>VLOOKUP(I263,citySet!$B$5:$C$46,2,0)</f>
        <v>邺</v>
      </c>
      <c r="K263" s="2" t="s">
        <v>1442</v>
      </c>
      <c r="L263" s="2" t="s">
        <v>1458</v>
      </c>
      <c r="M263" s="2" t="s">
        <v>1459</v>
      </c>
      <c r="N263" s="4"/>
      <c r="O263" s="2" t="s">
        <v>215</v>
      </c>
      <c r="P263" s="2" t="s">
        <v>215</v>
      </c>
      <c r="Q263" s="4">
        <v>0</v>
      </c>
      <c r="R263" s="2" t="s">
        <v>370</v>
      </c>
      <c r="S263" s="2" t="s">
        <v>435</v>
      </c>
      <c r="T263" s="2" t="s">
        <v>957</v>
      </c>
      <c r="U263" s="2" t="s">
        <v>406</v>
      </c>
      <c r="V263" s="2" t="s">
        <v>256</v>
      </c>
      <c r="W263" s="4">
        <v>1</v>
      </c>
      <c r="X263" s="2" t="s">
        <v>365</v>
      </c>
      <c r="Y263" s="4">
        <v>7</v>
      </c>
      <c r="Z263" s="4" t="s">
        <v>3078</v>
      </c>
      <c r="AA263" s="2" t="s">
        <v>413</v>
      </c>
      <c r="AB263" s="2" t="s">
        <v>105</v>
      </c>
      <c r="AC263" s="2" t="s">
        <v>196</v>
      </c>
      <c r="AD263" s="4">
        <v>77</v>
      </c>
      <c r="AE263" s="2" t="s">
        <v>431</v>
      </c>
      <c r="AF263" s="2" t="s">
        <v>444</v>
      </c>
      <c r="AG263" s="2" t="s">
        <v>919</v>
      </c>
      <c r="AH263" s="2" t="s">
        <v>185</v>
      </c>
      <c r="AI263" s="2" t="s">
        <v>621</v>
      </c>
      <c r="AJ263" s="4"/>
      <c r="AK263" s="2" t="s">
        <v>1441</v>
      </c>
      <c r="AL263" s="4"/>
      <c r="AN263" s="4"/>
      <c r="AP263" s="4"/>
      <c r="AQ263" s="4"/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Z263" s="2" t="s">
        <v>60</v>
      </c>
    </row>
    <row r="264" spans="2:52" x14ac:dyDescent="0.15">
      <c r="B264" s="2" t="s">
        <v>408</v>
      </c>
      <c r="C264" s="2" t="s">
        <v>1460</v>
      </c>
      <c r="D264" s="2" t="s">
        <v>27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27</v>
      </c>
      <c r="H264" s="4" t="str">
        <f>VLOOKUP(G264,corpsSet!$B$5:$C$46,2,0)</f>
        <v>曹操</v>
      </c>
      <c r="I264" s="4" t="s">
        <v>17</v>
      </c>
      <c r="J264" s="4" t="str">
        <f>VLOOKUP(I264,citySet!$B$5:$C$46,2,0)</f>
        <v>许昌</v>
      </c>
      <c r="K264" s="2" t="s">
        <v>1442</v>
      </c>
      <c r="L264" s="2" t="s">
        <v>1044</v>
      </c>
      <c r="M264" s="2" t="s">
        <v>1463</v>
      </c>
      <c r="N264" s="4"/>
      <c r="O264" s="2" t="s">
        <v>476</v>
      </c>
      <c r="P264" s="2" t="s">
        <v>476</v>
      </c>
      <c r="Q264" s="4">
        <v>0</v>
      </c>
      <c r="R264" s="2" t="s">
        <v>370</v>
      </c>
      <c r="S264" s="2" t="s">
        <v>435</v>
      </c>
      <c r="T264" s="2" t="s">
        <v>476</v>
      </c>
      <c r="U264" s="2" t="s">
        <v>675</v>
      </c>
      <c r="V264" s="2" t="s">
        <v>10</v>
      </c>
      <c r="W264" s="4">
        <v>1</v>
      </c>
      <c r="X264" s="2" t="s">
        <v>365</v>
      </c>
      <c r="Y264" s="4">
        <v>7</v>
      </c>
      <c r="Z264" s="4" t="s">
        <v>3078</v>
      </c>
      <c r="AA264" s="2" t="s">
        <v>185</v>
      </c>
      <c r="AB264" s="2" t="s">
        <v>261</v>
      </c>
      <c r="AC264" s="2" t="s">
        <v>200</v>
      </c>
      <c r="AD264" s="4">
        <v>94</v>
      </c>
      <c r="AE264" s="2" t="s">
        <v>123</v>
      </c>
      <c r="AF264" s="2" t="s">
        <v>391</v>
      </c>
      <c r="AG264" s="2" t="s">
        <v>1461</v>
      </c>
      <c r="AH264" s="2" t="s">
        <v>185</v>
      </c>
      <c r="AI264" s="2" t="s">
        <v>621</v>
      </c>
      <c r="AJ264" s="4"/>
      <c r="AK264" s="2" t="s">
        <v>1462</v>
      </c>
      <c r="AL264" s="4"/>
      <c r="AN264" s="4"/>
      <c r="AP264" s="4"/>
      <c r="AQ264" s="4"/>
      <c r="AS264" s="4">
        <v>1</v>
      </c>
      <c r="AT264" s="4">
        <v>1</v>
      </c>
      <c r="AU264" s="4">
        <v>1</v>
      </c>
      <c r="AV264" s="4">
        <v>1</v>
      </c>
      <c r="AW264" s="4">
        <v>1</v>
      </c>
      <c r="AX264" s="4">
        <v>0</v>
      </c>
      <c r="AZ264" s="2" t="s">
        <v>60</v>
      </c>
    </row>
    <row r="265" spans="2:52" x14ac:dyDescent="0.15">
      <c r="B265" s="2" t="s">
        <v>590</v>
      </c>
      <c r="C265" s="2" t="s">
        <v>1464</v>
      </c>
      <c r="D265" s="2" t="s">
        <v>226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226</v>
      </c>
      <c r="H265" s="4" t="str">
        <f>VLOOKUP(G265,corpsSet!$B$5:$C$46,2,0)</f>
        <v>毌丘俭</v>
      </c>
      <c r="I265" s="4" t="s">
        <v>24</v>
      </c>
      <c r="J265" s="4" t="str">
        <f>VLOOKUP(I265,citySet!$B$5:$C$46,2,0)</f>
        <v>寿春</v>
      </c>
      <c r="K265" s="2" t="s">
        <v>1468</v>
      </c>
      <c r="L265" s="2" t="s">
        <v>921</v>
      </c>
      <c r="N265" s="4"/>
      <c r="O265" s="2" t="s">
        <v>1465</v>
      </c>
      <c r="P265" s="2" t="s">
        <v>1465</v>
      </c>
      <c r="Q265" s="4">
        <v>0</v>
      </c>
      <c r="R265" s="2" t="s">
        <v>370</v>
      </c>
      <c r="S265" s="2" t="s">
        <v>843</v>
      </c>
      <c r="T265" s="2" t="s">
        <v>702</v>
      </c>
      <c r="U265" s="2" t="s">
        <v>604</v>
      </c>
      <c r="V265" s="2" t="s">
        <v>706</v>
      </c>
      <c r="W265" s="4">
        <v>1</v>
      </c>
      <c r="X265" s="2" t="s">
        <v>365</v>
      </c>
      <c r="Y265" s="4">
        <v>0</v>
      </c>
      <c r="Z265" s="4" t="s">
        <v>39</v>
      </c>
      <c r="AA265" s="2" t="s">
        <v>403</v>
      </c>
      <c r="AB265" s="2" t="s">
        <v>423</v>
      </c>
      <c r="AC265" s="2" t="s">
        <v>454</v>
      </c>
      <c r="AD265" s="4">
        <v>63</v>
      </c>
      <c r="AE265" s="2" t="s">
        <v>98</v>
      </c>
      <c r="AF265" s="2" t="s">
        <v>14</v>
      </c>
      <c r="AG265" s="2" t="s">
        <v>1264</v>
      </c>
      <c r="AH265" s="2" t="s">
        <v>185</v>
      </c>
      <c r="AI265" s="2" t="s">
        <v>408</v>
      </c>
      <c r="AJ265" s="4"/>
      <c r="AL265" s="4"/>
      <c r="AN265" s="4"/>
      <c r="AP265" s="4"/>
      <c r="AQ265" s="4"/>
      <c r="AS265" s="4">
        <v>1</v>
      </c>
      <c r="AT265" s="4">
        <v>0</v>
      </c>
      <c r="AU265" s="4">
        <v>0</v>
      </c>
      <c r="AV265" s="4">
        <v>1</v>
      </c>
      <c r="AW265" s="4">
        <v>1</v>
      </c>
      <c r="AX265" s="4">
        <v>0</v>
      </c>
      <c r="AZ265" s="2" t="s">
        <v>60</v>
      </c>
    </row>
    <row r="266" spans="2:52" x14ac:dyDescent="0.15">
      <c r="B266" s="2" t="s">
        <v>877</v>
      </c>
      <c r="C266" s="2" t="s">
        <v>1469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17</v>
      </c>
      <c r="J266" s="4" t="str">
        <f>VLOOKUP(I266,citySet!$B$5:$C$46,2,0)</f>
        <v>许昌</v>
      </c>
      <c r="K266" s="2" t="s">
        <v>1472</v>
      </c>
      <c r="L266" s="2" t="s">
        <v>1473</v>
      </c>
      <c r="M266" s="2" t="s">
        <v>1474</v>
      </c>
      <c r="N266" s="4"/>
      <c r="O266" s="2" t="s">
        <v>1470</v>
      </c>
      <c r="P266" s="2" t="s">
        <v>1470</v>
      </c>
      <c r="Q266" s="4">
        <v>0</v>
      </c>
      <c r="R266" s="2" t="s">
        <v>370</v>
      </c>
      <c r="S266" s="2" t="s">
        <v>843</v>
      </c>
      <c r="T266" s="2" t="s">
        <v>489</v>
      </c>
      <c r="U266" s="2" t="s">
        <v>919</v>
      </c>
      <c r="V266" s="2" t="s">
        <v>10</v>
      </c>
      <c r="W266" s="4">
        <v>2</v>
      </c>
      <c r="X266" s="2" t="s">
        <v>2983</v>
      </c>
      <c r="Y266" s="4">
        <v>0</v>
      </c>
      <c r="Z266" s="4" t="s">
        <v>39</v>
      </c>
      <c r="AA266" s="2" t="s">
        <v>60</v>
      </c>
      <c r="AB266" s="2" t="s">
        <v>5</v>
      </c>
      <c r="AC266" s="2" t="s">
        <v>20</v>
      </c>
      <c r="AD266" s="4">
        <v>71</v>
      </c>
      <c r="AE266" s="2" t="s">
        <v>434</v>
      </c>
      <c r="AF266" s="2" t="s">
        <v>374</v>
      </c>
      <c r="AG266" s="2" t="s">
        <v>919</v>
      </c>
      <c r="AH266" s="2" t="s">
        <v>185</v>
      </c>
      <c r="AI266" s="2" t="s">
        <v>1092</v>
      </c>
      <c r="AJ266" s="4" t="s">
        <v>683</v>
      </c>
      <c r="AK266" s="2" t="s">
        <v>1471</v>
      </c>
      <c r="AL266" s="4"/>
      <c r="AN266" s="4"/>
      <c r="AP266" s="4"/>
      <c r="AQ266" s="4"/>
      <c r="AS266" s="4">
        <v>0</v>
      </c>
      <c r="AT266" s="4">
        <v>0</v>
      </c>
      <c r="AU266" s="4">
        <v>1</v>
      </c>
      <c r="AV266" s="4">
        <v>0</v>
      </c>
      <c r="AW266" s="4">
        <v>1</v>
      </c>
      <c r="AX266" s="4">
        <v>0</v>
      </c>
      <c r="AZ266" s="2" t="s">
        <v>60</v>
      </c>
    </row>
    <row r="267" spans="2:52" x14ac:dyDescent="0.15">
      <c r="B267" s="2" t="s">
        <v>919</v>
      </c>
      <c r="C267" s="2" t="s">
        <v>1475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220</v>
      </c>
      <c r="J267" s="4" t="str">
        <f>VLOOKUP(I267,citySet!$B$5:$C$46,2,0)</f>
        <v>零陵</v>
      </c>
      <c r="K267" s="2" t="s">
        <v>1476</v>
      </c>
      <c r="L267" s="2" t="s">
        <v>1477</v>
      </c>
      <c r="M267" s="2" t="s">
        <v>1478</v>
      </c>
      <c r="N267" s="4"/>
      <c r="O267" s="2" t="s">
        <v>150</v>
      </c>
      <c r="P267" s="2" t="s">
        <v>150</v>
      </c>
      <c r="Q267" s="4">
        <v>0</v>
      </c>
      <c r="R267" s="2" t="s">
        <v>370</v>
      </c>
      <c r="S267" s="2" t="s">
        <v>505</v>
      </c>
      <c r="T267" s="2" t="s">
        <v>438</v>
      </c>
      <c r="U267" s="2" t="s">
        <v>786</v>
      </c>
      <c r="V267" s="2" t="s">
        <v>431</v>
      </c>
      <c r="W267" s="4">
        <v>2</v>
      </c>
      <c r="X267" s="2" t="s">
        <v>2983</v>
      </c>
      <c r="Y267" s="4">
        <v>0</v>
      </c>
      <c r="Z267" s="4" t="s">
        <v>39</v>
      </c>
      <c r="AA267" s="2" t="s">
        <v>60</v>
      </c>
      <c r="AB267" s="2" t="s">
        <v>431</v>
      </c>
      <c r="AC267" s="2" t="s">
        <v>219</v>
      </c>
      <c r="AD267" s="4">
        <v>84</v>
      </c>
      <c r="AE267" s="2" t="s">
        <v>130</v>
      </c>
      <c r="AF267" s="2" t="s">
        <v>235</v>
      </c>
      <c r="AG267" s="2" t="s">
        <v>899</v>
      </c>
      <c r="AH267" s="2" t="s">
        <v>185</v>
      </c>
      <c r="AI267" s="2" t="s">
        <v>877</v>
      </c>
      <c r="AJ267" s="4"/>
      <c r="AL267" s="4"/>
      <c r="AN267" s="4"/>
      <c r="AP267" s="4"/>
      <c r="AQ267" s="4"/>
      <c r="AS267" s="4">
        <v>1</v>
      </c>
      <c r="AT267" s="4">
        <v>1</v>
      </c>
      <c r="AU267" s="4">
        <v>2</v>
      </c>
      <c r="AV267" s="4">
        <v>0</v>
      </c>
      <c r="AW267" s="4">
        <v>3</v>
      </c>
      <c r="AX267" s="4">
        <v>2</v>
      </c>
      <c r="AZ267" s="2" t="s">
        <v>60</v>
      </c>
    </row>
    <row r="268" spans="2:52" x14ac:dyDescent="0.15">
      <c r="B268" s="2" t="s">
        <v>491</v>
      </c>
      <c r="C268" s="2" t="s">
        <v>1479</v>
      </c>
      <c r="D268" s="2" t="s">
        <v>220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220</v>
      </c>
      <c r="H268" s="4" t="str">
        <f>VLOOKUP(G268,corpsSet!$B$5:$C$46,2,0)</f>
        <v>锺会</v>
      </c>
      <c r="I268" s="4" t="s">
        <v>207</v>
      </c>
      <c r="J268" s="4" t="str">
        <f>VLOOKUP(I268,citySet!$B$5:$C$46,2,0)</f>
        <v>梓潼</v>
      </c>
      <c r="K268" s="2" t="s">
        <v>1472</v>
      </c>
      <c r="L268" s="2" t="s">
        <v>1481</v>
      </c>
      <c r="M268" s="2" t="s">
        <v>1482</v>
      </c>
      <c r="N268" s="4"/>
      <c r="O268" s="2" t="s">
        <v>130</v>
      </c>
      <c r="P268" s="2" t="s">
        <v>130</v>
      </c>
      <c r="Q268" s="4">
        <v>0</v>
      </c>
      <c r="R268" s="2" t="s">
        <v>370</v>
      </c>
      <c r="S268" s="2" t="s">
        <v>427</v>
      </c>
      <c r="T268" s="2" t="s">
        <v>373</v>
      </c>
      <c r="U268" s="2" t="s">
        <v>491</v>
      </c>
      <c r="V268" s="2" t="s">
        <v>106</v>
      </c>
      <c r="W268" s="4">
        <v>3</v>
      </c>
      <c r="X268" s="2" t="s">
        <v>2</v>
      </c>
      <c r="Y268" s="4">
        <v>0</v>
      </c>
      <c r="Z268" s="4" t="s">
        <v>39</v>
      </c>
      <c r="AA268" s="2" t="s">
        <v>185</v>
      </c>
      <c r="AB268" s="2" t="s">
        <v>554</v>
      </c>
      <c r="AC268" s="2" t="s">
        <v>7</v>
      </c>
      <c r="AD268" s="4">
        <v>91</v>
      </c>
      <c r="AE268" s="2" t="s">
        <v>88</v>
      </c>
      <c r="AF268" s="2" t="s">
        <v>404</v>
      </c>
      <c r="AG268" s="2" t="s">
        <v>1480</v>
      </c>
      <c r="AH268" s="2" t="s">
        <v>185</v>
      </c>
      <c r="AI268" s="2" t="s">
        <v>1092</v>
      </c>
      <c r="AJ268" s="4" t="s">
        <v>683</v>
      </c>
      <c r="AK268" s="2" t="s">
        <v>1471</v>
      </c>
      <c r="AL268" s="4"/>
      <c r="AN268" s="4"/>
      <c r="AP268" s="4"/>
      <c r="AQ268" s="4"/>
      <c r="AS268" s="4">
        <v>1</v>
      </c>
      <c r="AT268" s="4">
        <v>1</v>
      </c>
      <c r="AU268" s="4">
        <v>2</v>
      </c>
      <c r="AV268" s="4">
        <v>0</v>
      </c>
      <c r="AW268" s="4">
        <v>2</v>
      </c>
      <c r="AX268" s="4">
        <v>0</v>
      </c>
      <c r="AZ268" s="2" t="s">
        <v>60</v>
      </c>
    </row>
    <row r="269" spans="2:52" x14ac:dyDescent="0.15">
      <c r="B269" s="2" t="s">
        <v>854</v>
      </c>
      <c r="C269" s="2" t="s">
        <v>3096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204</v>
      </c>
      <c r="J269" s="4" t="str">
        <f>VLOOKUP(I269,citySet!$B$5:$C$46,2,0)</f>
        <v>柴桑</v>
      </c>
      <c r="K269" s="2" t="s">
        <v>1476</v>
      </c>
      <c r="L269" s="2" t="s">
        <v>1160</v>
      </c>
      <c r="M269" s="2" t="s">
        <v>1483</v>
      </c>
      <c r="N269" s="4"/>
      <c r="O269" s="2" t="s">
        <v>516</v>
      </c>
      <c r="P269" s="2" t="s">
        <v>516</v>
      </c>
      <c r="Q269" s="4">
        <v>0</v>
      </c>
      <c r="R269" s="2" t="s">
        <v>370</v>
      </c>
      <c r="S269" s="2" t="s">
        <v>407</v>
      </c>
      <c r="T269" s="2" t="s">
        <v>97</v>
      </c>
      <c r="U269" s="2" t="s">
        <v>427</v>
      </c>
      <c r="V269" s="2" t="s">
        <v>219</v>
      </c>
      <c r="W269" s="4">
        <v>2</v>
      </c>
      <c r="X269" s="2" t="s">
        <v>2983</v>
      </c>
      <c r="Y269" s="4">
        <v>0</v>
      </c>
      <c r="Z269" s="4" t="s">
        <v>39</v>
      </c>
      <c r="AA269" s="2" t="s">
        <v>60</v>
      </c>
      <c r="AB269" s="2" t="s">
        <v>29</v>
      </c>
      <c r="AC269" s="2" t="s">
        <v>36</v>
      </c>
      <c r="AD269" s="4">
        <v>65</v>
      </c>
      <c r="AE269" s="2" t="s">
        <v>444</v>
      </c>
      <c r="AF269" s="2" t="s">
        <v>191</v>
      </c>
      <c r="AG269" s="2" t="s">
        <v>564</v>
      </c>
      <c r="AH269" s="2" t="s">
        <v>185</v>
      </c>
      <c r="AI269" s="2" t="s">
        <v>491</v>
      </c>
      <c r="AJ269" s="4"/>
      <c r="AL269" s="4"/>
      <c r="AN269" s="4"/>
      <c r="AP269" s="4"/>
      <c r="AQ269" s="4"/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Z269" s="2" t="s">
        <v>60</v>
      </c>
    </row>
    <row r="270" spans="2:52" x14ac:dyDescent="0.15">
      <c r="B270" s="2" t="s">
        <v>604</v>
      </c>
      <c r="C270" s="2" t="s">
        <v>1484</v>
      </c>
      <c r="D270" s="2" t="s">
        <v>30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30</v>
      </c>
      <c r="H270" s="4" t="str">
        <f>VLOOKUP(G270,corpsSet!$B$5:$C$46,2,0)</f>
        <v>袁绍</v>
      </c>
      <c r="I270" s="4" t="s">
        <v>37</v>
      </c>
      <c r="J270" s="4" t="str">
        <f>VLOOKUP(I270,citySet!$B$5:$C$46,2,0)</f>
        <v>南皮</v>
      </c>
      <c r="K270" s="2" t="s">
        <v>1476</v>
      </c>
      <c r="L270" s="2" t="s">
        <v>1486</v>
      </c>
      <c r="N270" s="4"/>
      <c r="O270" s="2" t="s">
        <v>1485</v>
      </c>
      <c r="P270" s="2" t="s">
        <v>1485</v>
      </c>
      <c r="Q270" s="4">
        <v>0</v>
      </c>
      <c r="R270" s="2" t="s">
        <v>370</v>
      </c>
      <c r="S270" s="2" t="s">
        <v>435</v>
      </c>
      <c r="T270" s="2" t="s">
        <v>436</v>
      </c>
      <c r="U270" s="2" t="s">
        <v>90</v>
      </c>
      <c r="V270" s="2" t="s">
        <v>334</v>
      </c>
      <c r="W270" s="4">
        <v>1</v>
      </c>
      <c r="X270" s="2" t="s">
        <v>365</v>
      </c>
      <c r="Y270" s="4">
        <v>0</v>
      </c>
      <c r="Z270" s="4" t="s">
        <v>39</v>
      </c>
      <c r="AA270" s="2" t="s">
        <v>403</v>
      </c>
      <c r="AB270" s="2" t="s">
        <v>515</v>
      </c>
      <c r="AC270" s="2" t="s">
        <v>485</v>
      </c>
      <c r="AD270" s="4">
        <v>57</v>
      </c>
      <c r="AE270" s="2" t="s">
        <v>7</v>
      </c>
      <c r="AF270" s="2" t="s">
        <v>254</v>
      </c>
      <c r="AG270" s="2" t="s">
        <v>1282</v>
      </c>
      <c r="AH270" s="2" t="s">
        <v>185</v>
      </c>
      <c r="AI270" s="2" t="s">
        <v>854</v>
      </c>
      <c r="AJ270" s="4"/>
      <c r="AL270" s="4"/>
      <c r="AN270" s="4"/>
      <c r="AP270" s="4"/>
      <c r="AQ270" s="4"/>
      <c r="AS270" s="4">
        <v>0</v>
      </c>
      <c r="AT270" s="4">
        <v>0</v>
      </c>
      <c r="AU270" s="4">
        <v>1</v>
      </c>
      <c r="AV270" s="4">
        <v>1</v>
      </c>
      <c r="AW270" s="4">
        <v>0</v>
      </c>
      <c r="AX270" s="4">
        <v>0</v>
      </c>
      <c r="AZ270" s="2" t="s">
        <v>60</v>
      </c>
    </row>
    <row r="271" spans="2:52" x14ac:dyDescent="0.15">
      <c r="B271" s="2" t="s">
        <v>917</v>
      </c>
      <c r="C271" s="2" t="s">
        <v>1487</v>
      </c>
      <c r="D271" s="2" t="s">
        <v>31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31</v>
      </c>
      <c r="H271" s="4" t="str">
        <f>VLOOKUP(G271,corpsSet!$B$5:$C$46,2,0)</f>
        <v>孙坚</v>
      </c>
      <c r="I271" s="4" t="s">
        <v>204</v>
      </c>
      <c r="J271" s="4" t="str">
        <f>VLOOKUP(I271,citySet!$B$5:$C$46,2,0)</f>
        <v>柴桑</v>
      </c>
      <c r="K271" s="2" t="s">
        <v>1489</v>
      </c>
      <c r="L271" s="2" t="s">
        <v>1490</v>
      </c>
      <c r="N271" s="4"/>
      <c r="O271" s="2" t="s">
        <v>909</v>
      </c>
      <c r="P271" s="2" t="s">
        <v>909</v>
      </c>
      <c r="Q271" s="4">
        <v>1</v>
      </c>
      <c r="R271" s="2" t="s">
        <v>577</v>
      </c>
      <c r="S271" s="2" t="s">
        <v>407</v>
      </c>
      <c r="T271" s="2" t="s">
        <v>725</v>
      </c>
      <c r="U271" s="2" t="s">
        <v>685</v>
      </c>
      <c r="V271" s="2" t="s">
        <v>521</v>
      </c>
      <c r="W271" s="4">
        <v>1</v>
      </c>
      <c r="X271" s="2" t="s">
        <v>365</v>
      </c>
      <c r="Y271" s="4">
        <v>0</v>
      </c>
      <c r="Z271" s="4" t="s">
        <v>39</v>
      </c>
      <c r="AA271" s="2" t="s">
        <v>134</v>
      </c>
      <c r="AB271" s="2" t="s">
        <v>18</v>
      </c>
      <c r="AC271" s="2" t="s">
        <v>20</v>
      </c>
      <c r="AD271" s="4">
        <v>73</v>
      </c>
      <c r="AE271" s="2" t="s">
        <v>422</v>
      </c>
      <c r="AF271" s="2" t="s">
        <v>150</v>
      </c>
      <c r="AG271" s="2" t="s">
        <v>418</v>
      </c>
      <c r="AH271" s="2" t="s">
        <v>185</v>
      </c>
      <c r="AI271" s="2" t="s">
        <v>1077</v>
      </c>
      <c r="AJ271" s="4" t="s">
        <v>531</v>
      </c>
      <c r="AK271" s="2" t="s">
        <v>1488</v>
      </c>
      <c r="AL271" s="4"/>
      <c r="AN271" s="4" t="s">
        <v>786</v>
      </c>
      <c r="AO271" s="2" t="s">
        <v>22</v>
      </c>
      <c r="AP271" s="4"/>
      <c r="AQ271" s="4"/>
      <c r="AS271" s="4">
        <v>0</v>
      </c>
      <c r="AT271" s="4">
        <v>0</v>
      </c>
      <c r="AU271" s="4">
        <v>1</v>
      </c>
      <c r="AV271" s="4">
        <v>0</v>
      </c>
      <c r="AW271" s="4">
        <v>0</v>
      </c>
      <c r="AX271" s="4">
        <v>2</v>
      </c>
      <c r="AZ271" s="2" t="s">
        <v>60</v>
      </c>
    </row>
    <row r="272" spans="2:52" x14ac:dyDescent="0.15">
      <c r="B272" s="2" t="s">
        <v>659</v>
      </c>
      <c r="C272" s="2" t="s">
        <v>1491</v>
      </c>
      <c r="D272" s="2" t="s">
        <v>31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31</v>
      </c>
      <c r="H272" s="4" t="str">
        <f>VLOOKUP(G272,corpsSet!$B$5:$C$46,2,0)</f>
        <v>孙坚</v>
      </c>
      <c r="I272" s="4" t="s">
        <v>204</v>
      </c>
      <c r="J272" s="4" t="str">
        <f>VLOOKUP(I272,citySet!$B$5:$C$46,2,0)</f>
        <v>柴桑</v>
      </c>
      <c r="K272" s="2" t="s">
        <v>1476</v>
      </c>
      <c r="L272" s="2" t="s">
        <v>1492</v>
      </c>
      <c r="M272" s="2" t="s">
        <v>1493</v>
      </c>
      <c r="N272" s="4"/>
      <c r="O272" s="2" t="s">
        <v>689</v>
      </c>
      <c r="P272" s="2" t="s">
        <v>689</v>
      </c>
      <c r="Q272" s="4">
        <v>0</v>
      </c>
      <c r="R272" s="2" t="s">
        <v>370</v>
      </c>
      <c r="S272" s="2" t="s">
        <v>544</v>
      </c>
      <c r="T272" s="2" t="s">
        <v>518</v>
      </c>
      <c r="U272" s="2" t="s">
        <v>702</v>
      </c>
      <c r="V272" s="2" t="s">
        <v>335</v>
      </c>
      <c r="W272" s="4">
        <v>1</v>
      </c>
      <c r="X272" s="2" t="s">
        <v>365</v>
      </c>
      <c r="Y272" s="4">
        <v>0</v>
      </c>
      <c r="Z272" s="4" t="s">
        <v>39</v>
      </c>
      <c r="AA272" s="2" t="s">
        <v>185</v>
      </c>
      <c r="AB272" s="2" t="s">
        <v>431</v>
      </c>
      <c r="AC272" s="2" t="s">
        <v>391</v>
      </c>
      <c r="AD272" s="4">
        <v>51</v>
      </c>
      <c r="AE272" s="2" t="s">
        <v>98</v>
      </c>
      <c r="AF272" s="2" t="s">
        <v>367</v>
      </c>
      <c r="AG272" s="2" t="s">
        <v>1199</v>
      </c>
      <c r="AH272" s="2" t="s">
        <v>185</v>
      </c>
      <c r="AI272" s="2" t="s">
        <v>917</v>
      </c>
      <c r="AJ272" s="4"/>
      <c r="AL272" s="4"/>
      <c r="AN272" s="4"/>
      <c r="AP272" s="4"/>
      <c r="AQ272" s="4"/>
      <c r="AS272" s="4">
        <v>1</v>
      </c>
      <c r="AT272" s="4">
        <v>2</v>
      </c>
      <c r="AU272" s="4">
        <v>3</v>
      </c>
      <c r="AV272" s="4">
        <v>1</v>
      </c>
      <c r="AW272" s="4">
        <v>0</v>
      </c>
      <c r="AX272" s="4">
        <v>3</v>
      </c>
      <c r="AZ272" s="2" t="s">
        <v>60</v>
      </c>
    </row>
    <row r="273" spans="2:52" x14ac:dyDescent="0.15">
      <c r="B273" s="2" t="s">
        <v>645</v>
      </c>
      <c r="C273" s="2" t="s">
        <v>194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24</v>
      </c>
      <c r="J273" s="4" t="str">
        <f>VLOOKUP(I273,citySet!$B$5:$C$46,2,0)</f>
        <v>寿春</v>
      </c>
      <c r="K273" s="2" t="s">
        <v>1476</v>
      </c>
      <c r="L273" s="2" t="s">
        <v>1271</v>
      </c>
      <c r="M273" s="2" t="s">
        <v>1494</v>
      </c>
      <c r="N273" s="4"/>
      <c r="O273" s="2" t="s">
        <v>799</v>
      </c>
      <c r="P273" s="2" t="s">
        <v>799</v>
      </c>
      <c r="Q273" s="4">
        <v>0</v>
      </c>
      <c r="R273" s="2" t="s">
        <v>370</v>
      </c>
      <c r="S273" s="2" t="s">
        <v>505</v>
      </c>
      <c r="T273" s="2" t="s">
        <v>438</v>
      </c>
      <c r="U273" s="2" t="s">
        <v>732</v>
      </c>
      <c r="V273" s="2" t="s">
        <v>5</v>
      </c>
      <c r="W273" s="4">
        <v>2</v>
      </c>
      <c r="X273" s="2" t="s">
        <v>2983</v>
      </c>
      <c r="Y273" s="4">
        <v>0</v>
      </c>
      <c r="Z273" s="4" t="s">
        <v>39</v>
      </c>
      <c r="AA273" s="2" t="s">
        <v>60</v>
      </c>
      <c r="AB273" s="2" t="s">
        <v>414</v>
      </c>
      <c r="AC273" s="2" t="s">
        <v>99</v>
      </c>
      <c r="AD273" s="4">
        <v>85</v>
      </c>
      <c r="AE273" s="2" t="s">
        <v>422</v>
      </c>
      <c r="AF273" s="2" t="s">
        <v>201</v>
      </c>
      <c r="AG273" s="2" t="s">
        <v>503</v>
      </c>
      <c r="AH273" s="2" t="s">
        <v>185</v>
      </c>
      <c r="AI273" s="2" t="s">
        <v>659</v>
      </c>
      <c r="AJ273" s="4"/>
      <c r="AL273" s="4"/>
      <c r="AN273" s="4"/>
      <c r="AP273" s="4"/>
      <c r="AQ273" s="4"/>
      <c r="AS273" s="4">
        <v>0</v>
      </c>
      <c r="AT273" s="4">
        <v>1</v>
      </c>
      <c r="AU273" s="4">
        <v>2</v>
      </c>
      <c r="AV273" s="4">
        <v>0</v>
      </c>
      <c r="AW273" s="4">
        <v>1</v>
      </c>
      <c r="AX273" s="4">
        <v>0</v>
      </c>
      <c r="AZ273" s="2" t="s">
        <v>60</v>
      </c>
    </row>
    <row r="274" spans="2:52" x14ac:dyDescent="0.15">
      <c r="B274" s="2" t="s">
        <v>418</v>
      </c>
      <c r="C274" s="2" t="s">
        <v>1495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126</v>
      </c>
      <c r="J274" s="4" t="str">
        <f>VLOOKUP(I274,citySet!$B$5:$C$46,2,0)</f>
        <v>成都</v>
      </c>
      <c r="K274" s="2" t="s">
        <v>1496</v>
      </c>
      <c r="L274" s="2" t="s">
        <v>1396</v>
      </c>
      <c r="M274" s="2" t="s">
        <v>1497</v>
      </c>
      <c r="N274" s="4"/>
      <c r="O274" s="2" t="s">
        <v>418</v>
      </c>
      <c r="P274" s="2" t="s">
        <v>418</v>
      </c>
      <c r="Q274" s="4">
        <v>0</v>
      </c>
      <c r="R274" s="2" t="s">
        <v>370</v>
      </c>
      <c r="S274" s="2" t="s">
        <v>456</v>
      </c>
      <c r="T274" s="2" t="s">
        <v>772</v>
      </c>
      <c r="U274" s="2" t="s">
        <v>418</v>
      </c>
      <c r="V274" s="2" t="s">
        <v>404</v>
      </c>
      <c r="W274" s="4">
        <v>2</v>
      </c>
      <c r="X274" s="2" t="s">
        <v>2983</v>
      </c>
      <c r="Y274" s="4">
        <v>0</v>
      </c>
      <c r="Z274" s="4" t="s">
        <v>39</v>
      </c>
      <c r="AA274" s="2" t="s">
        <v>60</v>
      </c>
      <c r="AB274" s="2" t="s">
        <v>31</v>
      </c>
      <c r="AC274" s="2" t="s">
        <v>31</v>
      </c>
      <c r="AD274" s="4">
        <v>66</v>
      </c>
      <c r="AE274" s="2" t="s">
        <v>515</v>
      </c>
      <c r="AF274" s="2" t="s">
        <v>4</v>
      </c>
      <c r="AG274" s="2" t="s">
        <v>467</v>
      </c>
      <c r="AH274" s="2" t="s">
        <v>185</v>
      </c>
      <c r="AI274" s="2" t="s">
        <v>645</v>
      </c>
      <c r="AJ274" s="4"/>
      <c r="AL274" s="4"/>
      <c r="AN274" s="4"/>
      <c r="AP274" s="4"/>
      <c r="AQ274" s="4"/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Z274" s="2" t="s">
        <v>60</v>
      </c>
    </row>
    <row r="275" spans="2:52" x14ac:dyDescent="0.15">
      <c r="B275" s="2" t="s">
        <v>1014</v>
      </c>
      <c r="C275" s="2" t="s">
        <v>1498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226</v>
      </c>
      <c r="J275" s="4" t="str">
        <f>VLOOKUP(I275,citySet!$B$5:$C$46,2,0)</f>
        <v>汉中</v>
      </c>
      <c r="K275" s="2" t="s">
        <v>1476</v>
      </c>
      <c r="L275" s="2" t="s">
        <v>1499</v>
      </c>
      <c r="N275" s="4"/>
      <c r="O275" s="2" t="s">
        <v>1419</v>
      </c>
      <c r="P275" s="2" t="s">
        <v>1419</v>
      </c>
      <c r="Q275" s="4">
        <v>0</v>
      </c>
      <c r="R275" s="2" t="s">
        <v>370</v>
      </c>
      <c r="S275" s="2" t="s">
        <v>717</v>
      </c>
      <c r="T275" s="2" t="s">
        <v>373</v>
      </c>
      <c r="U275" s="2" t="s">
        <v>1042</v>
      </c>
      <c r="V275" s="2" t="s">
        <v>423</v>
      </c>
      <c r="W275" s="4">
        <v>2</v>
      </c>
      <c r="X275" s="2" t="s">
        <v>2983</v>
      </c>
      <c r="Y275" s="4">
        <v>0</v>
      </c>
      <c r="Z275" s="4" t="s">
        <v>39</v>
      </c>
      <c r="AA275" s="2" t="s">
        <v>60</v>
      </c>
      <c r="AB275" s="2" t="s">
        <v>254</v>
      </c>
      <c r="AC275" s="2" t="s">
        <v>434</v>
      </c>
      <c r="AD275" s="4">
        <v>35</v>
      </c>
      <c r="AE275" s="2" t="s">
        <v>208</v>
      </c>
      <c r="AF275" s="2" t="s">
        <v>119</v>
      </c>
      <c r="AG275" s="2" t="s">
        <v>373</v>
      </c>
      <c r="AH275" s="2" t="s">
        <v>185</v>
      </c>
      <c r="AI275" s="2" t="s">
        <v>418</v>
      </c>
      <c r="AJ275" s="4"/>
      <c r="AL275" s="4"/>
      <c r="AN275" s="4"/>
      <c r="AP275" s="4"/>
      <c r="AQ275" s="4"/>
      <c r="AS275" s="4">
        <v>0</v>
      </c>
      <c r="AT275" s="4">
        <v>2</v>
      </c>
      <c r="AU275" s="4">
        <v>0</v>
      </c>
      <c r="AV275" s="4">
        <v>1</v>
      </c>
      <c r="AW275" s="4">
        <v>0</v>
      </c>
      <c r="AX275" s="4">
        <v>0</v>
      </c>
      <c r="AZ275" s="2" t="s">
        <v>60</v>
      </c>
    </row>
    <row r="276" spans="2:52" x14ac:dyDescent="0.15">
      <c r="B276" s="2" t="s">
        <v>658</v>
      </c>
      <c r="C276" s="2" t="s">
        <v>277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37</v>
      </c>
      <c r="J276" s="4" t="str">
        <f>VLOOKUP(I276,citySet!$B$5:$C$46,2,0)</f>
        <v>南皮</v>
      </c>
      <c r="K276" s="2" t="s">
        <v>1468</v>
      </c>
      <c r="L276" s="2" t="s">
        <v>1501</v>
      </c>
      <c r="N276" s="4"/>
      <c r="O276" s="2" t="s">
        <v>1500</v>
      </c>
      <c r="P276" s="2" t="s">
        <v>1500</v>
      </c>
      <c r="Q276" s="4">
        <v>0</v>
      </c>
      <c r="R276" s="2" t="s">
        <v>370</v>
      </c>
      <c r="S276" s="2" t="s">
        <v>435</v>
      </c>
      <c r="T276" s="2" t="s">
        <v>436</v>
      </c>
      <c r="U276" s="2" t="s">
        <v>406</v>
      </c>
      <c r="V276" s="2" t="s">
        <v>21</v>
      </c>
      <c r="W276" s="4">
        <v>2</v>
      </c>
      <c r="X276" s="2" t="s">
        <v>2983</v>
      </c>
      <c r="Y276" s="4">
        <v>0</v>
      </c>
      <c r="Z276" s="4" t="s">
        <v>39</v>
      </c>
      <c r="AA276" s="2" t="s">
        <v>60</v>
      </c>
      <c r="AB276" s="2" t="s">
        <v>257</v>
      </c>
      <c r="AC276" s="2" t="s">
        <v>374</v>
      </c>
      <c r="AD276" s="4">
        <v>33</v>
      </c>
      <c r="AE276" s="2" t="s">
        <v>5</v>
      </c>
      <c r="AF276" s="2" t="s">
        <v>21</v>
      </c>
      <c r="AG276" s="2" t="s">
        <v>1136</v>
      </c>
      <c r="AH276" s="2" t="s">
        <v>185</v>
      </c>
      <c r="AI276" s="2" t="s">
        <v>1014</v>
      </c>
      <c r="AJ276" s="4"/>
      <c r="AL276" s="4"/>
      <c r="AN276" s="4"/>
      <c r="AP276" s="4"/>
      <c r="AQ276" s="4"/>
      <c r="AS276" s="4">
        <v>0</v>
      </c>
      <c r="AT276" s="4">
        <v>0</v>
      </c>
      <c r="AU276" s="4">
        <v>0</v>
      </c>
      <c r="AV276" s="4">
        <v>2</v>
      </c>
      <c r="AW276" s="4">
        <v>0</v>
      </c>
      <c r="AX276" s="4">
        <v>0</v>
      </c>
      <c r="AZ276" s="2" t="s">
        <v>60</v>
      </c>
    </row>
    <row r="277" spans="2:52" x14ac:dyDescent="0.15">
      <c r="B277" s="2" t="s">
        <v>381</v>
      </c>
      <c r="C277" s="2" t="s">
        <v>1321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119</v>
      </c>
      <c r="J277" s="4" t="str">
        <f>VLOOKUP(I277,citySet!$B$5:$C$46,2,0)</f>
        <v>襄阳</v>
      </c>
      <c r="K277" s="2" t="s">
        <v>1502</v>
      </c>
      <c r="L277" s="2" t="s">
        <v>1503</v>
      </c>
      <c r="N277" s="4"/>
      <c r="O277" s="2" t="s">
        <v>435</v>
      </c>
      <c r="P277" s="2" t="s">
        <v>435</v>
      </c>
      <c r="Q277" s="4">
        <v>0</v>
      </c>
      <c r="R277" s="2" t="s">
        <v>370</v>
      </c>
      <c r="S277" s="2" t="s">
        <v>675</v>
      </c>
      <c r="T277" s="2" t="s">
        <v>83</v>
      </c>
      <c r="U277" s="2" t="s">
        <v>977</v>
      </c>
      <c r="V277" s="2" t="s">
        <v>88</v>
      </c>
      <c r="W277" s="4">
        <v>2</v>
      </c>
      <c r="X277" s="2" t="s">
        <v>2983</v>
      </c>
      <c r="Y277" s="4">
        <v>0</v>
      </c>
      <c r="Z277" s="4" t="s">
        <v>39</v>
      </c>
      <c r="AA277" s="2" t="s">
        <v>60</v>
      </c>
      <c r="AB277" s="2" t="s">
        <v>434</v>
      </c>
      <c r="AC277" s="2" t="s">
        <v>269</v>
      </c>
      <c r="AD277" s="4">
        <v>76</v>
      </c>
      <c r="AE277" s="2" t="s">
        <v>445</v>
      </c>
      <c r="AF277" s="2" t="s">
        <v>515</v>
      </c>
      <c r="AG277" s="2" t="s">
        <v>799</v>
      </c>
      <c r="AH277" s="2" t="s">
        <v>185</v>
      </c>
      <c r="AI277" s="2" t="s">
        <v>658</v>
      </c>
      <c r="AJ277" s="4"/>
      <c r="AK277" s="2" t="s">
        <v>954</v>
      </c>
      <c r="AL277" s="4"/>
      <c r="AN277" s="4"/>
      <c r="AP277" s="4"/>
      <c r="AQ277" s="4"/>
      <c r="AS277" s="4">
        <v>1</v>
      </c>
      <c r="AT277" s="4">
        <v>1</v>
      </c>
      <c r="AU277" s="4">
        <v>2</v>
      </c>
      <c r="AV277" s="4">
        <v>0</v>
      </c>
      <c r="AW277" s="4">
        <v>0</v>
      </c>
      <c r="AX277" s="4">
        <v>0</v>
      </c>
      <c r="AZ277" s="2" t="s">
        <v>60</v>
      </c>
    </row>
    <row r="278" spans="2:52" x14ac:dyDescent="0.15">
      <c r="B278" s="2" t="s">
        <v>1046</v>
      </c>
      <c r="C278" s="2" t="s">
        <v>1504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33</v>
      </c>
      <c r="J278" s="4" t="str">
        <f>VLOOKUP(I278,citySet!$B$5:$C$46,2,0)</f>
        <v>平原</v>
      </c>
      <c r="K278" s="2" t="s">
        <v>1506</v>
      </c>
      <c r="L278" s="2" t="s">
        <v>1507</v>
      </c>
      <c r="M278" s="2" t="s">
        <v>1508</v>
      </c>
      <c r="N278" s="4"/>
      <c r="O278" s="2" t="s">
        <v>1505</v>
      </c>
      <c r="P278" s="2" t="s">
        <v>1505</v>
      </c>
      <c r="Q278" s="4">
        <v>0</v>
      </c>
      <c r="R278" s="2" t="s">
        <v>370</v>
      </c>
      <c r="S278" s="2" t="s">
        <v>198</v>
      </c>
      <c r="T278" s="2" t="s">
        <v>633</v>
      </c>
      <c r="U278" s="2" t="s">
        <v>659</v>
      </c>
      <c r="V278" s="2" t="s">
        <v>213</v>
      </c>
      <c r="W278" s="4">
        <v>2</v>
      </c>
      <c r="X278" s="2" t="s">
        <v>2983</v>
      </c>
      <c r="Y278" s="4">
        <v>0</v>
      </c>
      <c r="Z278" s="4" t="s">
        <v>39</v>
      </c>
      <c r="AA278" s="2" t="s">
        <v>60</v>
      </c>
      <c r="AB278" s="2" t="s">
        <v>107</v>
      </c>
      <c r="AC278" s="2" t="s">
        <v>8</v>
      </c>
      <c r="AD278" s="4">
        <v>72</v>
      </c>
      <c r="AE278" s="2" t="s">
        <v>404</v>
      </c>
      <c r="AF278" s="2" t="s">
        <v>3</v>
      </c>
      <c r="AG278" s="2" t="s">
        <v>667</v>
      </c>
      <c r="AH278" s="2" t="s">
        <v>185</v>
      </c>
      <c r="AI278" s="2" t="s">
        <v>381</v>
      </c>
      <c r="AJ278" s="4"/>
      <c r="AL278" s="4"/>
      <c r="AN278" s="4"/>
      <c r="AP278" s="4"/>
      <c r="AQ278" s="4"/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Z278" s="2" t="s">
        <v>60</v>
      </c>
    </row>
    <row r="279" spans="2:52" x14ac:dyDescent="0.15">
      <c r="B279" s="2" t="s">
        <v>405</v>
      </c>
      <c r="C279" s="2" t="s">
        <v>1509</v>
      </c>
      <c r="D279" s="2" t="s">
        <v>226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226</v>
      </c>
      <c r="H279" s="4" t="str">
        <f>VLOOKUP(G279,corpsSet!$B$5:$C$46,2,0)</f>
        <v>毌丘俭</v>
      </c>
      <c r="I279" s="4" t="s">
        <v>24</v>
      </c>
      <c r="J279" s="4" t="str">
        <f>VLOOKUP(I279,citySet!$B$5:$C$46,2,0)</f>
        <v>寿春</v>
      </c>
      <c r="K279" s="2" t="s">
        <v>1476</v>
      </c>
      <c r="L279" s="2" t="s">
        <v>1297</v>
      </c>
      <c r="N279" s="4"/>
      <c r="O279" s="2" t="s">
        <v>1510</v>
      </c>
      <c r="P279" s="2" t="s">
        <v>1510</v>
      </c>
      <c r="Q279" s="4">
        <v>0</v>
      </c>
      <c r="R279" s="2" t="s">
        <v>370</v>
      </c>
      <c r="S279" s="2" t="s">
        <v>786</v>
      </c>
      <c r="T279" s="2" t="s">
        <v>519</v>
      </c>
      <c r="U279" s="2" t="s">
        <v>650</v>
      </c>
      <c r="V279" s="2" t="s">
        <v>706</v>
      </c>
      <c r="W279" s="4">
        <v>1</v>
      </c>
      <c r="X279" s="2" t="s">
        <v>365</v>
      </c>
      <c r="Y279" s="4">
        <v>0</v>
      </c>
      <c r="Z279" s="4" t="s">
        <v>39</v>
      </c>
      <c r="AA279" s="2" t="s">
        <v>403</v>
      </c>
      <c r="AB279" s="2" t="s">
        <v>382</v>
      </c>
      <c r="AC279" s="2" t="s">
        <v>261</v>
      </c>
      <c r="AD279" s="4">
        <v>62</v>
      </c>
      <c r="AE279" s="2" t="s">
        <v>237</v>
      </c>
      <c r="AF279" s="2" t="s">
        <v>414</v>
      </c>
      <c r="AG279" s="2" t="s">
        <v>1181</v>
      </c>
      <c r="AH279" s="2" t="s">
        <v>185</v>
      </c>
      <c r="AI279" s="2" t="s">
        <v>1046</v>
      </c>
      <c r="AJ279" s="4"/>
      <c r="AL279" s="4"/>
      <c r="AN279" s="4"/>
      <c r="AP279" s="4"/>
      <c r="AQ279" s="4"/>
      <c r="AS279" s="4">
        <v>1</v>
      </c>
      <c r="AT279" s="4">
        <v>0</v>
      </c>
      <c r="AU279" s="4">
        <v>1</v>
      </c>
      <c r="AV279" s="4">
        <v>0</v>
      </c>
      <c r="AW279" s="4">
        <v>1</v>
      </c>
      <c r="AX279" s="4">
        <v>0</v>
      </c>
      <c r="AZ279" s="2" t="s">
        <v>60</v>
      </c>
    </row>
    <row r="280" spans="2:52" x14ac:dyDescent="0.15">
      <c r="B280" s="2" t="s">
        <v>1092</v>
      </c>
      <c r="C280" s="2" t="s">
        <v>1512</v>
      </c>
      <c r="D280" s="2" t="s">
        <v>220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220</v>
      </c>
      <c r="H280" s="4" t="str">
        <f>VLOOKUP(G280,corpsSet!$B$5:$C$46,2,0)</f>
        <v>锺会</v>
      </c>
      <c r="I280" s="4" t="s">
        <v>207</v>
      </c>
      <c r="J280" s="4" t="str">
        <f>VLOOKUP(I280,citySet!$B$5:$C$46,2,0)</f>
        <v>梓潼</v>
      </c>
      <c r="K280" s="2" t="s">
        <v>1476</v>
      </c>
      <c r="L280" s="2" t="s">
        <v>1513</v>
      </c>
      <c r="N280" s="4"/>
      <c r="O280" s="2" t="s">
        <v>398</v>
      </c>
      <c r="P280" s="2" t="s">
        <v>398</v>
      </c>
      <c r="Q280" s="4">
        <v>0</v>
      </c>
      <c r="R280" s="2" t="s">
        <v>370</v>
      </c>
      <c r="S280" s="2" t="s">
        <v>424</v>
      </c>
      <c r="T280" s="2" t="s">
        <v>340</v>
      </c>
      <c r="U280" s="2" t="s">
        <v>919</v>
      </c>
      <c r="V280" s="2" t="s">
        <v>431</v>
      </c>
      <c r="W280" s="4">
        <v>1</v>
      </c>
      <c r="X280" s="2" t="s">
        <v>365</v>
      </c>
      <c r="Y280" s="4">
        <v>8</v>
      </c>
      <c r="Z280" s="4" t="s">
        <v>3079</v>
      </c>
      <c r="AA280" s="2" t="s">
        <v>185</v>
      </c>
      <c r="AB280" s="2" t="s">
        <v>204</v>
      </c>
      <c r="AC280" s="2" t="s">
        <v>189</v>
      </c>
      <c r="AD280" s="4">
        <v>64</v>
      </c>
      <c r="AE280" s="2" t="s">
        <v>261</v>
      </c>
      <c r="AF280" s="2" t="s">
        <v>367</v>
      </c>
      <c r="AG280" s="2" t="s">
        <v>590</v>
      </c>
      <c r="AH280" s="2" t="s">
        <v>185</v>
      </c>
      <c r="AI280" s="2" t="s">
        <v>877</v>
      </c>
      <c r="AJ280" s="4" t="s">
        <v>919</v>
      </c>
      <c r="AK280" s="2" t="s">
        <v>1475</v>
      </c>
      <c r="AL280" s="4"/>
      <c r="AN280" s="4"/>
      <c r="AP280" s="4"/>
      <c r="AQ280" s="4"/>
      <c r="AS280" s="4">
        <v>0</v>
      </c>
      <c r="AT280" s="4">
        <v>0</v>
      </c>
      <c r="AU280" s="4">
        <v>1</v>
      </c>
      <c r="AV280" s="4">
        <v>0</v>
      </c>
      <c r="AW280" s="4">
        <v>0</v>
      </c>
      <c r="AX280" s="4">
        <v>0</v>
      </c>
      <c r="AZ280" s="2" t="s">
        <v>60</v>
      </c>
    </row>
    <row r="281" spans="2:52" x14ac:dyDescent="0.15">
      <c r="B281" s="2" t="s">
        <v>683</v>
      </c>
      <c r="C281" s="2" t="s">
        <v>1471</v>
      </c>
      <c r="D281" s="2" t="s">
        <v>27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27</v>
      </c>
      <c r="H281" s="4" t="str">
        <f>VLOOKUP(G281,corpsSet!$B$5:$C$46,2,0)</f>
        <v>曹操</v>
      </c>
      <c r="I281" s="4" t="s">
        <v>17</v>
      </c>
      <c r="J281" s="4" t="str">
        <f>VLOOKUP(I281,citySet!$B$5:$C$46,2,0)</f>
        <v>许昌</v>
      </c>
      <c r="K281" s="2" t="s">
        <v>1472</v>
      </c>
      <c r="L281" s="2" t="s">
        <v>1514</v>
      </c>
      <c r="M281" s="2" t="s">
        <v>1515</v>
      </c>
      <c r="N281" s="4"/>
      <c r="O281" s="2" t="s">
        <v>94</v>
      </c>
      <c r="P281" s="2" t="s">
        <v>94</v>
      </c>
      <c r="Q281" s="4">
        <v>0</v>
      </c>
      <c r="R281" s="2" t="s">
        <v>370</v>
      </c>
      <c r="S281" s="2" t="s">
        <v>435</v>
      </c>
      <c r="T281" s="2" t="s">
        <v>634</v>
      </c>
      <c r="U281" s="2" t="s">
        <v>424</v>
      </c>
      <c r="V281" s="2" t="s">
        <v>10</v>
      </c>
      <c r="W281" s="4">
        <v>1</v>
      </c>
      <c r="X281" s="2" t="s">
        <v>365</v>
      </c>
      <c r="Y281" s="4">
        <v>0</v>
      </c>
      <c r="Z281" s="4" t="s">
        <v>39</v>
      </c>
      <c r="AA281" s="2" t="s">
        <v>185</v>
      </c>
      <c r="AB281" s="2" t="s">
        <v>153</v>
      </c>
      <c r="AC281" s="2" t="s">
        <v>193</v>
      </c>
      <c r="AD281" s="4">
        <v>76</v>
      </c>
      <c r="AE281" s="2" t="s">
        <v>148</v>
      </c>
      <c r="AF281" s="2" t="s">
        <v>329</v>
      </c>
      <c r="AG281" s="2" t="s">
        <v>1178</v>
      </c>
      <c r="AH281" s="2" t="s">
        <v>185</v>
      </c>
      <c r="AI281" s="2" t="s">
        <v>1092</v>
      </c>
      <c r="AJ281" s="4"/>
      <c r="AL281" s="4"/>
      <c r="AN281" s="4"/>
      <c r="AP281" s="4"/>
      <c r="AQ281" s="4"/>
      <c r="AS281" s="4">
        <v>0</v>
      </c>
      <c r="AT281" s="4">
        <v>0</v>
      </c>
      <c r="AU281" s="4">
        <v>1</v>
      </c>
      <c r="AV281" s="4">
        <v>1</v>
      </c>
      <c r="AW281" s="4">
        <v>0</v>
      </c>
      <c r="AX281" s="4">
        <v>0</v>
      </c>
      <c r="AZ281" s="2" t="s">
        <v>60</v>
      </c>
    </row>
    <row r="282" spans="2:52" x14ac:dyDescent="0.15">
      <c r="B282" s="2" t="s">
        <v>570</v>
      </c>
      <c r="C282" s="2" t="s">
        <v>3097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200</v>
      </c>
      <c r="J282" s="4" t="str">
        <f>VLOOKUP(I282,citySet!$B$5:$C$46,2,0)</f>
        <v>庐江</v>
      </c>
      <c r="K282" s="2" t="s">
        <v>1517</v>
      </c>
      <c r="L282" s="2" t="s">
        <v>1518</v>
      </c>
      <c r="M282" s="2" t="s">
        <v>1519</v>
      </c>
      <c r="N282" s="4"/>
      <c r="O282" s="2" t="s">
        <v>1516</v>
      </c>
      <c r="P282" s="2" t="s">
        <v>1516</v>
      </c>
      <c r="Q282" s="4">
        <v>0</v>
      </c>
      <c r="R282" s="2" t="s">
        <v>370</v>
      </c>
      <c r="S282" s="2" t="s">
        <v>762</v>
      </c>
      <c r="T282" s="2" t="s">
        <v>675</v>
      </c>
      <c r="U282" s="2" t="s">
        <v>645</v>
      </c>
      <c r="V282" s="2" t="s">
        <v>557</v>
      </c>
      <c r="W282" s="4">
        <v>2</v>
      </c>
      <c r="X282" s="2" t="s">
        <v>2983</v>
      </c>
      <c r="Y282" s="4">
        <v>0</v>
      </c>
      <c r="Z282" s="4" t="s">
        <v>39</v>
      </c>
      <c r="AA282" s="2" t="s">
        <v>60</v>
      </c>
      <c r="AB282" s="2" t="s">
        <v>422</v>
      </c>
      <c r="AC282" s="2" t="s">
        <v>374</v>
      </c>
      <c r="AD282" s="4">
        <v>73</v>
      </c>
      <c r="AE282" s="2" t="s">
        <v>257</v>
      </c>
      <c r="AF282" s="2" t="s">
        <v>515</v>
      </c>
      <c r="AG282" s="2" t="s">
        <v>956</v>
      </c>
      <c r="AH282" s="2" t="s">
        <v>185</v>
      </c>
      <c r="AI282" s="2" t="s">
        <v>683</v>
      </c>
      <c r="AJ282" s="4"/>
      <c r="AL282" s="4"/>
      <c r="AN282" s="4"/>
      <c r="AP282" s="4"/>
      <c r="AQ282" s="4"/>
      <c r="AS282" s="4">
        <v>0</v>
      </c>
      <c r="AT282" s="4">
        <v>2</v>
      </c>
      <c r="AU282" s="4">
        <v>1</v>
      </c>
      <c r="AV282" s="4">
        <v>0</v>
      </c>
      <c r="AW282" s="4">
        <v>2</v>
      </c>
      <c r="AX282" s="4">
        <v>2</v>
      </c>
      <c r="AZ282" s="2" t="s">
        <v>60</v>
      </c>
    </row>
    <row r="283" spans="2:52" x14ac:dyDescent="0.15">
      <c r="B283" s="2" t="s">
        <v>907</v>
      </c>
      <c r="C283" s="2" t="s">
        <v>1520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119</v>
      </c>
      <c r="J283" s="4" t="str">
        <f>VLOOKUP(I283,citySet!$B$5:$C$46,2,0)</f>
        <v>襄阳</v>
      </c>
      <c r="K283" s="2" t="s">
        <v>1502</v>
      </c>
      <c r="L283" s="2" t="s">
        <v>721</v>
      </c>
      <c r="M283" s="2" t="s">
        <v>1522</v>
      </c>
      <c r="N283" s="4"/>
      <c r="O283" s="2" t="s">
        <v>336</v>
      </c>
      <c r="P283" s="2" t="s">
        <v>336</v>
      </c>
      <c r="Q283" s="4">
        <v>0</v>
      </c>
      <c r="R283" s="2" t="s">
        <v>370</v>
      </c>
      <c r="S283" s="2" t="s">
        <v>327</v>
      </c>
      <c r="T283" s="2" t="s">
        <v>779</v>
      </c>
      <c r="U283" s="2" t="s">
        <v>861</v>
      </c>
      <c r="V283" s="2" t="s">
        <v>88</v>
      </c>
      <c r="W283" s="4">
        <v>2</v>
      </c>
      <c r="X283" s="2" t="s">
        <v>2983</v>
      </c>
      <c r="Y283" s="4">
        <v>0</v>
      </c>
      <c r="Z283" s="4" t="s">
        <v>39</v>
      </c>
      <c r="AA283" s="2" t="s">
        <v>60</v>
      </c>
      <c r="AB283" s="2" t="s">
        <v>25</v>
      </c>
      <c r="AC283" s="2" t="s">
        <v>104</v>
      </c>
      <c r="AD283" s="4">
        <v>73</v>
      </c>
      <c r="AE283" s="2" t="s">
        <v>367</v>
      </c>
      <c r="AF283" s="2" t="s">
        <v>454</v>
      </c>
      <c r="AG283" s="2" t="s">
        <v>877</v>
      </c>
      <c r="AH283" s="2" t="s">
        <v>185</v>
      </c>
      <c r="AI283" s="2" t="s">
        <v>658</v>
      </c>
      <c r="AJ283" s="4"/>
      <c r="AK283" s="2" t="s">
        <v>1521</v>
      </c>
      <c r="AL283" s="4"/>
      <c r="AN283" s="4"/>
      <c r="AP283" s="4"/>
      <c r="AQ283" s="4"/>
      <c r="AS283" s="4">
        <v>0</v>
      </c>
      <c r="AT283" s="4">
        <v>0</v>
      </c>
      <c r="AU283" s="4">
        <v>1</v>
      </c>
      <c r="AV283" s="4">
        <v>0</v>
      </c>
      <c r="AW283" s="4">
        <v>0</v>
      </c>
      <c r="AX283" s="4">
        <v>0</v>
      </c>
      <c r="AZ283" s="2" t="s">
        <v>60</v>
      </c>
    </row>
    <row r="284" spans="2:52" x14ac:dyDescent="0.15">
      <c r="B284" s="2" t="s">
        <v>610</v>
      </c>
      <c r="C284" s="2" t="s">
        <v>1523</v>
      </c>
      <c r="D284" s="2" t="s">
        <v>36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36</v>
      </c>
      <c r="H284" s="4" t="str">
        <f>VLOOKUP(G284,corpsSet!$B$5:$C$46,2,0)</f>
        <v>董卓</v>
      </c>
      <c r="I284" s="4" t="s">
        <v>106</v>
      </c>
      <c r="J284" s="4" t="str">
        <f>VLOOKUP(I284,citySet!$B$5:$C$46,2,0)</f>
        <v>安定</v>
      </c>
      <c r="K284" s="2" t="s">
        <v>1524</v>
      </c>
      <c r="L284" s="2" t="s">
        <v>1525</v>
      </c>
      <c r="N284" s="4"/>
      <c r="O284" s="2" t="s">
        <v>854</v>
      </c>
      <c r="P284" s="2" t="s">
        <v>854</v>
      </c>
      <c r="Q284" s="4">
        <v>0</v>
      </c>
      <c r="R284" s="2" t="s">
        <v>370</v>
      </c>
      <c r="S284" s="2" t="s">
        <v>707</v>
      </c>
      <c r="T284" s="2" t="s">
        <v>719</v>
      </c>
      <c r="U284" s="2" t="s">
        <v>372</v>
      </c>
      <c r="V284" s="2" t="s">
        <v>904</v>
      </c>
      <c r="W284" s="4">
        <v>1</v>
      </c>
      <c r="X284" s="2" t="s">
        <v>365</v>
      </c>
      <c r="Y284" s="4">
        <v>0</v>
      </c>
      <c r="Z284" s="4" t="s">
        <v>39</v>
      </c>
      <c r="AA284" s="2" t="s">
        <v>185</v>
      </c>
      <c r="AB284" s="2" t="s">
        <v>329</v>
      </c>
      <c r="AC284" s="2" t="s">
        <v>434</v>
      </c>
      <c r="AD284" s="4">
        <v>57</v>
      </c>
      <c r="AE284" s="2" t="s">
        <v>99</v>
      </c>
      <c r="AF284" s="2" t="s">
        <v>98</v>
      </c>
      <c r="AG284" s="2" t="s">
        <v>639</v>
      </c>
      <c r="AH284" s="2" t="s">
        <v>185</v>
      </c>
      <c r="AI284" s="2" t="s">
        <v>907</v>
      </c>
      <c r="AJ284" s="4"/>
      <c r="AL284" s="4"/>
      <c r="AN284" s="4"/>
      <c r="AP284" s="4"/>
      <c r="AQ284" s="4"/>
      <c r="AS284" s="4">
        <v>1</v>
      </c>
      <c r="AT284" s="4">
        <v>1</v>
      </c>
      <c r="AU284" s="4">
        <v>0</v>
      </c>
      <c r="AV284" s="4">
        <v>3</v>
      </c>
      <c r="AW284" s="4">
        <v>0</v>
      </c>
      <c r="AX284" s="4">
        <v>0</v>
      </c>
      <c r="AZ284" s="2" t="s">
        <v>60</v>
      </c>
    </row>
    <row r="285" spans="2:52" x14ac:dyDescent="0.15">
      <c r="B285" s="2" t="s">
        <v>597</v>
      </c>
      <c r="C285" s="2" t="s">
        <v>1526</v>
      </c>
      <c r="D285" s="2" t="s">
        <v>31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31</v>
      </c>
      <c r="H285" s="4" t="str">
        <f>VLOOKUP(G285,corpsSet!$B$5:$C$46,2,0)</f>
        <v>孙坚</v>
      </c>
      <c r="I285" s="4" t="s">
        <v>204</v>
      </c>
      <c r="J285" s="4" t="str">
        <f>VLOOKUP(I285,citySet!$B$5:$C$46,2,0)</f>
        <v>柴桑</v>
      </c>
      <c r="K285" s="2" t="s">
        <v>1528</v>
      </c>
      <c r="L285" s="2" t="s">
        <v>1529</v>
      </c>
      <c r="M285" s="2" t="s">
        <v>1530</v>
      </c>
      <c r="N285" s="4"/>
      <c r="O285" s="2" t="s">
        <v>175</v>
      </c>
      <c r="P285" s="2" t="s">
        <v>175</v>
      </c>
      <c r="Q285" s="4">
        <v>0</v>
      </c>
      <c r="R285" s="2" t="s">
        <v>370</v>
      </c>
      <c r="S285" s="2" t="s">
        <v>371</v>
      </c>
      <c r="T285" s="2" t="s">
        <v>1257</v>
      </c>
      <c r="U285" s="2" t="s">
        <v>548</v>
      </c>
      <c r="V285" s="2" t="s">
        <v>557</v>
      </c>
      <c r="W285" s="4">
        <v>1</v>
      </c>
      <c r="X285" s="2" t="s">
        <v>365</v>
      </c>
      <c r="Y285" s="4">
        <v>0</v>
      </c>
      <c r="Z285" s="4" t="s">
        <v>39</v>
      </c>
      <c r="AA285" s="2" t="s">
        <v>185</v>
      </c>
      <c r="AB285" s="2" t="s">
        <v>374</v>
      </c>
      <c r="AC285" s="2" t="s">
        <v>191</v>
      </c>
      <c r="AD285" s="4">
        <v>90</v>
      </c>
      <c r="AE285" s="2" t="s">
        <v>329</v>
      </c>
      <c r="AF285" s="2" t="s">
        <v>93</v>
      </c>
      <c r="AG285" s="2" t="s">
        <v>516</v>
      </c>
      <c r="AH285" s="2" t="s">
        <v>185</v>
      </c>
      <c r="AI285" s="2" t="s">
        <v>325</v>
      </c>
      <c r="AJ285" s="4" t="s">
        <v>941</v>
      </c>
      <c r="AK285" s="2" t="s">
        <v>1527</v>
      </c>
      <c r="AL285" s="4"/>
      <c r="AN285" s="4"/>
      <c r="AP285" s="4"/>
      <c r="AQ285" s="4"/>
      <c r="AS285" s="4">
        <v>1</v>
      </c>
      <c r="AT285" s="4">
        <v>0</v>
      </c>
      <c r="AU285" s="4">
        <v>2</v>
      </c>
      <c r="AV285" s="4">
        <v>0</v>
      </c>
      <c r="AW285" s="4">
        <v>0</v>
      </c>
      <c r="AX285" s="4">
        <v>1</v>
      </c>
      <c r="AZ285" s="2" t="s">
        <v>60</v>
      </c>
    </row>
    <row r="286" spans="2:52" x14ac:dyDescent="0.15">
      <c r="B286" s="2" t="s">
        <v>650</v>
      </c>
      <c r="C286" s="2" t="s">
        <v>1531</v>
      </c>
      <c r="D286" s="2" t="s">
        <v>31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31</v>
      </c>
      <c r="H286" s="4" t="str">
        <f>VLOOKUP(G286,corpsSet!$B$5:$C$46,2,0)</f>
        <v>孙坚</v>
      </c>
      <c r="I286" s="4" t="s">
        <v>204</v>
      </c>
      <c r="J286" s="4" t="str">
        <f>VLOOKUP(I286,citySet!$B$5:$C$46,2,0)</f>
        <v>柴桑</v>
      </c>
      <c r="K286" s="2" t="s">
        <v>1528</v>
      </c>
      <c r="L286" s="2" t="s">
        <v>1490</v>
      </c>
      <c r="M286" s="2" t="s">
        <v>1533</v>
      </c>
      <c r="N286" s="4"/>
      <c r="O286" s="2" t="s">
        <v>1532</v>
      </c>
      <c r="P286" s="2" t="s">
        <v>1532</v>
      </c>
      <c r="Q286" s="4">
        <v>0</v>
      </c>
      <c r="R286" s="2" t="s">
        <v>370</v>
      </c>
      <c r="S286" s="2" t="s">
        <v>379</v>
      </c>
      <c r="T286" s="2" t="s">
        <v>380</v>
      </c>
      <c r="U286" s="2" t="s">
        <v>667</v>
      </c>
      <c r="V286" s="2" t="s">
        <v>235</v>
      </c>
      <c r="W286" s="4">
        <v>1</v>
      </c>
      <c r="X286" s="2" t="s">
        <v>365</v>
      </c>
      <c r="Y286" s="4">
        <v>0</v>
      </c>
      <c r="Z286" s="4" t="s">
        <v>39</v>
      </c>
      <c r="AA286" s="2" t="s">
        <v>185</v>
      </c>
      <c r="AB286" s="2" t="s">
        <v>423</v>
      </c>
      <c r="AC286" s="2" t="s">
        <v>204</v>
      </c>
      <c r="AD286" s="4">
        <v>75</v>
      </c>
      <c r="AE286" s="2" t="s">
        <v>153</v>
      </c>
      <c r="AF286" s="2" t="s">
        <v>422</v>
      </c>
      <c r="AG286" s="2" t="s">
        <v>800</v>
      </c>
      <c r="AH286" s="2" t="s">
        <v>185</v>
      </c>
      <c r="AI286" s="2" t="s">
        <v>325</v>
      </c>
      <c r="AJ286" s="4" t="s">
        <v>941</v>
      </c>
      <c r="AK286" s="2" t="s">
        <v>1527</v>
      </c>
      <c r="AL286" s="4"/>
      <c r="AN286" s="4"/>
      <c r="AP286" s="4"/>
      <c r="AQ286" s="4"/>
      <c r="AS286" s="4">
        <v>0</v>
      </c>
      <c r="AT286" s="4">
        <v>0</v>
      </c>
      <c r="AU286" s="4">
        <v>2</v>
      </c>
      <c r="AV286" s="4">
        <v>0</v>
      </c>
      <c r="AW286" s="4">
        <v>2</v>
      </c>
      <c r="AX286" s="4">
        <v>1</v>
      </c>
      <c r="AZ286" s="2" t="s">
        <v>60</v>
      </c>
    </row>
    <row r="287" spans="2:52" x14ac:dyDescent="0.15">
      <c r="B287" s="2" t="s">
        <v>941</v>
      </c>
      <c r="C287" s="2" t="s">
        <v>1527</v>
      </c>
      <c r="D287" s="2" t="s">
        <v>31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31</v>
      </c>
      <c r="H287" s="4" t="str">
        <f>VLOOKUP(G287,corpsSet!$B$5:$C$46,2,0)</f>
        <v>孙坚</v>
      </c>
      <c r="I287" s="4" t="s">
        <v>204</v>
      </c>
      <c r="J287" s="4" t="str">
        <f>VLOOKUP(I287,citySet!$B$5:$C$46,2,0)</f>
        <v>柴桑</v>
      </c>
      <c r="K287" s="2" t="s">
        <v>1528</v>
      </c>
      <c r="L287" s="2" t="s">
        <v>1535</v>
      </c>
      <c r="M287" s="2" t="s">
        <v>1536</v>
      </c>
      <c r="N287" s="4"/>
      <c r="O287" s="2" t="s">
        <v>102</v>
      </c>
      <c r="P287" s="2" t="s">
        <v>102</v>
      </c>
      <c r="Q287" s="4">
        <v>0</v>
      </c>
      <c r="R287" s="2" t="s">
        <v>370</v>
      </c>
      <c r="S287" s="2" t="s">
        <v>83</v>
      </c>
      <c r="T287" s="2" t="s">
        <v>1001</v>
      </c>
      <c r="U287" s="2" t="s">
        <v>1136</v>
      </c>
      <c r="V287" s="2" t="s">
        <v>557</v>
      </c>
      <c r="W287" s="4">
        <v>1</v>
      </c>
      <c r="X287" s="2" t="s">
        <v>365</v>
      </c>
      <c r="Y287" s="4">
        <v>0</v>
      </c>
      <c r="Z287" s="4" t="s">
        <v>39</v>
      </c>
      <c r="AA287" s="2" t="s">
        <v>185</v>
      </c>
      <c r="AB287" s="2" t="s">
        <v>481</v>
      </c>
      <c r="AC287" s="2" t="s">
        <v>219</v>
      </c>
      <c r="AD287" s="4">
        <v>81</v>
      </c>
      <c r="AE287" s="2" t="s">
        <v>78</v>
      </c>
      <c r="AF287" s="2" t="s">
        <v>176</v>
      </c>
      <c r="AG287" s="2" t="s">
        <v>1480</v>
      </c>
      <c r="AH287" s="2" t="s">
        <v>185</v>
      </c>
      <c r="AI287" s="2" t="s">
        <v>325</v>
      </c>
      <c r="AJ287" s="4"/>
      <c r="AK287" s="2" t="s">
        <v>1534</v>
      </c>
      <c r="AL287" s="4"/>
      <c r="AN287" s="4"/>
      <c r="AP287" s="4"/>
      <c r="AQ287" s="4"/>
      <c r="AS287" s="4">
        <v>0</v>
      </c>
      <c r="AT287" s="4">
        <v>1</v>
      </c>
      <c r="AU287" s="4">
        <v>2</v>
      </c>
      <c r="AV287" s="4">
        <v>0</v>
      </c>
      <c r="AW287" s="4">
        <v>0</v>
      </c>
      <c r="AX287" s="4">
        <v>2</v>
      </c>
      <c r="AZ287" s="2" t="s">
        <v>60</v>
      </c>
    </row>
    <row r="288" spans="2:52" x14ac:dyDescent="0.15">
      <c r="B288" s="2" t="s">
        <v>893</v>
      </c>
      <c r="C288" s="2" t="s">
        <v>1537</v>
      </c>
      <c r="D288" s="2" t="s">
        <v>35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35</v>
      </c>
      <c r="H288" s="4" t="str">
        <f>VLOOKUP(G288,corpsSet!$B$5:$C$46,2,0)</f>
        <v>刘备</v>
      </c>
      <c r="I288" s="4" t="s">
        <v>213</v>
      </c>
      <c r="J288" s="4" t="str">
        <f>VLOOKUP(I288,citySet!$B$5:$C$46,2,0)</f>
        <v>江陵</v>
      </c>
      <c r="K288" s="2" t="s">
        <v>1528</v>
      </c>
      <c r="L288" s="2" t="s">
        <v>1538</v>
      </c>
      <c r="N288" s="4"/>
      <c r="O288" s="2" t="s">
        <v>639</v>
      </c>
      <c r="P288" s="2" t="s">
        <v>639</v>
      </c>
      <c r="Q288" s="4">
        <v>0</v>
      </c>
      <c r="R288" s="2" t="s">
        <v>370</v>
      </c>
      <c r="S288" s="2" t="s">
        <v>406</v>
      </c>
      <c r="T288" s="2" t="s">
        <v>578</v>
      </c>
      <c r="U288" s="2" t="s">
        <v>542</v>
      </c>
      <c r="V288" s="2" t="s">
        <v>434</v>
      </c>
      <c r="W288" s="4">
        <v>1</v>
      </c>
      <c r="X288" s="2" t="s">
        <v>365</v>
      </c>
      <c r="Y288" s="4">
        <v>0</v>
      </c>
      <c r="Z288" s="4" t="s">
        <v>39</v>
      </c>
      <c r="AA288" s="2" t="s">
        <v>185</v>
      </c>
      <c r="AB288" s="2" t="s">
        <v>208</v>
      </c>
      <c r="AC288" s="2" t="s">
        <v>196</v>
      </c>
      <c r="AD288" s="4">
        <v>51</v>
      </c>
      <c r="AE288" s="2" t="s">
        <v>404</v>
      </c>
      <c r="AF288" s="2" t="s">
        <v>515</v>
      </c>
      <c r="AG288" s="2" t="s">
        <v>368</v>
      </c>
      <c r="AH288" s="2" t="s">
        <v>185</v>
      </c>
      <c r="AI288" s="2" t="s">
        <v>325</v>
      </c>
      <c r="AJ288" s="4"/>
      <c r="AK288" s="2" t="s">
        <v>1534</v>
      </c>
      <c r="AL288" s="4"/>
      <c r="AN288" s="4"/>
      <c r="AP288" s="4"/>
      <c r="AQ288" s="4"/>
      <c r="AS288" s="4">
        <v>0</v>
      </c>
      <c r="AT288" s="4">
        <v>0</v>
      </c>
      <c r="AU288" s="4">
        <v>1</v>
      </c>
      <c r="AV288" s="4">
        <v>0</v>
      </c>
      <c r="AW288" s="4">
        <v>1</v>
      </c>
      <c r="AX288" s="4">
        <v>0</v>
      </c>
      <c r="AZ288" s="2" t="s">
        <v>60</v>
      </c>
    </row>
    <row r="289" spans="2:52" x14ac:dyDescent="0.15">
      <c r="B289" s="2" t="s">
        <v>496</v>
      </c>
      <c r="C289" s="2" t="s">
        <v>1539</v>
      </c>
      <c r="D289" s="2" t="s">
        <v>220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220</v>
      </c>
      <c r="H289" s="4" t="str">
        <f>VLOOKUP(G289,corpsSet!$B$5:$C$46,2,0)</f>
        <v>锺会</v>
      </c>
      <c r="I289" s="4" t="s">
        <v>207</v>
      </c>
      <c r="J289" s="4" t="str">
        <f>VLOOKUP(I289,citySet!$B$5:$C$46,2,0)</f>
        <v>梓潼</v>
      </c>
      <c r="K289" s="2" t="s">
        <v>1528</v>
      </c>
      <c r="L289" s="2" t="s">
        <v>1540</v>
      </c>
      <c r="N289" s="4"/>
      <c r="O289" s="2" t="s">
        <v>273</v>
      </c>
      <c r="P289" s="2" t="s">
        <v>273</v>
      </c>
      <c r="Q289" s="4">
        <v>0</v>
      </c>
      <c r="R289" s="2" t="s">
        <v>370</v>
      </c>
      <c r="S289" s="2" t="s">
        <v>626</v>
      </c>
      <c r="T289" s="2" t="s">
        <v>379</v>
      </c>
      <c r="U289" s="2" t="s">
        <v>446</v>
      </c>
      <c r="V289" s="2" t="s">
        <v>126</v>
      </c>
      <c r="W289" s="4">
        <v>1</v>
      </c>
      <c r="X289" s="2" t="s">
        <v>365</v>
      </c>
      <c r="Y289" s="4">
        <v>0</v>
      </c>
      <c r="Z289" s="4" t="s">
        <v>39</v>
      </c>
      <c r="AA289" s="2" t="s">
        <v>228</v>
      </c>
      <c r="AB289" s="2" t="s">
        <v>237</v>
      </c>
      <c r="AC289" s="2" t="s">
        <v>126</v>
      </c>
      <c r="AD289" s="4">
        <v>29</v>
      </c>
      <c r="AE289" s="2" t="s">
        <v>102</v>
      </c>
      <c r="AF289" s="2" t="s">
        <v>414</v>
      </c>
      <c r="AG289" s="2" t="s">
        <v>380</v>
      </c>
      <c r="AH289" s="2" t="s">
        <v>185</v>
      </c>
      <c r="AI289" s="2" t="s">
        <v>893</v>
      </c>
      <c r="AJ289" s="4"/>
      <c r="AL289" s="4"/>
      <c r="AN289" s="4"/>
      <c r="AP289" s="4"/>
      <c r="AQ289" s="4"/>
      <c r="AS289" s="4">
        <v>0</v>
      </c>
      <c r="AT289" s="4">
        <v>0</v>
      </c>
      <c r="AU289" s="4">
        <v>0</v>
      </c>
      <c r="AV289" s="4">
        <v>1</v>
      </c>
      <c r="AW289" s="4">
        <v>0</v>
      </c>
      <c r="AX289" s="4">
        <v>0</v>
      </c>
      <c r="AZ289" s="2" t="s">
        <v>60</v>
      </c>
    </row>
    <row r="290" spans="2:52" x14ac:dyDescent="0.15">
      <c r="B290" s="2" t="s">
        <v>446</v>
      </c>
      <c r="C290" s="2" t="s">
        <v>1541</v>
      </c>
      <c r="D290" s="2" t="s">
        <v>35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35</v>
      </c>
      <c r="H290" s="4" t="str">
        <f>VLOOKUP(G290,corpsSet!$B$5:$C$46,2,0)</f>
        <v>刘备</v>
      </c>
      <c r="I290" s="4" t="s">
        <v>213</v>
      </c>
      <c r="J290" s="4" t="str">
        <f>VLOOKUP(I290,citySet!$B$5:$C$46,2,0)</f>
        <v>江陵</v>
      </c>
      <c r="K290" s="2" t="s">
        <v>1528</v>
      </c>
      <c r="L290" s="2" t="s">
        <v>532</v>
      </c>
      <c r="N290" s="4"/>
      <c r="O290" s="2" t="s">
        <v>496</v>
      </c>
      <c r="P290" s="2" t="s">
        <v>496</v>
      </c>
      <c r="Q290" s="4">
        <v>0</v>
      </c>
      <c r="R290" s="2" t="s">
        <v>370</v>
      </c>
      <c r="S290" s="2" t="s">
        <v>548</v>
      </c>
      <c r="T290" s="2" t="s">
        <v>786</v>
      </c>
      <c r="U290" s="2" t="s">
        <v>919</v>
      </c>
      <c r="V290" s="2" t="s">
        <v>481</v>
      </c>
      <c r="W290" s="4">
        <v>1</v>
      </c>
      <c r="X290" s="2" t="s">
        <v>365</v>
      </c>
      <c r="Y290" s="4">
        <v>0</v>
      </c>
      <c r="Z290" s="4" t="s">
        <v>39</v>
      </c>
      <c r="AA290" s="2" t="s">
        <v>185</v>
      </c>
      <c r="AB290" s="2" t="s">
        <v>444</v>
      </c>
      <c r="AC290" s="2" t="s">
        <v>422</v>
      </c>
      <c r="AD290" s="4">
        <v>62</v>
      </c>
      <c r="AE290" s="2" t="s">
        <v>254</v>
      </c>
      <c r="AF290" s="2" t="s">
        <v>321</v>
      </c>
      <c r="AG290" s="2" t="s">
        <v>781</v>
      </c>
      <c r="AH290" s="2" t="s">
        <v>185</v>
      </c>
      <c r="AI290" s="2" t="s">
        <v>325</v>
      </c>
      <c r="AJ290" s="4" t="s">
        <v>1264</v>
      </c>
      <c r="AK290" s="2" t="s">
        <v>1542</v>
      </c>
      <c r="AL290" s="4"/>
      <c r="AN290" s="4"/>
      <c r="AP290" s="4"/>
      <c r="AQ290" s="4"/>
      <c r="AS290" s="4">
        <v>2</v>
      </c>
      <c r="AT290" s="4">
        <v>2</v>
      </c>
      <c r="AU290" s="4">
        <v>1</v>
      </c>
      <c r="AV290" s="4">
        <v>1</v>
      </c>
      <c r="AW290" s="4">
        <v>1</v>
      </c>
      <c r="AX290" s="4">
        <v>0</v>
      </c>
      <c r="AZ290" s="2" t="s">
        <v>60</v>
      </c>
    </row>
    <row r="291" spans="2:52" x14ac:dyDescent="0.15">
      <c r="B291" s="2" t="s">
        <v>1181</v>
      </c>
      <c r="C291" s="2" t="s">
        <v>1543</v>
      </c>
      <c r="D291" s="2" t="s">
        <v>226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226</v>
      </c>
      <c r="H291" s="4" t="str">
        <f>VLOOKUP(G291,corpsSet!$B$5:$C$46,2,0)</f>
        <v>毌丘俭</v>
      </c>
      <c r="I291" s="4" t="s">
        <v>24</v>
      </c>
      <c r="J291" s="4" t="str">
        <f>VLOOKUP(I291,citySet!$B$5:$C$46,2,0)</f>
        <v>寿春</v>
      </c>
      <c r="K291" s="2" t="s">
        <v>1528</v>
      </c>
      <c r="L291" s="2" t="s">
        <v>1545</v>
      </c>
      <c r="M291" s="2" t="s">
        <v>1546</v>
      </c>
      <c r="N291" s="4"/>
      <c r="O291" s="2" t="s">
        <v>1416</v>
      </c>
      <c r="P291" s="2" t="s">
        <v>1416</v>
      </c>
      <c r="Q291" s="4">
        <v>0</v>
      </c>
      <c r="R291" s="2" t="s">
        <v>370</v>
      </c>
      <c r="S291" s="2" t="s">
        <v>548</v>
      </c>
      <c r="T291" s="2" t="s">
        <v>1136</v>
      </c>
      <c r="U291" s="2" t="s">
        <v>158</v>
      </c>
      <c r="V291" s="2" t="s">
        <v>706</v>
      </c>
      <c r="W291" s="4">
        <v>1</v>
      </c>
      <c r="X291" s="2" t="s">
        <v>365</v>
      </c>
      <c r="Y291" s="4">
        <v>0</v>
      </c>
      <c r="Z291" s="4" t="s">
        <v>39</v>
      </c>
      <c r="AA291" s="2" t="s">
        <v>413</v>
      </c>
      <c r="AB291" s="2" t="s">
        <v>485</v>
      </c>
      <c r="AC291" s="2" t="s">
        <v>382</v>
      </c>
      <c r="AD291" s="4">
        <v>66</v>
      </c>
      <c r="AE291" s="2" t="s">
        <v>257</v>
      </c>
      <c r="AF291" s="2" t="s">
        <v>321</v>
      </c>
      <c r="AG291" s="2" t="s">
        <v>814</v>
      </c>
      <c r="AH291" s="2" t="s">
        <v>185</v>
      </c>
      <c r="AI291" s="2" t="s">
        <v>325</v>
      </c>
      <c r="AJ291" s="4" t="s">
        <v>325</v>
      </c>
      <c r="AK291" s="2" t="s">
        <v>1544</v>
      </c>
      <c r="AL291" s="4"/>
      <c r="AN291" s="4"/>
      <c r="AP291" s="4"/>
      <c r="AQ291" s="4"/>
      <c r="AS291" s="4">
        <v>1</v>
      </c>
      <c r="AT291" s="4">
        <v>1</v>
      </c>
      <c r="AU291" s="4">
        <v>1</v>
      </c>
      <c r="AV291" s="4">
        <v>0</v>
      </c>
      <c r="AW291" s="4">
        <v>1</v>
      </c>
      <c r="AX291" s="4">
        <v>1</v>
      </c>
      <c r="AZ291" s="2" t="s">
        <v>60</v>
      </c>
    </row>
    <row r="292" spans="2:52" x14ac:dyDescent="0.15">
      <c r="B292" s="2" t="s">
        <v>1264</v>
      </c>
      <c r="C292" s="2" t="s">
        <v>1542</v>
      </c>
      <c r="D292" s="2" t="s">
        <v>35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35</v>
      </c>
      <c r="H292" s="4" t="str">
        <f>VLOOKUP(G292,corpsSet!$B$5:$C$46,2,0)</f>
        <v>刘备</v>
      </c>
      <c r="I292" s="4" t="s">
        <v>213</v>
      </c>
      <c r="J292" s="4" t="str">
        <f>VLOOKUP(I292,citySet!$B$5:$C$46,2,0)</f>
        <v>江陵</v>
      </c>
      <c r="K292" s="2" t="s">
        <v>1528</v>
      </c>
      <c r="L292" s="2" t="s">
        <v>1547</v>
      </c>
      <c r="M292" s="2" t="s">
        <v>1548</v>
      </c>
      <c r="N292" s="4"/>
      <c r="O292" s="2" t="s">
        <v>578</v>
      </c>
      <c r="P292" s="2" t="s">
        <v>578</v>
      </c>
      <c r="Q292" s="4">
        <v>0</v>
      </c>
      <c r="R292" s="2" t="s">
        <v>370</v>
      </c>
      <c r="S292" s="2" t="s">
        <v>1136</v>
      </c>
      <c r="T292" s="2" t="s">
        <v>519</v>
      </c>
      <c r="U292" s="2" t="s">
        <v>919</v>
      </c>
      <c r="V292" s="2" t="s">
        <v>481</v>
      </c>
      <c r="W292" s="4">
        <v>1</v>
      </c>
      <c r="X292" s="2" t="s">
        <v>365</v>
      </c>
      <c r="Y292" s="4">
        <v>0</v>
      </c>
      <c r="Z292" s="4" t="s">
        <v>39</v>
      </c>
      <c r="AA292" s="2" t="s">
        <v>185</v>
      </c>
      <c r="AB292" s="2" t="s">
        <v>515</v>
      </c>
      <c r="AC292" s="2" t="s">
        <v>93</v>
      </c>
      <c r="AD292" s="4">
        <v>70</v>
      </c>
      <c r="AE292" s="2" t="s">
        <v>374</v>
      </c>
      <c r="AF292" s="2" t="s">
        <v>481</v>
      </c>
      <c r="AG292" s="2" t="s">
        <v>1437</v>
      </c>
      <c r="AH292" s="2" t="s">
        <v>185</v>
      </c>
      <c r="AI292" s="2" t="s">
        <v>325</v>
      </c>
      <c r="AJ292" s="4">
        <v>29</v>
      </c>
      <c r="AK292" s="2" t="s">
        <v>16</v>
      </c>
      <c r="AL292" s="4" t="s">
        <v>673</v>
      </c>
      <c r="AM292" s="2" t="s">
        <v>1162</v>
      </c>
      <c r="AN292" s="4"/>
      <c r="AP292" s="4"/>
      <c r="AQ292" s="4"/>
      <c r="AS292" s="4">
        <v>1</v>
      </c>
      <c r="AT292" s="4">
        <v>1</v>
      </c>
      <c r="AU292" s="4">
        <v>2</v>
      </c>
      <c r="AV292" s="4">
        <v>1</v>
      </c>
      <c r="AW292" s="4">
        <v>2</v>
      </c>
      <c r="AX292" s="4">
        <v>1</v>
      </c>
      <c r="AZ292" s="2" t="s">
        <v>60</v>
      </c>
    </row>
    <row r="293" spans="2:52" x14ac:dyDescent="0.15">
      <c r="B293" s="2" t="s">
        <v>325</v>
      </c>
      <c r="C293" s="2" t="s">
        <v>1544</v>
      </c>
      <c r="D293" s="2" t="s">
        <v>226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226</v>
      </c>
      <c r="H293" s="4" t="str">
        <f>VLOOKUP(G293,corpsSet!$B$5:$C$46,2,0)</f>
        <v>毌丘俭</v>
      </c>
      <c r="I293" s="4" t="s">
        <v>24</v>
      </c>
      <c r="J293" s="4" t="str">
        <f>VLOOKUP(I293,citySet!$B$5:$C$46,2,0)</f>
        <v>寿春</v>
      </c>
      <c r="K293" s="2" t="s">
        <v>1528</v>
      </c>
      <c r="L293" s="2" t="s">
        <v>1549</v>
      </c>
      <c r="M293" s="2" t="s">
        <v>1550</v>
      </c>
      <c r="N293" s="4"/>
      <c r="O293" s="2" t="s">
        <v>79</v>
      </c>
      <c r="P293" s="2" t="s">
        <v>79</v>
      </c>
      <c r="Q293" s="4">
        <v>0</v>
      </c>
      <c r="R293" s="2" t="s">
        <v>370</v>
      </c>
      <c r="S293" s="2" t="s">
        <v>373</v>
      </c>
      <c r="T293" s="2" t="s">
        <v>326</v>
      </c>
      <c r="U293" s="2" t="s">
        <v>447</v>
      </c>
      <c r="V293" s="2" t="s">
        <v>706</v>
      </c>
      <c r="W293" s="4">
        <v>1</v>
      </c>
      <c r="X293" s="2" t="s">
        <v>365</v>
      </c>
      <c r="Y293" s="4">
        <v>4</v>
      </c>
      <c r="Z293" s="4" t="s">
        <v>1091</v>
      </c>
      <c r="AA293" s="2" t="s">
        <v>413</v>
      </c>
      <c r="AB293" s="2" t="s">
        <v>235</v>
      </c>
      <c r="AC293" s="2" t="s">
        <v>374</v>
      </c>
      <c r="AD293" s="4">
        <v>71</v>
      </c>
      <c r="AE293" s="2" t="s">
        <v>481</v>
      </c>
      <c r="AF293" s="2" t="s">
        <v>554</v>
      </c>
      <c r="AG293" s="2" t="s">
        <v>589</v>
      </c>
      <c r="AH293" s="2" t="s">
        <v>185</v>
      </c>
      <c r="AI293" s="2" t="s">
        <v>325</v>
      </c>
      <c r="AJ293" s="4"/>
      <c r="AL293" s="4"/>
      <c r="AN293" s="4"/>
      <c r="AP293" s="4"/>
      <c r="AQ293" s="4"/>
      <c r="AS293" s="4">
        <v>1</v>
      </c>
      <c r="AT293" s="4">
        <v>2</v>
      </c>
      <c r="AU293" s="4">
        <v>2</v>
      </c>
      <c r="AV293" s="4">
        <v>1</v>
      </c>
      <c r="AW293" s="4">
        <v>0</v>
      </c>
      <c r="AX293" s="4">
        <v>1</v>
      </c>
      <c r="AZ293" s="2" t="s">
        <v>60</v>
      </c>
    </row>
    <row r="294" spans="2:52" x14ac:dyDescent="0.15">
      <c r="B294" s="2" t="s">
        <v>1042</v>
      </c>
      <c r="C294" s="2" t="s">
        <v>16</v>
      </c>
      <c r="D294" s="2" t="s">
        <v>35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35</v>
      </c>
      <c r="H294" s="4" t="str">
        <f>VLOOKUP(G294,corpsSet!$B$5:$C$46,2,0)</f>
        <v>刘备</v>
      </c>
      <c r="I294" s="4" t="s">
        <v>213</v>
      </c>
      <c r="J294" s="4" t="str">
        <f>VLOOKUP(I294,citySet!$B$5:$C$46,2,0)</f>
        <v>江陵</v>
      </c>
      <c r="K294" s="2" t="s">
        <v>1528</v>
      </c>
      <c r="L294" s="2" t="s">
        <v>1551</v>
      </c>
      <c r="M294" s="2" t="s">
        <v>1552</v>
      </c>
      <c r="N294" s="4"/>
      <c r="O294" s="2" t="s">
        <v>101</v>
      </c>
      <c r="P294" s="2" t="s">
        <v>101</v>
      </c>
      <c r="Q294" s="4">
        <v>0</v>
      </c>
      <c r="R294" s="2" t="s">
        <v>370</v>
      </c>
      <c r="S294" s="2" t="s">
        <v>406</v>
      </c>
      <c r="T294" s="2" t="s">
        <v>778</v>
      </c>
      <c r="U294" s="2" t="s">
        <v>609</v>
      </c>
      <c r="V294" s="2" t="s">
        <v>481</v>
      </c>
      <c r="W294" s="4">
        <v>1</v>
      </c>
      <c r="X294" s="2" t="s">
        <v>365</v>
      </c>
      <c r="Y294" s="4">
        <v>8</v>
      </c>
      <c r="Z294" s="4" t="s">
        <v>3079</v>
      </c>
      <c r="AA294" s="2" t="s">
        <v>466</v>
      </c>
      <c r="AB294" s="2" t="s">
        <v>150</v>
      </c>
      <c r="AC294" s="2" t="s">
        <v>207</v>
      </c>
      <c r="AD294" s="4">
        <v>100</v>
      </c>
      <c r="AE294" s="2" t="s">
        <v>79</v>
      </c>
      <c r="AF294" s="2" t="s">
        <v>150</v>
      </c>
      <c r="AG294" s="2" t="s">
        <v>1308</v>
      </c>
      <c r="AH294" s="2" t="s">
        <v>185</v>
      </c>
      <c r="AI294" s="2" t="s">
        <v>325</v>
      </c>
      <c r="AJ294" s="4"/>
      <c r="AK294" s="2" t="s">
        <v>1534</v>
      </c>
      <c r="AL294" s="4"/>
      <c r="AN294" s="4" t="s">
        <v>673</v>
      </c>
      <c r="AO294" s="2" t="s">
        <v>1162</v>
      </c>
      <c r="AP294" s="4"/>
      <c r="AQ294" s="4"/>
      <c r="AS294" s="4">
        <v>1</v>
      </c>
      <c r="AT294" s="4">
        <v>1</v>
      </c>
      <c r="AU294" s="4">
        <v>3</v>
      </c>
      <c r="AV294" s="4">
        <v>0</v>
      </c>
      <c r="AW294" s="4">
        <v>3</v>
      </c>
      <c r="AX294" s="4">
        <v>2</v>
      </c>
      <c r="AZ294" s="2" t="s">
        <v>60</v>
      </c>
    </row>
    <row r="295" spans="2:52" x14ac:dyDescent="0.15">
      <c r="B295" s="2" t="s">
        <v>457</v>
      </c>
      <c r="C295" s="2" t="s">
        <v>1553</v>
      </c>
      <c r="D295" s="2" t="s">
        <v>27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27</v>
      </c>
      <c r="H295" s="4" t="str">
        <f>VLOOKUP(G295,corpsSet!$B$5:$C$46,2,0)</f>
        <v>曹操</v>
      </c>
      <c r="I295" s="4" t="s">
        <v>17</v>
      </c>
      <c r="J295" s="4" t="str">
        <f>VLOOKUP(I295,citySet!$B$5:$C$46,2,0)</f>
        <v>许昌</v>
      </c>
      <c r="K295" s="2" t="s">
        <v>1524</v>
      </c>
      <c r="L295" s="2" t="s">
        <v>1555</v>
      </c>
      <c r="M295" s="2" t="s">
        <v>1556</v>
      </c>
      <c r="N295" s="4"/>
      <c r="O295" s="2" t="s">
        <v>1554</v>
      </c>
      <c r="P295" s="2" t="s">
        <v>1554</v>
      </c>
      <c r="Q295" s="4">
        <v>0</v>
      </c>
      <c r="R295" s="2" t="s">
        <v>370</v>
      </c>
      <c r="S295" s="2" t="s">
        <v>438</v>
      </c>
      <c r="T295" s="2" t="s">
        <v>499</v>
      </c>
      <c r="U295" s="2" t="s">
        <v>667</v>
      </c>
      <c r="V295" s="2" t="s">
        <v>189</v>
      </c>
      <c r="W295" s="4">
        <v>1</v>
      </c>
      <c r="X295" s="2" t="s">
        <v>365</v>
      </c>
      <c r="Y295" s="4">
        <v>0</v>
      </c>
      <c r="Z295" s="4" t="s">
        <v>39</v>
      </c>
      <c r="AA295" s="2" t="s">
        <v>185</v>
      </c>
      <c r="AB295" s="2" t="s">
        <v>123</v>
      </c>
      <c r="AC295" s="2" t="s">
        <v>176</v>
      </c>
      <c r="AD295" s="4">
        <v>74</v>
      </c>
      <c r="AE295" s="2" t="s">
        <v>414</v>
      </c>
      <c r="AF295" s="2" t="s">
        <v>515</v>
      </c>
      <c r="AG295" s="2" t="s">
        <v>677</v>
      </c>
      <c r="AH295" s="2" t="s">
        <v>185</v>
      </c>
      <c r="AI295" s="2" t="s">
        <v>1042</v>
      </c>
      <c r="AJ295" s="4"/>
      <c r="AL295" s="4"/>
      <c r="AN295" s="4"/>
      <c r="AP295" s="4"/>
      <c r="AQ295" s="4"/>
      <c r="AS295" s="4">
        <v>2</v>
      </c>
      <c r="AT295" s="4">
        <v>3</v>
      </c>
      <c r="AU295" s="4">
        <v>1</v>
      </c>
      <c r="AV295" s="4">
        <v>2</v>
      </c>
      <c r="AW295" s="4">
        <v>1</v>
      </c>
      <c r="AX295" s="4">
        <v>0</v>
      </c>
      <c r="AZ295" s="2" t="s">
        <v>60</v>
      </c>
    </row>
    <row r="296" spans="2:52" x14ac:dyDescent="0.15">
      <c r="B296" s="2" t="s">
        <v>1282</v>
      </c>
      <c r="C296" s="2" t="s">
        <v>1557</v>
      </c>
      <c r="D296" s="2" t="s">
        <v>31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31</v>
      </c>
      <c r="H296" s="4" t="str">
        <f>VLOOKUP(G296,corpsSet!$B$5:$C$46,2,0)</f>
        <v>孙坚</v>
      </c>
      <c r="I296" s="4" t="s">
        <v>204</v>
      </c>
      <c r="J296" s="4" t="str">
        <f>VLOOKUP(I296,citySet!$B$5:$C$46,2,0)</f>
        <v>柴桑</v>
      </c>
      <c r="K296" s="2" t="s">
        <v>1524</v>
      </c>
      <c r="L296" s="2" t="s">
        <v>1326</v>
      </c>
      <c r="N296" s="4"/>
      <c r="O296" s="2" t="s">
        <v>1558</v>
      </c>
      <c r="P296" s="2" t="s">
        <v>1558</v>
      </c>
      <c r="Q296" s="4">
        <v>1</v>
      </c>
      <c r="R296" s="2" t="s">
        <v>577</v>
      </c>
      <c r="S296" s="2" t="s">
        <v>425</v>
      </c>
      <c r="T296" s="2" t="s">
        <v>426</v>
      </c>
      <c r="U296" s="2" t="s">
        <v>991</v>
      </c>
      <c r="V296" s="2" t="s">
        <v>521</v>
      </c>
      <c r="W296" s="4">
        <v>1</v>
      </c>
      <c r="X296" s="2" t="s">
        <v>365</v>
      </c>
      <c r="Y296" s="4">
        <v>0</v>
      </c>
      <c r="Z296" s="4" t="s">
        <v>39</v>
      </c>
      <c r="AA296" s="2" t="s">
        <v>185</v>
      </c>
      <c r="AB296" s="2" t="s">
        <v>237</v>
      </c>
      <c r="AC296" s="2" t="s">
        <v>18</v>
      </c>
      <c r="AD296" s="4">
        <v>80</v>
      </c>
      <c r="AE296" s="2" t="s">
        <v>153</v>
      </c>
      <c r="AF296" s="2" t="s">
        <v>391</v>
      </c>
      <c r="AG296" s="2" t="s">
        <v>457</v>
      </c>
      <c r="AH296" s="2" t="s">
        <v>185</v>
      </c>
      <c r="AI296" s="2" t="s">
        <v>457</v>
      </c>
      <c r="AJ296" s="4"/>
      <c r="AL296" s="4"/>
      <c r="AN296" s="4" t="s">
        <v>534</v>
      </c>
      <c r="AO296" s="2" t="s">
        <v>1823</v>
      </c>
      <c r="AP296" s="4"/>
      <c r="AQ296" s="4"/>
      <c r="AS296" s="4">
        <v>0</v>
      </c>
      <c r="AT296" s="4">
        <v>1</v>
      </c>
      <c r="AU296" s="4">
        <v>1</v>
      </c>
      <c r="AV296" s="4">
        <v>0</v>
      </c>
      <c r="AW296" s="4">
        <v>0</v>
      </c>
      <c r="AX296" s="4">
        <v>1</v>
      </c>
      <c r="AZ296" s="2" t="s">
        <v>60</v>
      </c>
    </row>
    <row r="297" spans="2:52" x14ac:dyDescent="0.15">
      <c r="B297" s="2" t="s">
        <v>330</v>
      </c>
      <c r="C297" s="2" t="s">
        <v>1559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106</v>
      </c>
      <c r="J297" s="4" t="str">
        <f>VLOOKUP(I297,citySet!$B$5:$C$46,2,0)</f>
        <v>安定</v>
      </c>
      <c r="K297" s="2" t="s">
        <v>1524</v>
      </c>
      <c r="L297" s="2" t="s">
        <v>1278</v>
      </c>
      <c r="N297" s="4"/>
      <c r="O297" s="2" t="s">
        <v>710</v>
      </c>
      <c r="P297" s="2" t="s">
        <v>710</v>
      </c>
      <c r="Q297" s="4">
        <v>0</v>
      </c>
      <c r="R297" s="2" t="s">
        <v>370</v>
      </c>
      <c r="S297" s="2" t="s">
        <v>395</v>
      </c>
      <c r="T297" s="2" t="s">
        <v>505</v>
      </c>
      <c r="U297" s="2" t="s">
        <v>548</v>
      </c>
      <c r="V297" s="2" t="s">
        <v>189</v>
      </c>
      <c r="W297" s="4">
        <v>2</v>
      </c>
      <c r="X297" s="2" t="s">
        <v>2983</v>
      </c>
      <c r="Y297" s="4">
        <v>0</v>
      </c>
      <c r="Z297" s="4" t="s">
        <v>39</v>
      </c>
      <c r="AA297" s="2" t="s">
        <v>60</v>
      </c>
      <c r="AB297" s="2" t="s">
        <v>321</v>
      </c>
      <c r="AC297" s="2" t="s">
        <v>397</v>
      </c>
      <c r="AD297" s="4">
        <v>24</v>
      </c>
      <c r="AE297" s="2" t="s">
        <v>200</v>
      </c>
      <c r="AF297" s="2" t="s">
        <v>100</v>
      </c>
      <c r="AG297" s="2" t="s">
        <v>453</v>
      </c>
      <c r="AH297" s="2" t="s">
        <v>185</v>
      </c>
      <c r="AI297" s="2" t="s">
        <v>1282</v>
      </c>
      <c r="AJ297" s="4"/>
      <c r="AL297" s="4"/>
      <c r="AN297" s="4"/>
      <c r="AP297" s="4"/>
      <c r="AQ297" s="4"/>
      <c r="AS297" s="4">
        <v>1</v>
      </c>
      <c r="AT297" s="4">
        <v>0</v>
      </c>
      <c r="AU297" s="4">
        <v>0</v>
      </c>
      <c r="AV297" s="4">
        <v>2</v>
      </c>
      <c r="AW297" s="4">
        <v>0</v>
      </c>
      <c r="AX297" s="4">
        <v>0</v>
      </c>
      <c r="AZ297" s="2" t="s">
        <v>60</v>
      </c>
    </row>
    <row r="298" spans="2:52" x14ac:dyDescent="0.15">
      <c r="B298" s="2" t="s">
        <v>1085</v>
      </c>
      <c r="C298" s="2" t="s">
        <v>1560</v>
      </c>
      <c r="D298" s="2" t="s">
        <v>35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35</v>
      </c>
      <c r="H298" s="4" t="str">
        <f>VLOOKUP(G298,corpsSet!$B$5:$C$46,2,0)</f>
        <v>刘备</v>
      </c>
      <c r="I298" s="4" t="s">
        <v>213</v>
      </c>
      <c r="J298" s="4" t="str">
        <f>VLOOKUP(I298,citySet!$B$5:$C$46,2,0)</f>
        <v>江陵</v>
      </c>
      <c r="K298" s="2" t="s">
        <v>1524</v>
      </c>
      <c r="L298" s="2" t="s">
        <v>1562</v>
      </c>
      <c r="M298" s="2" t="s">
        <v>1563</v>
      </c>
      <c r="N298" s="4"/>
      <c r="O298" s="2" t="s">
        <v>21</v>
      </c>
      <c r="P298" s="2" t="s">
        <v>21</v>
      </c>
      <c r="Q298" s="4">
        <v>0</v>
      </c>
      <c r="R298" s="2" t="s">
        <v>370</v>
      </c>
      <c r="S298" s="2" t="s">
        <v>326</v>
      </c>
      <c r="T298" s="2" t="s">
        <v>725</v>
      </c>
      <c r="U298" s="2" t="s">
        <v>991</v>
      </c>
      <c r="V298" s="2" t="s">
        <v>481</v>
      </c>
      <c r="W298" s="4">
        <v>1</v>
      </c>
      <c r="X298" s="2" t="s">
        <v>365</v>
      </c>
      <c r="Y298" s="4">
        <v>6</v>
      </c>
      <c r="Z298" s="4" t="s">
        <v>614</v>
      </c>
      <c r="AA298" s="2" t="s">
        <v>185</v>
      </c>
      <c r="AB298" s="2" t="s">
        <v>391</v>
      </c>
      <c r="AC298" s="2" t="s">
        <v>444</v>
      </c>
      <c r="AD298" s="4">
        <v>93</v>
      </c>
      <c r="AE298" s="2" t="s">
        <v>329</v>
      </c>
      <c r="AF298" s="2" t="s">
        <v>235</v>
      </c>
      <c r="AG298" s="2" t="s">
        <v>1561</v>
      </c>
      <c r="AH298" s="2" t="s">
        <v>185</v>
      </c>
      <c r="AI298" s="2" t="s">
        <v>330</v>
      </c>
      <c r="AJ298" s="4"/>
      <c r="AL298" s="4"/>
      <c r="AN298" s="4"/>
      <c r="AP298" s="4"/>
      <c r="AQ298" s="4"/>
      <c r="AS298" s="4">
        <v>3</v>
      </c>
      <c r="AT298" s="4">
        <v>2</v>
      </c>
      <c r="AU298" s="4">
        <v>2</v>
      </c>
      <c r="AV298" s="4">
        <v>2</v>
      </c>
      <c r="AW298" s="4">
        <v>1</v>
      </c>
      <c r="AX298" s="4">
        <v>1</v>
      </c>
      <c r="AZ298" s="2" t="s">
        <v>60</v>
      </c>
    </row>
    <row r="299" spans="2:52" x14ac:dyDescent="0.15">
      <c r="B299" s="2" t="s">
        <v>813</v>
      </c>
      <c r="C299" s="2" t="s">
        <v>1564</v>
      </c>
      <c r="D299" s="2" t="s">
        <v>31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31</v>
      </c>
      <c r="H299" s="4" t="str">
        <f>VLOOKUP(G299,corpsSet!$B$5:$C$46,2,0)</f>
        <v>孙坚</v>
      </c>
      <c r="I299" s="4" t="s">
        <v>204</v>
      </c>
      <c r="J299" s="4" t="str">
        <f>VLOOKUP(I299,citySet!$B$5:$C$46,2,0)</f>
        <v>柴桑</v>
      </c>
      <c r="K299" s="2" t="s">
        <v>1524</v>
      </c>
      <c r="L299" s="2" t="s">
        <v>1566</v>
      </c>
      <c r="M299" s="2" t="s">
        <v>1567</v>
      </c>
      <c r="N299" s="4"/>
      <c r="O299" s="2" t="s">
        <v>521</v>
      </c>
      <c r="P299" s="2" t="s">
        <v>521</v>
      </c>
      <c r="Q299" s="4">
        <v>0</v>
      </c>
      <c r="R299" s="2" t="s">
        <v>370</v>
      </c>
      <c r="S299" s="2" t="s">
        <v>327</v>
      </c>
      <c r="T299" s="2" t="s">
        <v>565</v>
      </c>
      <c r="U299" s="2" t="s">
        <v>609</v>
      </c>
      <c r="V299" s="2" t="s">
        <v>469</v>
      </c>
      <c r="W299" s="4">
        <v>1</v>
      </c>
      <c r="X299" s="2" t="s">
        <v>365</v>
      </c>
      <c r="Y299" s="4">
        <v>0</v>
      </c>
      <c r="Z299" s="4" t="s">
        <v>39</v>
      </c>
      <c r="AA299" s="2" t="s">
        <v>185</v>
      </c>
      <c r="AB299" s="2" t="s">
        <v>837</v>
      </c>
      <c r="AC299" s="2" t="s">
        <v>235</v>
      </c>
      <c r="AD299" s="4">
        <v>78</v>
      </c>
      <c r="AE299" s="2" t="s">
        <v>257</v>
      </c>
      <c r="AF299" s="2" t="s">
        <v>261</v>
      </c>
      <c r="AG299" s="2" t="s">
        <v>1565</v>
      </c>
      <c r="AH299" s="2" t="s">
        <v>185</v>
      </c>
      <c r="AI299" s="2" t="s">
        <v>1085</v>
      </c>
      <c r="AJ299" s="4"/>
      <c r="AL299" s="4"/>
      <c r="AN299" s="4"/>
      <c r="AP299" s="4"/>
      <c r="AQ299" s="4"/>
      <c r="AS299" s="4">
        <v>2</v>
      </c>
      <c r="AT299" s="4">
        <v>3</v>
      </c>
      <c r="AU299" s="4">
        <v>2</v>
      </c>
      <c r="AV299" s="4">
        <v>1</v>
      </c>
      <c r="AW299" s="4">
        <v>1</v>
      </c>
      <c r="AX299" s="4">
        <v>3</v>
      </c>
      <c r="AZ299" s="2" t="s">
        <v>60</v>
      </c>
    </row>
    <row r="300" spans="2:52" x14ac:dyDescent="0.15">
      <c r="B300" s="2" t="s">
        <v>1571</v>
      </c>
      <c r="C300" s="2" t="s">
        <v>1568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31</v>
      </c>
      <c r="J300" s="4" t="str">
        <f>VLOOKUP(I300,citySet!$B$5:$C$46,2,0)</f>
        <v>蓟</v>
      </c>
      <c r="K300" s="2" t="s">
        <v>1524</v>
      </c>
      <c r="L300" s="2" t="s">
        <v>1036</v>
      </c>
      <c r="M300" s="2" t="s">
        <v>1570</v>
      </c>
      <c r="N300" s="4"/>
      <c r="O300" s="2" t="s">
        <v>1569</v>
      </c>
      <c r="P300" s="2" t="s">
        <v>1569</v>
      </c>
      <c r="Q300" s="4">
        <v>0</v>
      </c>
      <c r="R300" s="2" t="s">
        <v>370</v>
      </c>
      <c r="S300" s="2" t="s">
        <v>372</v>
      </c>
      <c r="T300" s="2" t="s">
        <v>579</v>
      </c>
      <c r="U300" s="2" t="s">
        <v>732</v>
      </c>
      <c r="V300" s="2" t="s">
        <v>220</v>
      </c>
      <c r="W300" s="4">
        <v>2</v>
      </c>
      <c r="X300" s="2" t="s">
        <v>2983</v>
      </c>
      <c r="Y300" s="4">
        <v>0</v>
      </c>
      <c r="Z300" s="4" t="s">
        <v>39</v>
      </c>
      <c r="AA300" s="2" t="s">
        <v>60</v>
      </c>
      <c r="AB300" s="2" t="s">
        <v>254</v>
      </c>
      <c r="AC300" s="2" t="s">
        <v>5</v>
      </c>
      <c r="AD300" s="4">
        <v>67</v>
      </c>
      <c r="AE300" s="2" t="s">
        <v>554</v>
      </c>
      <c r="AF300" s="2" t="s">
        <v>88</v>
      </c>
      <c r="AG300" s="2" t="s">
        <v>464</v>
      </c>
      <c r="AH300" s="2" t="s">
        <v>185</v>
      </c>
      <c r="AI300" s="2" t="s">
        <v>813</v>
      </c>
      <c r="AJ300" s="4"/>
      <c r="AL300" s="4"/>
      <c r="AN300" s="4"/>
      <c r="AP300" s="4"/>
      <c r="AQ300" s="4"/>
      <c r="AS300" s="4">
        <v>0</v>
      </c>
      <c r="AT300" s="4">
        <v>0</v>
      </c>
      <c r="AU300" s="4">
        <v>1</v>
      </c>
      <c r="AV300" s="4">
        <v>0</v>
      </c>
      <c r="AW300" s="4">
        <v>0</v>
      </c>
      <c r="AX300" s="4">
        <v>0</v>
      </c>
      <c r="AZ300" s="2" t="s">
        <v>60</v>
      </c>
    </row>
    <row r="301" spans="2:52" x14ac:dyDescent="0.15">
      <c r="B301" s="2" t="s">
        <v>627</v>
      </c>
      <c r="C301" s="2" t="s">
        <v>1572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189</v>
      </c>
      <c r="J301" s="4" t="str">
        <f>VLOOKUP(I301,citySet!$B$5:$C$46,2,0)</f>
        <v>建业</v>
      </c>
      <c r="K301" s="2" t="s">
        <v>1573</v>
      </c>
      <c r="L301" s="2" t="s">
        <v>1574</v>
      </c>
      <c r="N301" s="4"/>
      <c r="O301" s="2" t="s">
        <v>956</v>
      </c>
      <c r="P301" s="2" t="s">
        <v>956</v>
      </c>
      <c r="Q301" s="4">
        <v>0</v>
      </c>
      <c r="R301" s="2" t="s">
        <v>370</v>
      </c>
      <c r="S301" s="2" t="s">
        <v>548</v>
      </c>
      <c r="T301" s="2" t="s">
        <v>887</v>
      </c>
      <c r="U301" s="2" t="s">
        <v>610</v>
      </c>
      <c r="V301" s="2" t="s">
        <v>335</v>
      </c>
      <c r="W301" s="4">
        <v>2</v>
      </c>
      <c r="X301" s="2" t="s">
        <v>2983</v>
      </c>
      <c r="Y301" s="4">
        <v>0</v>
      </c>
      <c r="Z301" s="4" t="s">
        <v>39</v>
      </c>
      <c r="AA301" s="2" t="s">
        <v>60</v>
      </c>
      <c r="AB301" s="2" t="s">
        <v>153</v>
      </c>
      <c r="AC301" s="2" t="s">
        <v>422</v>
      </c>
      <c r="AD301" s="4">
        <v>61</v>
      </c>
      <c r="AE301" s="2" t="s">
        <v>98</v>
      </c>
      <c r="AF301" s="2" t="s">
        <v>257</v>
      </c>
      <c r="AG301" s="2" t="s">
        <v>464</v>
      </c>
      <c r="AH301" s="2" t="s">
        <v>185</v>
      </c>
      <c r="AI301" s="2" t="s">
        <v>1571</v>
      </c>
      <c r="AJ301" s="4"/>
      <c r="AL301" s="4"/>
      <c r="AN301" s="4"/>
      <c r="AP301" s="4"/>
      <c r="AQ301" s="4"/>
      <c r="AS301" s="4">
        <v>1</v>
      </c>
      <c r="AT301" s="4">
        <v>2</v>
      </c>
      <c r="AU301" s="4">
        <v>1</v>
      </c>
      <c r="AV301" s="4">
        <v>0</v>
      </c>
      <c r="AW301" s="4">
        <v>0</v>
      </c>
      <c r="AX301" s="4">
        <v>2</v>
      </c>
      <c r="AZ301" s="2" t="s">
        <v>60</v>
      </c>
    </row>
    <row r="302" spans="2:52" x14ac:dyDescent="0.15">
      <c r="B302" s="2" t="s">
        <v>639</v>
      </c>
      <c r="C302" s="2" t="s">
        <v>1575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105</v>
      </c>
      <c r="J302" s="4" t="str">
        <f>VLOOKUP(I302,citySet!$B$5:$C$46,2,0)</f>
        <v>上庸</v>
      </c>
      <c r="K302" s="2" t="s">
        <v>1577</v>
      </c>
      <c r="L302" s="2" t="s">
        <v>760</v>
      </c>
      <c r="N302" s="4"/>
      <c r="O302" s="2" t="s">
        <v>184</v>
      </c>
      <c r="P302" s="2" t="s">
        <v>184</v>
      </c>
      <c r="Q302" s="4">
        <v>0</v>
      </c>
      <c r="R302" s="2" t="s">
        <v>370</v>
      </c>
      <c r="S302" s="2" t="s">
        <v>490</v>
      </c>
      <c r="T302" s="2" t="s">
        <v>372</v>
      </c>
      <c r="U302" s="2" t="s">
        <v>542</v>
      </c>
      <c r="V302" s="2" t="s">
        <v>226</v>
      </c>
      <c r="W302" s="4">
        <v>2</v>
      </c>
      <c r="X302" s="2" t="s">
        <v>2983</v>
      </c>
      <c r="Y302" s="4">
        <v>0</v>
      </c>
      <c r="Z302" s="4" t="s">
        <v>39</v>
      </c>
      <c r="AA302" s="2" t="s">
        <v>60</v>
      </c>
      <c r="AB302" s="2" t="s">
        <v>254</v>
      </c>
      <c r="AC302" s="2" t="s">
        <v>486</v>
      </c>
      <c r="AD302" s="4">
        <v>59</v>
      </c>
      <c r="AE302" s="2" t="s">
        <v>201</v>
      </c>
      <c r="AF302" s="2" t="s">
        <v>191</v>
      </c>
      <c r="AG302" s="2" t="s">
        <v>1092</v>
      </c>
      <c r="AH302" s="2" t="s">
        <v>185</v>
      </c>
      <c r="AI302" s="2" t="s">
        <v>488</v>
      </c>
      <c r="AJ302" s="4"/>
      <c r="AK302" s="2" t="s">
        <v>1576</v>
      </c>
      <c r="AL302" s="4"/>
      <c r="AN302" s="4"/>
      <c r="AP302" s="4"/>
      <c r="AQ302" s="4"/>
      <c r="AS302" s="4">
        <v>0</v>
      </c>
      <c r="AT302" s="4">
        <v>1</v>
      </c>
      <c r="AU302" s="4">
        <v>1</v>
      </c>
      <c r="AV302" s="4">
        <v>0</v>
      </c>
      <c r="AW302" s="4">
        <v>0</v>
      </c>
      <c r="AX302" s="4">
        <v>0</v>
      </c>
      <c r="AZ302" s="2" t="s">
        <v>60</v>
      </c>
    </row>
    <row r="303" spans="2:52" x14ac:dyDescent="0.15">
      <c r="B303" s="2" t="s">
        <v>1019</v>
      </c>
      <c r="C303" s="2" t="s">
        <v>3305</v>
      </c>
      <c r="D303" s="2" t="s">
        <v>8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8</v>
      </c>
      <c r="H303" s="4" t="str">
        <f>VLOOKUP(G303,corpsSet!$B$5:$C$46,2,0)</f>
        <v>韩馥</v>
      </c>
      <c r="I303" s="4" t="s">
        <v>34</v>
      </c>
      <c r="J303" s="4" t="str">
        <f>VLOOKUP(I303,citySet!$B$5:$C$46,2,0)</f>
        <v>邺</v>
      </c>
      <c r="K303" s="2" t="s">
        <v>1580</v>
      </c>
      <c r="L303" s="2" t="s">
        <v>1581</v>
      </c>
      <c r="N303" s="4"/>
      <c r="O303" s="2" t="s">
        <v>1578</v>
      </c>
      <c r="P303" s="2" t="s">
        <v>1578</v>
      </c>
      <c r="Q303" s="4">
        <v>1</v>
      </c>
      <c r="R303" s="2" t="s">
        <v>577</v>
      </c>
      <c r="S303" s="2" t="s">
        <v>90</v>
      </c>
      <c r="T303" s="2" t="s">
        <v>564</v>
      </c>
      <c r="U303" s="2" t="s">
        <v>645</v>
      </c>
      <c r="V303" s="2" t="s">
        <v>208</v>
      </c>
      <c r="W303" s="4">
        <v>1</v>
      </c>
      <c r="X303" s="2" t="s">
        <v>365</v>
      </c>
      <c r="Y303" s="4">
        <v>0</v>
      </c>
      <c r="Z303" s="4" t="s">
        <v>39</v>
      </c>
      <c r="AA303" s="2" t="s">
        <v>413</v>
      </c>
      <c r="AB303" s="2" t="s">
        <v>98</v>
      </c>
      <c r="AC303" s="2" t="s">
        <v>25</v>
      </c>
      <c r="AD303" s="4">
        <v>84</v>
      </c>
      <c r="AE303" s="2" t="s">
        <v>434</v>
      </c>
      <c r="AF303" s="2" t="s">
        <v>481</v>
      </c>
      <c r="AG303" s="2" t="s">
        <v>625</v>
      </c>
      <c r="AH303" s="2" t="s">
        <v>185</v>
      </c>
      <c r="AI303" s="2" t="s">
        <v>68</v>
      </c>
      <c r="AJ303" s="4">
        <v>35</v>
      </c>
      <c r="AK303" s="2" t="s">
        <v>1579</v>
      </c>
      <c r="AL303" s="4"/>
      <c r="AN303" s="4"/>
      <c r="AP303" s="4"/>
      <c r="AQ303" s="4"/>
      <c r="AS303" s="4">
        <v>0</v>
      </c>
      <c r="AT303" s="4">
        <v>0</v>
      </c>
      <c r="AU303" s="4">
        <v>1</v>
      </c>
      <c r="AV303" s="4">
        <v>0</v>
      </c>
      <c r="AW303" s="4">
        <v>2</v>
      </c>
      <c r="AX303" s="4">
        <v>1</v>
      </c>
      <c r="AZ303" s="2" t="s">
        <v>60</v>
      </c>
    </row>
    <row r="304" spans="2:52" x14ac:dyDescent="0.15">
      <c r="B304" s="2" t="s">
        <v>158</v>
      </c>
      <c r="C304" s="2" t="s">
        <v>1582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189</v>
      </c>
      <c r="J304" s="4" t="str">
        <f>VLOOKUP(I304,citySet!$B$5:$C$46,2,0)</f>
        <v>建业</v>
      </c>
      <c r="K304" s="2" t="s">
        <v>1583</v>
      </c>
      <c r="L304" s="2" t="s">
        <v>1584</v>
      </c>
      <c r="N304" s="4"/>
      <c r="O304" s="2" t="s">
        <v>325</v>
      </c>
      <c r="P304" s="2" t="s">
        <v>325</v>
      </c>
      <c r="Q304" s="4">
        <v>0</v>
      </c>
      <c r="R304" s="2" t="s">
        <v>370</v>
      </c>
      <c r="S304" s="2" t="s">
        <v>548</v>
      </c>
      <c r="T304" s="2" t="s">
        <v>427</v>
      </c>
      <c r="U304" s="2" t="s">
        <v>610</v>
      </c>
      <c r="V304" s="2" t="s">
        <v>221</v>
      </c>
      <c r="W304" s="4">
        <v>2</v>
      </c>
      <c r="X304" s="2" t="s">
        <v>2983</v>
      </c>
      <c r="Y304" s="4">
        <v>0</v>
      </c>
      <c r="Z304" s="4" t="s">
        <v>39</v>
      </c>
      <c r="AA304" s="2" t="s">
        <v>60</v>
      </c>
      <c r="AB304" s="2" t="s">
        <v>27</v>
      </c>
      <c r="AC304" s="2" t="s">
        <v>27</v>
      </c>
      <c r="AD304" s="4">
        <v>33</v>
      </c>
      <c r="AE304" s="2" t="s">
        <v>41</v>
      </c>
      <c r="AF304" s="2" t="s">
        <v>37</v>
      </c>
      <c r="AG304" s="2" t="s">
        <v>14</v>
      </c>
      <c r="AH304" s="2" t="s">
        <v>185</v>
      </c>
      <c r="AI304" s="2" t="s">
        <v>1019</v>
      </c>
      <c r="AJ304" s="4"/>
      <c r="AL304" s="4"/>
      <c r="AN304" s="4"/>
      <c r="AP304" s="4"/>
      <c r="AQ304" s="4"/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Z304" s="2" t="s">
        <v>60</v>
      </c>
    </row>
    <row r="305" spans="2:52" x14ac:dyDescent="0.15">
      <c r="B305" s="2" t="s">
        <v>416</v>
      </c>
      <c r="C305" s="2" t="s">
        <v>1585</v>
      </c>
      <c r="D305" s="2" t="s">
        <v>27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27</v>
      </c>
      <c r="H305" s="4" t="str">
        <f>VLOOKUP(G305,corpsSet!$B$5:$C$46,2,0)</f>
        <v>曹操</v>
      </c>
      <c r="I305" s="4" t="s">
        <v>17</v>
      </c>
      <c r="J305" s="4" t="str">
        <f>VLOOKUP(I305,citySet!$B$5:$C$46,2,0)</f>
        <v>许昌</v>
      </c>
      <c r="K305" s="2" t="s">
        <v>1588</v>
      </c>
      <c r="L305" s="2" t="s">
        <v>1326</v>
      </c>
      <c r="N305" s="4"/>
      <c r="O305" s="2" t="s">
        <v>1587</v>
      </c>
      <c r="P305" s="2" t="s">
        <v>1587</v>
      </c>
      <c r="Q305" s="4">
        <v>1</v>
      </c>
      <c r="R305" s="2" t="s">
        <v>577</v>
      </c>
      <c r="S305" s="2" t="s">
        <v>950</v>
      </c>
      <c r="T305" s="2" t="s">
        <v>981</v>
      </c>
      <c r="U305" s="2" t="s">
        <v>437</v>
      </c>
      <c r="V305" s="2" t="s">
        <v>196</v>
      </c>
      <c r="W305" s="4">
        <v>1</v>
      </c>
      <c r="X305" s="2" t="s">
        <v>365</v>
      </c>
      <c r="Y305" s="4">
        <v>0</v>
      </c>
      <c r="Z305" s="4" t="s">
        <v>39</v>
      </c>
      <c r="AA305" s="2" t="s">
        <v>185</v>
      </c>
      <c r="AB305" s="2" t="s">
        <v>8</v>
      </c>
      <c r="AC305" s="2" t="s">
        <v>37</v>
      </c>
      <c r="AD305" s="4">
        <v>71</v>
      </c>
      <c r="AE305" s="2" t="s">
        <v>404</v>
      </c>
      <c r="AF305" s="2" t="s">
        <v>175</v>
      </c>
      <c r="AG305" s="2" t="s">
        <v>487</v>
      </c>
      <c r="AH305" s="2" t="s">
        <v>185</v>
      </c>
      <c r="AI305" s="2" t="s">
        <v>158</v>
      </c>
      <c r="AJ305" s="4"/>
      <c r="AL305" s="4"/>
      <c r="AN305" s="4" t="s">
        <v>1437</v>
      </c>
      <c r="AO305" s="2" t="s">
        <v>1672</v>
      </c>
      <c r="AP305" s="4"/>
      <c r="AQ305" s="4"/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1</v>
      </c>
      <c r="AZ305" s="2" t="s">
        <v>60</v>
      </c>
    </row>
    <row r="306" spans="2:52" x14ac:dyDescent="0.15">
      <c r="B306" s="2" t="s">
        <v>488</v>
      </c>
      <c r="C306" s="2" t="s">
        <v>1589</v>
      </c>
      <c r="D306" s="2" t="s">
        <v>8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8</v>
      </c>
      <c r="H306" s="4" t="str">
        <f>VLOOKUP(G306,corpsSet!$B$5:$C$46,2,0)</f>
        <v>韩馥</v>
      </c>
      <c r="I306" s="4" t="s">
        <v>34</v>
      </c>
      <c r="J306" s="4" t="str">
        <f>VLOOKUP(I306,citySet!$B$5:$C$46,2,0)</f>
        <v>邺</v>
      </c>
      <c r="K306" s="2" t="s">
        <v>1580</v>
      </c>
      <c r="L306" s="2" t="s">
        <v>1590</v>
      </c>
      <c r="M306" s="2" t="s">
        <v>1591</v>
      </c>
      <c r="N306" s="4"/>
      <c r="O306" s="2" t="s">
        <v>1384</v>
      </c>
      <c r="P306" s="2" t="s">
        <v>1384</v>
      </c>
      <c r="Q306" s="4">
        <v>0</v>
      </c>
      <c r="R306" s="2" t="s">
        <v>370</v>
      </c>
      <c r="S306" s="2" t="s">
        <v>633</v>
      </c>
      <c r="T306" s="2" t="s">
        <v>685</v>
      </c>
      <c r="U306" s="2" t="s">
        <v>658</v>
      </c>
      <c r="V306" s="2" t="s">
        <v>208</v>
      </c>
      <c r="W306" s="4">
        <v>1</v>
      </c>
      <c r="X306" s="2" t="s">
        <v>365</v>
      </c>
      <c r="Y306" s="4">
        <v>0</v>
      </c>
      <c r="Z306" s="4" t="s">
        <v>39</v>
      </c>
      <c r="AA306" s="2" t="s">
        <v>413</v>
      </c>
      <c r="AB306" s="2" t="s">
        <v>4</v>
      </c>
      <c r="AC306" s="2" t="s">
        <v>200</v>
      </c>
      <c r="AD306" s="4">
        <v>42</v>
      </c>
      <c r="AE306" s="2" t="s">
        <v>321</v>
      </c>
      <c r="AF306" s="2" t="s">
        <v>445</v>
      </c>
      <c r="AG306" s="2" t="s">
        <v>548</v>
      </c>
      <c r="AH306" s="2" t="s">
        <v>185</v>
      </c>
      <c r="AI306" s="2" t="s">
        <v>68</v>
      </c>
      <c r="AJ306" s="4">
        <v>35</v>
      </c>
      <c r="AK306" s="2" t="s">
        <v>1579</v>
      </c>
      <c r="AL306" s="4"/>
      <c r="AN306" s="4"/>
      <c r="AP306" s="4"/>
      <c r="AQ306" s="4"/>
      <c r="AS306" s="4">
        <v>0</v>
      </c>
      <c r="AT306" s="4">
        <v>0</v>
      </c>
      <c r="AU306" s="4">
        <v>1</v>
      </c>
      <c r="AV306" s="4">
        <v>0</v>
      </c>
      <c r="AW306" s="4">
        <v>0</v>
      </c>
      <c r="AX306" s="4">
        <v>0</v>
      </c>
      <c r="AZ306" s="2" t="s">
        <v>60</v>
      </c>
    </row>
    <row r="307" spans="2:52" x14ac:dyDescent="0.15">
      <c r="B307" s="2" t="s">
        <v>392</v>
      </c>
      <c r="C307" s="2" t="s">
        <v>1592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105</v>
      </c>
      <c r="J307" s="4" t="str">
        <f>VLOOKUP(I307,citySet!$B$5:$C$46,2,0)</f>
        <v>上庸</v>
      </c>
      <c r="K307" s="2" t="s">
        <v>1577</v>
      </c>
      <c r="L307" s="2" t="s">
        <v>1594</v>
      </c>
      <c r="M307" s="2" t="s">
        <v>1595</v>
      </c>
      <c r="N307" s="4"/>
      <c r="O307" s="2" t="s">
        <v>831</v>
      </c>
      <c r="P307" s="2" t="s">
        <v>831</v>
      </c>
      <c r="Q307" s="4">
        <v>0</v>
      </c>
      <c r="R307" s="2" t="s">
        <v>370</v>
      </c>
      <c r="S307" s="2" t="s">
        <v>505</v>
      </c>
      <c r="T307" s="2" t="s">
        <v>438</v>
      </c>
      <c r="U307" s="2" t="s">
        <v>621</v>
      </c>
      <c r="V307" s="2" t="s">
        <v>226</v>
      </c>
      <c r="W307" s="4">
        <v>2</v>
      </c>
      <c r="X307" s="2" t="s">
        <v>2983</v>
      </c>
      <c r="Y307" s="4">
        <v>0</v>
      </c>
      <c r="Z307" s="4" t="s">
        <v>39</v>
      </c>
      <c r="AA307" s="2" t="s">
        <v>60</v>
      </c>
      <c r="AB307" s="2" t="s">
        <v>201</v>
      </c>
      <c r="AC307" s="2" t="s">
        <v>423</v>
      </c>
      <c r="AD307" s="4">
        <v>52</v>
      </c>
      <c r="AE307" s="2" t="s">
        <v>237</v>
      </c>
      <c r="AF307" s="2" t="s">
        <v>191</v>
      </c>
      <c r="AG307" s="2" t="s">
        <v>447</v>
      </c>
      <c r="AH307" s="2" t="s">
        <v>185</v>
      </c>
      <c r="AI307" s="2" t="s">
        <v>488</v>
      </c>
      <c r="AJ307" s="4"/>
      <c r="AK307" s="2" t="s">
        <v>1576</v>
      </c>
      <c r="AL307" s="4"/>
      <c r="AN307" s="4"/>
      <c r="AP307" s="4"/>
      <c r="AQ307" s="4"/>
      <c r="AS307" s="4">
        <v>1</v>
      </c>
      <c r="AT307" s="4">
        <v>0</v>
      </c>
      <c r="AU307" s="4">
        <v>1</v>
      </c>
      <c r="AV307" s="4">
        <v>0</v>
      </c>
      <c r="AW307" s="4">
        <v>0</v>
      </c>
      <c r="AX307" s="4">
        <v>0</v>
      </c>
      <c r="AZ307" s="2" t="s">
        <v>60</v>
      </c>
    </row>
    <row r="308" spans="2:52" x14ac:dyDescent="0.15">
      <c r="B308" s="2" t="s">
        <v>68</v>
      </c>
      <c r="C308" s="2" t="s">
        <v>1596</v>
      </c>
      <c r="D308" s="2" t="s">
        <v>30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30</v>
      </c>
      <c r="H308" s="4" t="str">
        <f>VLOOKUP(G308,corpsSet!$B$5:$C$46,2,0)</f>
        <v>袁绍</v>
      </c>
      <c r="I308" s="4" t="s">
        <v>37</v>
      </c>
      <c r="J308" s="4" t="str">
        <f>VLOOKUP(I308,citySet!$B$5:$C$46,2,0)</f>
        <v>南皮</v>
      </c>
      <c r="K308" s="2" t="s">
        <v>1597</v>
      </c>
      <c r="L308" s="2" t="s">
        <v>1598</v>
      </c>
      <c r="M308" s="2" t="s">
        <v>1599</v>
      </c>
      <c r="N308" s="4"/>
      <c r="O308" s="2" t="s">
        <v>195</v>
      </c>
      <c r="P308" s="2" t="s">
        <v>195</v>
      </c>
      <c r="Q308" s="4">
        <v>0</v>
      </c>
      <c r="R308" s="2" t="s">
        <v>370</v>
      </c>
      <c r="S308" s="2" t="s">
        <v>435</v>
      </c>
      <c r="T308" s="2" t="s">
        <v>824</v>
      </c>
      <c r="U308" s="2" t="s">
        <v>380</v>
      </c>
      <c r="V308" s="2" t="s">
        <v>390</v>
      </c>
      <c r="W308" s="4">
        <v>1</v>
      </c>
      <c r="X308" s="2" t="s">
        <v>365</v>
      </c>
      <c r="Y308" s="4">
        <v>2</v>
      </c>
      <c r="Z308" s="4" t="s">
        <v>443</v>
      </c>
      <c r="AA308" s="2" t="s">
        <v>134</v>
      </c>
      <c r="AB308" s="2" t="s">
        <v>391</v>
      </c>
      <c r="AC308" s="2" t="s">
        <v>93</v>
      </c>
      <c r="AD308" s="4">
        <v>83</v>
      </c>
      <c r="AE308" s="2" t="s">
        <v>261</v>
      </c>
      <c r="AF308" s="2" t="s">
        <v>153</v>
      </c>
      <c r="AG308" s="2" t="s">
        <v>899</v>
      </c>
      <c r="AH308" s="2" t="s">
        <v>185</v>
      </c>
      <c r="AI308" s="2" t="s">
        <v>392</v>
      </c>
      <c r="AJ308" s="4"/>
      <c r="AL308" s="4"/>
      <c r="AN308" s="4"/>
      <c r="AP308" s="4"/>
      <c r="AQ308" s="4"/>
      <c r="AS308" s="4">
        <v>1</v>
      </c>
      <c r="AT308" s="4">
        <v>2</v>
      </c>
      <c r="AU308" s="4">
        <v>2</v>
      </c>
      <c r="AV308" s="4">
        <v>1</v>
      </c>
      <c r="AW308" s="4">
        <v>2</v>
      </c>
      <c r="AX308" s="4">
        <v>0</v>
      </c>
      <c r="AZ308" s="2" t="s">
        <v>60</v>
      </c>
    </row>
    <row r="309" spans="2:52" x14ac:dyDescent="0.15">
      <c r="B309" s="2" t="s">
        <v>625</v>
      </c>
      <c r="C309" s="2" t="s">
        <v>1579</v>
      </c>
      <c r="D309" s="2" t="s">
        <v>8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8</v>
      </c>
      <c r="H309" s="4" t="str">
        <f>VLOOKUP(G309,corpsSet!$B$5:$C$46,2,0)</f>
        <v>韩馥</v>
      </c>
      <c r="I309" s="4" t="s">
        <v>34</v>
      </c>
      <c r="J309" s="4" t="str">
        <f>VLOOKUP(I309,citySet!$B$5:$C$46,2,0)</f>
        <v>邺</v>
      </c>
      <c r="K309" s="2" t="s">
        <v>1580</v>
      </c>
      <c r="L309" s="2" t="s">
        <v>1601</v>
      </c>
      <c r="M309" s="2" t="s">
        <v>1602</v>
      </c>
      <c r="N309" s="4"/>
      <c r="O309" s="2" t="s">
        <v>707</v>
      </c>
      <c r="P309" s="2" t="s">
        <v>707</v>
      </c>
      <c r="Q309" s="4">
        <v>0</v>
      </c>
      <c r="R309" s="2" t="s">
        <v>370</v>
      </c>
      <c r="S309" s="2" t="s">
        <v>393</v>
      </c>
      <c r="T309" s="2" t="s">
        <v>579</v>
      </c>
      <c r="U309" s="2" t="s">
        <v>977</v>
      </c>
      <c r="V309" s="2" t="s">
        <v>208</v>
      </c>
      <c r="W309" s="4">
        <v>1</v>
      </c>
      <c r="X309" s="2" t="s">
        <v>365</v>
      </c>
      <c r="Y309" s="4">
        <v>6</v>
      </c>
      <c r="Z309" s="4" t="s">
        <v>614</v>
      </c>
      <c r="AA309" s="2" t="s">
        <v>195</v>
      </c>
      <c r="AB309" s="2" t="s">
        <v>21</v>
      </c>
      <c r="AC309" s="2" t="s">
        <v>193</v>
      </c>
      <c r="AD309" s="4">
        <v>78</v>
      </c>
      <c r="AE309" s="2" t="s">
        <v>88</v>
      </c>
      <c r="AF309" s="2" t="s">
        <v>374</v>
      </c>
      <c r="AG309" s="2" t="s">
        <v>1282</v>
      </c>
      <c r="AH309" s="2" t="s">
        <v>185</v>
      </c>
      <c r="AI309" s="2" t="s">
        <v>68</v>
      </c>
      <c r="AJ309" s="4"/>
      <c r="AK309" s="2" t="s">
        <v>1600</v>
      </c>
      <c r="AL309" s="4"/>
      <c r="AN309" s="4"/>
      <c r="AP309" s="4"/>
      <c r="AQ309" s="4"/>
      <c r="AS309" s="4">
        <v>0</v>
      </c>
      <c r="AT309" s="4">
        <v>0</v>
      </c>
      <c r="AU309" s="4">
        <v>1</v>
      </c>
      <c r="AV309" s="4">
        <v>0</v>
      </c>
      <c r="AW309" s="4">
        <v>0</v>
      </c>
      <c r="AX309" s="4">
        <v>0</v>
      </c>
      <c r="AZ309" s="2" t="s">
        <v>60</v>
      </c>
    </row>
    <row r="310" spans="2:52" x14ac:dyDescent="0.15">
      <c r="B310" s="2" t="s">
        <v>640</v>
      </c>
      <c r="C310" s="2" t="s">
        <v>287</v>
      </c>
      <c r="D310" s="2" t="s">
        <v>8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8</v>
      </c>
      <c r="H310" s="4" t="str">
        <f>VLOOKUP(G310,corpsSet!$B$5:$C$46,2,0)</f>
        <v>韩馥</v>
      </c>
      <c r="I310" s="4" t="s">
        <v>34</v>
      </c>
      <c r="J310" s="4" t="str">
        <f>VLOOKUP(I310,citySet!$B$5:$C$46,2,0)</f>
        <v>邺</v>
      </c>
      <c r="K310" s="2" t="s">
        <v>1580</v>
      </c>
      <c r="L310" s="2" t="s">
        <v>1604</v>
      </c>
      <c r="M310" s="2" t="s">
        <v>1605</v>
      </c>
      <c r="N310" s="4"/>
      <c r="O310" s="2" t="s">
        <v>545</v>
      </c>
      <c r="P310" s="2" t="s">
        <v>545</v>
      </c>
      <c r="Q310" s="4">
        <v>0</v>
      </c>
      <c r="R310" s="2" t="s">
        <v>370</v>
      </c>
      <c r="S310" s="2" t="s">
        <v>435</v>
      </c>
      <c r="T310" s="2" t="s">
        <v>499</v>
      </c>
      <c r="U310" s="2" t="s">
        <v>380</v>
      </c>
      <c r="V310" s="2" t="s">
        <v>256</v>
      </c>
      <c r="W310" s="4">
        <v>1</v>
      </c>
      <c r="X310" s="2" t="s">
        <v>365</v>
      </c>
      <c r="Y310" s="4">
        <v>3</v>
      </c>
      <c r="Z310" s="4" t="s">
        <v>696</v>
      </c>
      <c r="AA310" s="2" t="s">
        <v>228</v>
      </c>
      <c r="AB310" s="2" t="s">
        <v>454</v>
      </c>
      <c r="AC310" s="2" t="s">
        <v>99</v>
      </c>
      <c r="AD310" s="4">
        <v>76</v>
      </c>
      <c r="AE310" s="2" t="s">
        <v>481</v>
      </c>
      <c r="AF310" s="2" t="s">
        <v>321</v>
      </c>
      <c r="AG310" s="2" t="s">
        <v>601</v>
      </c>
      <c r="AH310" s="2" t="s">
        <v>185</v>
      </c>
      <c r="AI310" s="2" t="s">
        <v>68</v>
      </c>
      <c r="AJ310" s="4"/>
      <c r="AK310" s="2" t="s">
        <v>1600</v>
      </c>
      <c r="AL310" s="4"/>
      <c r="AN310" s="4"/>
      <c r="AP310" s="4"/>
      <c r="AQ310" s="4"/>
      <c r="AS310" s="4">
        <v>2</v>
      </c>
      <c r="AT310" s="4">
        <v>0</v>
      </c>
      <c r="AU310" s="4">
        <v>1</v>
      </c>
      <c r="AV310" s="4">
        <v>0</v>
      </c>
      <c r="AW310" s="4">
        <v>1</v>
      </c>
      <c r="AX310" s="4">
        <v>0</v>
      </c>
      <c r="AZ310" s="2" t="s">
        <v>60</v>
      </c>
    </row>
    <row r="311" spans="2:52" x14ac:dyDescent="0.15">
      <c r="B311" s="2" t="s">
        <v>568</v>
      </c>
      <c r="C311" s="2" t="s">
        <v>1606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126</v>
      </c>
      <c r="J311" s="4" t="str">
        <f>VLOOKUP(I311,citySet!$B$5:$C$46,2,0)</f>
        <v>成都</v>
      </c>
      <c r="K311" s="2" t="s">
        <v>1607</v>
      </c>
      <c r="L311" s="2" t="s">
        <v>1608</v>
      </c>
      <c r="M311" s="2" t="s">
        <v>1609</v>
      </c>
      <c r="N311" s="4"/>
      <c r="O311" s="2" t="s">
        <v>1210</v>
      </c>
      <c r="P311" s="2" t="s">
        <v>1210</v>
      </c>
      <c r="Q311" s="4">
        <v>0</v>
      </c>
      <c r="R311" s="2" t="s">
        <v>370</v>
      </c>
      <c r="S311" s="2" t="s">
        <v>585</v>
      </c>
      <c r="T311" s="2" t="s">
        <v>933</v>
      </c>
      <c r="U311" s="2" t="s">
        <v>395</v>
      </c>
      <c r="V311" s="2" t="s">
        <v>404</v>
      </c>
      <c r="W311" s="4">
        <v>2</v>
      </c>
      <c r="X311" s="2" t="s">
        <v>2983</v>
      </c>
      <c r="Y311" s="4">
        <v>0</v>
      </c>
      <c r="Z311" s="4" t="s">
        <v>39</v>
      </c>
      <c r="AA311" s="2" t="s">
        <v>60</v>
      </c>
      <c r="AB311" s="2" t="s">
        <v>18</v>
      </c>
      <c r="AC311" s="2" t="s">
        <v>34</v>
      </c>
      <c r="AD311" s="4">
        <v>72</v>
      </c>
      <c r="AE311" s="2" t="s">
        <v>431</v>
      </c>
      <c r="AF311" s="2" t="s">
        <v>434</v>
      </c>
      <c r="AG311" s="2" t="s">
        <v>732</v>
      </c>
      <c r="AH311" s="2" t="s">
        <v>185</v>
      </c>
      <c r="AI311" s="2" t="s">
        <v>640</v>
      </c>
      <c r="AJ311" s="4"/>
      <c r="AL311" s="4"/>
      <c r="AN311" s="4"/>
      <c r="AP311" s="4"/>
      <c r="AQ311" s="4"/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Z311" s="2" t="s">
        <v>60</v>
      </c>
    </row>
    <row r="312" spans="2:52" x14ac:dyDescent="0.15">
      <c r="B312" s="2" t="s">
        <v>678</v>
      </c>
      <c r="C312" s="2" t="s">
        <v>1610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36</v>
      </c>
      <c r="J312" s="4" t="str">
        <f>VLOOKUP(I312,citySet!$B$5:$C$46,2,0)</f>
        <v>晋阳</v>
      </c>
      <c r="K312" s="2" t="s">
        <v>1607</v>
      </c>
      <c r="L312" s="2" t="s">
        <v>721</v>
      </c>
      <c r="M312" s="2" t="s">
        <v>1611</v>
      </c>
      <c r="N312" s="4"/>
      <c r="O312" s="2" t="s">
        <v>611</v>
      </c>
      <c r="P312" s="2" t="s">
        <v>611</v>
      </c>
      <c r="Q312" s="4">
        <v>0</v>
      </c>
      <c r="R312" s="2" t="s">
        <v>370</v>
      </c>
      <c r="S312" s="2" t="s">
        <v>417</v>
      </c>
      <c r="T312" s="2" t="s">
        <v>585</v>
      </c>
      <c r="U312" s="2" t="s">
        <v>609</v>
      </c>
      <c r="V312" s="2" t="s">
        <v>196</v>
      </c>
      <c r="W312" s="4">
        <v>2</v>
      </c>
      <c r="X312" s="2" t="s">
        <v>2983</v>
      </c>
      <c r="Y312" s="4">
        <v>0</v>
      </c>
      <c r="Z312" s="4" t="s">
        <v>39</v>
      </c>
      <c r="AA312" s="2" t="s">
        <v>60</v>
      </c>
      <c r="AB312" s="2" t="s">
        <v>485</v>
      </c>
      <c r="AC312" s="2" t="s">
        <v>153</v>
      </c>
      <c r="AD312" s="4">
        <v>35</v>
      </c>
      <c r="AE312" s="2" t="s">
        <v>8</v>
      </c>
      <c r="AF312" s="2" t="s">
        <v>98</v>
      </c>
      <c r="AG312" s="2" t="s">
        <v>456</v>
      </c>
      <c r="AH312" s="2" t="s">
        <v>185</v>
      </c>
      <c r="AI312" s="2" t="s">
        <v>568</v>
      </c>
      <c r="AJ312" s="4"/>
      <c r="AL312" s="4"/>
      <c r="AN312" s="4"/>
      <c r="AP312" s="4"/>
      <c r="AQ312" s="4"/>
      <c r="AS312" s="4">
        <v>1</v>
      </c>
      <c r="AT312" s="4">
        <v>0</v>
      </c>
      <c r="AU312" s="4">
        <v>0</v>
      </c>
      <c r="AV312" s="4">
        <v>1</v>
      </c>
      <c r="AW312" s="4">
        <v>0</v>
      </c>
      <c r="AX312" s="4">
        <v>0</v>
      </c>
      <c r="AZ312" s="2" t="s">
        <v>60</v>
      </c>
    </row>
    <row r="313" spans="2:52" x14ac:dyDescent="0.15">
      <c r="B313" s="2" t="s">
        <v>503</v>
      </c>
      <c r="C313" s="2" t="s">
        <v>1612</v>
      </c>
      <c r="D313" s="2" t="s">
        <v>30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30</v>
      </c>
      <c r="H313" s="4" t="str">
        <f>VLOOKUP(G313,corpsSet!$B$5:$C$46,2,0)</f>
        <v>袁绍</v>
      </c>
      <c r="I313" s="4" t="s">
        <v>37</v>
      </c>
      <c r="J313" s="4" t="str">
        <f>VLOOKUP(I313,citySet!$B$5:$C$46,2,0)</f>
        <v>南皮</v>
      </c>
      <c r="K313" s="2" t="s">
        <v>1614</v>
      </c>
      <c r="L313" s="2" t="s">
        <v>1615</v>
      </c>
      <c r="N313" s="4"/>
      <c r="O313" s="2" t="s">
        <v>1613</v>
      </c>
      <c r="P313" s="2" t="s">
        <v>1613</v>
      </c>
      <c r="Q313" s="4">
        <v>0</v>
      </c>
      <c r="R313" s="2" t="s">
        <v>370</v>
      </c>
      <c r="S313" s="2" t="s">
        <v>435</v>
      </c>
      <c r="T313" s="2" t="s">
        <v>524</v>
      </c>
      <c r="U313" s="2" t="s">
        <v>950</v>
      </c>
      <c r="V313" s="2" t="s">
        <v>228</v>
      </c>
      <c r="W313" s="4">
        <v>1</v>
      </c>
      <c r="X313" s="2" t="s">
        <v>365</v>
      </c>
      <c r="Y313" s="4">
        <v>0</v>
      </c>
      <c r="Z313" s="4" t="s">
        <v>39</v>
      </c>
      <c r="AA313" s="2" t="s">
        <v>403</v>
      </c>
      <c r="AB313" s="2" t="s">
        <v>14</v>
      </c>
      <c r="AC313" s="2" t="s">
        <v>321</v>
      </c>
      <c r="AD313" s="4">
        <v>45</v>
      </c>
      <c r="AE313" s="2" t="s">
        <v>5</v>
      </c>
      <c r="AF313" s="2" t="s">
        <v>233</v>
      </c>
      <c r="AG313" s="2" t="s">
        <v>786</v>
      </c>
      <c r="AH313" s="2" t="s">
        <v>185</v>
      </c>
      <c r="AI313" s="2" t="s">
        <v>678</v>
      </c>
      <c r="AJ313" s="4"/>
      <c r="AL313" s="4"/>
      <c r="AN313" s="4"/>
      <c r="AP313" s="4"/>
      <c r="AQ313" s="4"/>
      <c r="AS313" s="4">
        <v>0</v>
      </c>
      <c r="AT313" s="4">
        <v>1</v>
      </c>
      <c r="AU313" s="4">
        <v>1</v>
      </c>
      <c r="AV313" s="4">
        <v>0</v>
      </c>
      <c r="AW313" s="4">
        <v>1</v>
      </c>
      <c r="AX313" s="4">
        <v>0</v>
      </c>
      <c r="AZ313" s="2" t="s">
        <v>60</v>
      </c>
    </row>
    <row r="314" spans="2:52" x14ac:dyDescent="0.15">
      <c r="B314" s="2" t="s">
        <v>771</v>
      </c>
      <c r="C314" s="2" t="s">
        <v>1616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36</v>
      </c>
      <c r="J314" s="4" t="str">
        <f>VLOOKUP(I314,citySet!$B$5:$C$46,2,0)</f>
        <v>晋阳</v>
      </c>
      <c r="K314" s="2" t="s">
        <v>1614</v>
      </c>
      <c r="L314" s="2" t="s">
        <v>1618</v>
      </c>
      <c r="M314" s="2" t="s">
        <v>1619</v>
      </c>
      <c r="N314" s="4"/>
      <c r="O314" s="2" t="s">
        <v>1617</v>
      </c>
      <c r="P314" s="2" t="s">
        <v>1617</v>
      </c>
      <c r="Q314" s="4">
        <v>0</v>
      </c>
      <c r="R314" s="2" t="s">
        <v>370</v>
      </c>
      <c r="S314" s="2" t="s">
        <v>435</v>
      </c>
      <c r="T314" s="2" t="s">
        <v>634</v>
      </c>
      <c r="U314" s="2" t="s">
        <v>479</v>
      </c>
      <c r="V314" s="2" t="s">
        <v>30</v>
      </c>
      <c r="W314" s="4">
        <v>1</v>
      </c>
      <c r="X314" s="2" t="s">
        <v>365</v>
      </c>
      <c r="Y314" s="4">
        <v>1</v>
      </c>
      <c r="Z314" s="4" t="s">
        <v>1243</v>
      </c>
      <c r="AA314" s="2" t="s">
        <v>403</v>
      </c>
      <c r="AB314" s="2" t="s">
        <v>382</v>
      </c>
      <c r="AC314" s="2" t="s">
        <v>515</v>
      </c>
      <c r="AD314" s="4">
        <v>38</v>
      </c>
      <c r="AE314" s="2" t="s">
        <v>34</v>
      </c>
      <c r="AF314" s="2" t="s">
        <v>95</v>
      </c>
      <c r="AG314" s="2" t="s">
        <v>689</v>
      </c>
      <c r="AH314" s="2" t="s">
        <v>185</v>
      </c>
      <c r="AI314" s="2" t="s">
        <v>503</v>
      </c>
      <c r="AJ314" s="4"/>
      <c r="AL314" s="4"/>
      <c r="AN314" s="4"/>
      <c r="AP314" s="4"/>
      <c r="AQ314" s="4"/>
      <c r="AS314" s="4">
        <v>2</v>
      </c>
      <c r="AT314" s="4">
        <v>0</v>
      </c>
      <c r="AU314" s="4">
        <v>1</v>
      </c>
      <c r="AV314" s="4">
        <v>0</v>
      </c>
      <c r="AW314" s="4">
        <v>0</v>
      </c>
      <c r="AX314" s="4">
        <v>0</v>
      </c>
      <c r="AZ314" s="2" t="s">
        <v>60</v>
      </c>
    </row>
    <row r="315" spans="2:52" x14ac:dyDescent="0.15">
      <c r="B315" s="2" t="s">
        <v>800</v>
      </c>
      <c r="C315" s="2" t="s">
        <v>1620</v>
      </c>
      <c r="D315" s="2" t="s">
        <v>196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196</v>
      </c>
      <c r="H315" s="4" t="str">
        <f>VLOOKUP(G315,corpsSet!$B$5:$C$46,2,0)</f>
        <v>张绣</v>
      </c>
      <c r="I315" s="4" t="s">
        <v>103</v>
      </c>
      <c r="J315" s="4" t="str">
        <f>VLOOKUP(I315,citySet!$B$5:$C$46,2,0)</f>
        <v>宛</v>
      </c>
      <c r="K315" s="2" t="s">
        <v>1622</v>
      </c>
      <c r="L315" s="2" t="s">
        <v>1326</v>
      </c>
      <c r="N315" s="4"/>
      <c r="O315" s="2" t="s">
        <v>1621</v>
      </c>
      <c r="P315" s="2" t="s">
        <v>1621</v>
      </c>
      <c r="Q315" s="4">
        <v>1</v>
      </c>
      <c r="R315" s="2" t="s">
        <v>577</v>
      </c>
      <c r="S315" s="2" t="s">
        <v>435</v>
      </c>
      <c r="T315" s="2" t="s">
        <v>499</v>
      </c>
      <c r="U315" s="2" t="s">
        <v>425</v>
      </c>
      <c r="V315" s="2" t="s">
        <v>616</v>
      </c>
      <c r="W315" s="4">
        <v>1</v>
      </c>
      <c r="X315" s="2" t="s">
        <v>365</v>
      </c>
      <c r="Y315" s="4">
        <v>0</v>
      </c>
      <c r="Z315" s="4" t="s">
        <v>39</v>
      </c>
      <c r="AA315" s="2" t="s">
        <v>134</v>
      </c>
      <c r="AB315" s="2" t="s">
        <v>37</v>
      </c>
      <c r="AC315" s="2" t="s">
        <v>36</v>
      </c>
      <c r="AD315" s="4">
        <v>36</v>
      </c>
      <c r="AE315" s="2" t="s">
        <v>98</v>
      </c>
      <c r="AF315" s="2" t="s">
        <v>78</v>
      </c>
      <c r="AG315" s="2" t="s">
        <v>565</v>
      </c>
      <c r="AH315" s="2" t="s">
        <v>185</v>
      </c>
      <c r="AI315" s="2" t="s">
        <v>771</v>
      </c>
      <c r="AJ315" s="4"/>
      <c r="AL315" s="4"/>
      <c r="AN315" s="4" t="s">
        <v>1790</v>
      </c>
      <c r="AO315" s="2" t="s">
        <v>1927</v>
      </c>
      <c r="AP315" s="4"/>
      <c r="AQ315" s="4"/>
      <c r="AS315" s="4">
        <v>0</v>
      </c>
      <c r="AT315" s="4">
        <v>0</v>
      </c>
      <c r="AU315" s="4">
        <v>0</v>
      </c>
      <c r="AV315" s="4">
        <v>1</v>
      </c>
      <c r="AW315" s="4">
        <v>0</v>
      </c>
      <c r="AX315" s="4">
        <v>0</v>
      </c>
      <c r="AZ315" s="2" t="s">
        <v>60</v>
      </c>
    </row>
    <row r="316" spans="2:52" x14ac:dyDescent="0.15">
      <c r="B316" s="2" t="s">
        <v>832</v>
      </c>
      <c r="C316" s="2" t="s">
        <v>1623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31</v>
      </c>
      <c r="J316" s="4" t="str">
        <f>VLOOKUP(I316,citySet!$B$5:$C$46,2,0)</f>
        <v>蓟</v>
      </c>
      <c r="K316" s="2" t="s">
        <v>1622</v>
      </c>
      <c r="L316" s="2" t="s">
        <v>974</v>
      </c>
      <c r="N316" s="4"/>
      <c r="O316" s="2" t="s">
        <v>1625</v>
      </c>
      <c r="P316" s="2" t="s">
        <v>1625</v>
      </c>
      <c r="Q316" s="4">
        <v>0</v>
      </c>
      <c r="R316" s="2" t="s">
        <v>370</v>
      </c>
      <c r="S316" s="2" t="s">
        <v>435</v>
      </c>
      <c r="T316" s="2" t="s">
        <v>888</v>
      </c>
      <c r="U316" s="2" t="s">
        <v>467</v>
      </c>
      <c r="V316" s="2" t="s">
        <v>515</v>
      </c>
      <c r="W316" s="4">
        <v>2</v>
      </c>
      <c r="X316" s="2" t="s">
        <v>2983</v>
      </c>
      <c r="Y316" s="4">
        <v>0</v>
      </c>
      <c r="Z316" s="4" t="s">
        <v>39</v>
      </c>
      <c r="AA316" s="2" t="s">
        <v>60</v>
      </c>
      <c r="AB316" s="2" t="s">
        <v>153</v>
      </c>
      <c r="AC316" s="2" t="s">
        <v>444</v>
      </c>
      <c r="AD316" s="4">
        <v>66</v>
      </c>
      <c r="AE316" s="2" t="s">
        <v>486</v>
      </c>
      <c r="AF316" s="2" t="s">
        <v>445</v>
      </c>
      <c r="AG316" s="2" t="s">
        <v>781</v>
      </c>
      <c r="AH316" s="2" t="s">
        <v>185</v>
      </c>
      <c r="AI316" s="2" t="s">
        <v>800</v>
      </c>
      <c r="AJ316" s="4"/>
      <c r="AL316" s="4"/>
      <c r="AN316" s="4"/>
      <c r="AP316" s="4"/>
      <c r="AQ316" s="4"/>
      <c r="AS316" s="4">
        <v>2</v>
      </c>
      <c r="AT316" s="4">
        <v>0</v>
      </c>
      <c r="AU316" s="4">
        <v>1</v>
      </c>
      <c r="AV316" s="4">
        <v>1</v>
      </c>
      <c r="AW316" s="4">
        <v>0</v>
      </c>
      <c r="AX316" s="4">
        <v>0</v>
      </c>
      <c r="AZ316" s="2" t="s">
        <v>60</v>
      </c>
    </row>
    <row r="317" spans="2:52" x14ac:dyDescent="0.15">
      <c r="B317" s="2" t="s">
        <v>850</v>
      </c>
      <c r="C317" s="2" t="s">
        <v>1626</v>
      </c>
      <c r="D317" s="2" t="s">
        <v>20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20</v>
      </c>
      <c r="H317" s="4" t="str">
        <f>VLOOKUP(G317,corpsSet!$B$5:$C$46,2,0)</f>
        <v>公孙瓒</v>
      </c>
      <c r="I317" s="4" t="s">
        <v>35</v>
      </c>
      <c r="J317" s="4" t="str">
        <f>VLOOKUP(I317,citySet!$B$5:$C$46,2,0)</f>
        <v>北平</v>
      </c>
      <c r="K317" s="2" t="s">
        <v>1622</v>
      </c>
      <c r="L317" s="2" t="s">
        <v>1628</v>
      </c>
      <c r="N317" s="4"/>
      <c r="O317" s="2" t="s">
        <v>1627</v>
      </c>
      <c r="P317" s="2" t="s">
        <v>1627</v>
      </c>
      <c r="Q317" s="4">
        <v>0</v>
      </c>
      <c r="R317" s="2" t="s">
        <v>370</v>
      </c>
      <c r="S317" s="2" t="s">
        <v>435</v>
      </c>
      <c r="T317" s="2" t="s">
        <v>616</v>
      </c>
      <c r="U317" s="2" t="s">
        <v>83</v>
      </c>
      <c r="V317" s="2" t="s">
        <v>257</v>
      </c>
      <c r="W317" s="4">
        <v>1</v>
      </c>
      <c r="X317" s="2" t="s">
        <v>365</v>
      </c>
      <c r="Y317" s="4">
        <v>0</v>
      </c>
      <c r="Z317" s="4" t="s">
        <v>39</v>
      </c>
      <c r="AA317" s="2" t="s">
        <v>228</v>
      </c>
      <c r="AB317" s="2" t="s">
        <v>269</v>
      </c>
      <c r="AC317" s="2" t="s">
        <v>444</v>
      </c>
      <c r="AD317" s="4">
        <v>34</v>
      </c>
      <c r="AE317" s="2" t="s">
        <v>226</v>
      </c>
      <c r="AF317" s="2" t="s">
        <v>21</v>
      </c>
      <c r="AG317" s="2" t="s">
        <v>887</v>
      </c>
      <c r="AH317" s="2" t="s">
        <v>185</v>
      </c>
      <c r="AI317" s="2" t="s">
        <v>832</v>
      </c>
      <c r="AJ317" s="4"/>
      <c r="AL317" s="4"/>
      <c r="AN317" s="4"/>
      <c r="AP317" s="4"/>
      <c r="AQ317" s="4"/>
      <c r="AS317" s="4">
        <v>0</v>
      </c>
      <c r="AT317" s="4">
        <v>0</v>
      </c>
      <c r="AU317" s="4">
        <v>0</v>
      </c>
      <c r="AV317" s="4">
        <v>2</v>
      </c>
      <c r="AW317" s="4">
        <v>0</v>
      </c>
      <c r="AX317" s="4">
        <v>0</v>
      </c>
      <c r="AZ317" s="2" t="s">
        <v>60</v>
      </c>
    </row>
    <row r="318" spans="2:52" x14ac:dyDescent="0.15">
      <c r="B318" s="2" t="s">
        <v>868</v>
      </c>
      <c r="C318" s="2" t="s">
        <v>89</v>
      </c>
      <c r="D318" s="2" t="s">
        <v>107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107</v>
      </c>
      <c r="H318" s="4" t="str">
        <f>VLOOKUP(G318,corpsSet!$B$5:$C$46,2,0)</f>
        <v>韩遂</v>
      </c>
      <c r="I318" s="4" t="s">
        <v>107</v>
      </c>
      <c r="J318" s="4" t="str">
        <f>VLOOKUP(I318,citySet!$B$5:$C$46,2,0)</f>
        <v>天水</v>
      </c>
      <c r="K318" s="2" t="s">
        <v>1190</v>
      </c>
      <c r="L318" s="2" t="s">
        <v>1629</v>
      </c>
      <c r="N318" s="4"/>
      <c r="O318" s="2" t="s">
        <v>271</v>
      </c>
      <c r="P318" s="2" t="s">
        <v>271</v>
      </c>
      <c r="Q318" s="4">
        <v>0</v>
      </c>
      <c r="R318" s="2" t="s">
        <v>370</v>
      </c>
      <c r="S318" s="2" t="s">
        <v>435</v>
      </c>
      <c r="T318" s="2" t="s">
        <v>518</v>
      </c>
      <c r="U318" s="2" t="s">
        <v>417</v>
      </c>
      <c r="V318" s="2" t="s">
        <v>454</v>
      </c>
      <c r="W318" s="4">
        <v>1</v>
      </c>
      <c r="X318" s="2" t="s">
        <v>365</v>
      </c>
      <c r="Y318" s="4">
        <v>4</v>
      </c>
      <c r="Z318" s="4" t="s">
        <v>1091</v>
      </c>
      <c r="AA318" s="2" t="s">
        <v>403</v>
      </c>
      <c r="AB318" s="2" t="s">
        <v>367</v>
      </c>
      <c r="AC318" s="2" t="s">
        <v>374</v>
      </c>
      <c r="AD318" s="4">
        <v>41</v>
      </c>
      <c r="AE318" s="2" t="s">
        <v>414</v>
      </c>
      <c r="AF318" s="2" t="s">
        <v>201</v>
      </c>
      <c r="AG318" s="2" t="s">
        <v>457</v>
      </c>
      <c r="AH318" s="2" t="s">
        <v>185</v>
      </c>
      <c r="AI318" s="2" t="s">
        <v>850</v>
      </c>
      <c r="AJ318" s="4"/>
      <c r="AL318" s="4"/>
      <c r="AN318" s="4"/>
      <c r="AP318" s="4"/>
      <c r="AQ318" s="4"/>
      <c r="AS318" s="4">
        <v>1</v>
      </c>
      <c r="AT318" s="4">
        <v>0</v>
      </c>
      <c r="AU318" s="4">
        <v>0</v>
      </c>
      <c r="AV318" s="4">
        <v>2</v>
      </c>
      <c r="AW318" s="4">
        <v>1</v>
      </c>
      <c r="AX318" s="4">
        <v>0</v>
      </c>
      <c r="AZ318" s="2" t="s">
        <v>60</v>
      </c>
    </row>
    <row r="319" spans="2:52" x14ac:dyDescent="0.15">
      <c r="B319" s="2" t="s">
        <v>464</v>
      </c>
      <c r="C319" s="2" t="s">
        <v>92</v>
      </c>
      <c r="D319" s="2" t="s">
        <v>107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107</v>
      </c>
      <c r="H319" s="4" t="str">
        <f>VLOOKUP(G319,corpsSet!$B$5:$C$46,2,0)</f>
        <v>韩遂</v>
      </c>
      <c r="I319" s="4" t="s">
        <v>107</v>
      </c>
      <c r="J319" s="4" t="str">
        <f>VLOOKUP(I319,citySet!$B$5:$C$46,2,0)</f>
        <v>天水</v>
      </c>
      <c r="K319" s="2" t="s">
        <v>1190</v>
      </c>
      <c r="L319" s="2" t="s">
        <v>1630</v>
      </c>
      <c r="N319" s="4"/>
      <c r="O319" s="2" t="s">
        <v>1164</v>
      </c>
      <c r="P319" s="2" t="s">
        <v>1164</v>
      </c>
      <c r="Q319" s="4">
        <v>0</v>
      </c>
      <c r="R319" s="2" t="s">
        <v>370</v>
      </c>
      <c r="S319" s="2" t="s">
        <v>393</v>
      </c>
      <c r="T319" s="2" t="s">
        <v>712</v>
      </c>
      <c r="U319" s="2" t="s">
        <v>456</v>
      </c>
      <c r="V319" s="2" t="s">
        <v>15</v>
      </c>
      <c r="W319" s="4">
        <v>1</v>
      </c>
      <c r="X319" s="2" t="s">
        <v>365</v>
      </c>
      <c r="Y319" s="4">
        <v>8</v>
      </c>
      <c r="Z319" s="4" t="s">
        <v>3079</v>
      </c>
      <c r="AA319" s="2" t="s">
        <v>185</v>
      </c>
      <c r="AB319" s="2" t="s">
        <v>261</v>
      </c>
      <c r="AC319" s="2" t="s">
        <v>515</v>
      </c>
      <c r="AD319" s="4">
        <v>80</v>
      </c>
      <c r="AE319" s="2" t="s">
        <v>423</v>
      </c>
      <c r="AF319" s="2" t="s">
        <v>321</v>
      </c>
      <c r="AG319" s="2" t="s">
        <v>1416</v>
      </c>
      <c r="AH319" s="2" t="s">
        <v>185</v>
      </c>
      <c r="AI319" s="2" t="s">
        <v>868</v>
      </c>
      <c r="AJ319" s="4"/>
      <c r="AL319" s="4"/>
      <c r="AN319" s="4"/>
      <c r="AP319" s="4"/>
      <c r="AQ319" s="4"/>
      <c r="AS319" s="4">
        <v>0</v>
      </c>
      <c r="AT319" s="4">
        <v>1</v>
      </c>
      <c r="AU319" s="4">
        <v>1</v>
      </c>
      <c r="AV319" s="4">
        <v>2</v>
      </c>
      <c r="AW319" s="4">
        <v>2</v>
      </c>
      <c r="AX319" s="4">
        <v>0</v>
      </c>
      <c r="AZ319" s="2" t="s">
        <v>60</v>
      </c>
    </row>
    <row r="320" spans="2:52" x14ac:dyDescent="0.15">
      <c r="B320" s="2" t="s">
        <v>726</v>
      </c>
      <c r="C320" s="2" t="s">
        <v>1631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213</v>
      </c>
      <c r="J320" s="4" t="str">
        <f>VLOOKUP(I320,citySet!$B$5:$C$46,2,0)</f>
        <v>江陵</v>
      </c>
      <c r="K320" s="2" t="s">
        <v>1566</v>
      </c>
      <c r="L320" s="2" t="s">
        <v>1633</v>
      </c>
      <c r="N320" s="4"/>
      <c r="O320" s="2" t="s">
        <v>339</v>
      </c>
      <c r="P320" s="2" t="s">
        <v>339</v>
      </c>
      <c r="Q320" s="4">
        <v>0</v>
      </c>
      <c r="R320" s="2" t="s">
        <v>370</v>
      </c>
      <c r="S320" s="2" t="s">
        <v>717</v>
      </c>
      <c r="T320" s="2" t="s">
        <v>373</v>
      </c>
      <c r="U320" s="2" t="s">
        <v>1092</v>
      </c>
      <c r="V320" s="2" t="s">
        <v>335</v>
      </c>
      <c r="W320" s="4">
        <v>2</v>
      </c>
      <c r="X320" s="2" t="s">
        <v>2983</v>
      </c>
      <c r="Y320" s="4">
        <v>0</v>
      </c>
      <c r="Z320" s="4" t="s">
        <v>39</v>
      </c>
      <c r="AA320" s="2" t="s">
        <v>60</v>
      </c>
      <c r="AB320" s="2" t="s">
        <v>269</v>
      </c>
      <c r="AC320" s="2" t="s">
        <v>321</v>
      </c>
      <c r="AD320" s="4">
        <v>66</v>
      </c>
      <c r="AE320" s="2" t="s">
        <v>4</v>
      </c>
      <c r="AF320" s="2" t="s">
        <v>432</v>
      </c>
      <c r="AG320" s="2" t="s">
        <v>488</v>
      </c>
      <c r="AH320" s="2" t="s">
        <v>185</v>
      </c>
      <c r="AI320" s="2" t="s">
        <v>464</v>
      </c>
      <c r="AJ320" s="4"/>
      <c r="AL320" s="4"/>
      <c r="AN320" s="4"/>
      <c r="AP320" s="4"/>
      <c r="AQ320" s="4"/>
      <c r="AS320" s="4">
        <v>0</v>
      </c>
      <c r="AT320" s="4">
        <v>1</v>
      </c>
      <c r="AU320" s="4">
        <v>2</v>
      </c>
      <c r="AV320" s="4">
        <v>0</v>
      </c>
      <c r="AW320" s="4">
        <v>1</v>
      </c>
      <c r="AX320" s="4">
        <v>2</v>
      </c>
      <c r="AZ320" s="2" t="s">
        <v>60</v>
      </c>
    </row>
    <row r="321" spans="2:52" x14ac:dyDescent="0.15">
      <c r="B321" s="2" t="s">
        <v>738</v>
      </c>
      <c r="C321" s="2" t="s">
        <v>1634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37</v>
      </c>
      <c r="J321" s="4" t="str">
        <f>VLOOKUP(I321,citySet!$B$5:$C$46,2,0)</f>
        <v>南皮</v>
      </c>
      <c r="K321" s="2" t="s">
        <v>1636</v>
      </c>
      <c r="L321" s="2" t="s">
        <v>1637</v>
      </c>
      <c r="M321" s="2" t="s">
        <v>1638</v>
      </c>
      <c r="N321" s="4"/>
      <c r="O321" s="2" t="s">
        <v>1635</v>
      </c>
      <c r="P321" s="2" t="s">
        <v>1635</v>
      </c>
      <c r="Q321" s="4">
        <v>0</v>
      </c>
      <c r="R321" s="2" t="s">
        <v>370</v>
      </c>
      <c r="S321" s="2" t="s">
        <v>762</v>
      </c>
      <c r="T321" s="2" t="s">
        <v>675</v>
      </c>
      <c r="U321" s="2" t="s">
        <v>658</v>
      </c>
      <c r="V321" s="2" t="s">
        <v>5</v>
      </c>
      <c r="W321" s="4">
        <v>2</v>
      </c>
      <c r="X321" s="2" t="s">
        <v>2983</v>
      </c>
      <c r="Y321" s="4">
        <v>0</v>
      </c>
      <c r="Z321" s="4" t="s">
        <v>39</v>
      </c>
      <c r="AA321" s="2" t="s">
        <v>60</v>
      </c>
      <c r="AB321" s="2" t="s">
        <v>454</v>
      </c>
      <c r="AC321" s="2" t="s">
        <v>515</v>
      </c>
      <c r="AD321" s="4">
        <v>56</v>
      </c>
      <c r="AE321" s="2" t="s">
        <v>19</v>
      </c>
      <c r="AF321" s="2" t="s">
        <v>93</v>
      </c>
      <c r="AG321" s="2" t="s">
        <v>503</v>
      </c>
      <c r="AH321" s="2" t="s">
        <v>185</v>
      </c>
      <c r="AI321" s="2" t="s">
        <v>726</v>
      </c>
      <c r="AJ321" s="4"/>
      <c r="AL321" s="4"/>
      <c r="AN321" s="4"/>
      <c r="AP321" s="4"/>
      <c r="AQ321" s="4"/>
      <c r="AS321" s="4">
        <v>2</v>
      </c>
      <c r="AT321" s="4">
        <v>1</v>
      </c>
      <c r="AU321" s="4">
        <v>1</v>
      </c>
      <c r="AV321" s="4">
        <v>1</v>
      </c>
      <c r="AW321" s="4">
        <v>1</v>
      </c>
      <c r="AX321" s="4">
        <v>0</v>
      </c>
      <c r="AZ321" s="2" t="s">
        <v>60</v>
      </c>
    </row>
    <row r="322" spans="2:52" x14ac:dyDescent="0.15">
      <c r="B322" s="2" t="s">
        <v>274</v>
      </c>
      <c r="C322" s="2" t="s">
        <v>1639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32</v>
      </c>
      <c r="J322" s="4" t="str">
        <f>VLOOKUP(I322,citySet!$B$5:$C$46,2,0)</f>
        <v>小沛</v>
      </c>
      <c r="K322" s="2" t="s">
        <v>1642</v>
      </c>
      <c r="L322" s="2" t="s">
        <v>1574</v>
      </c>
      <c r="M322" s="2" t="s">
        <v>1643</v>
      </c>
      <c r="N322" s="4"/>
      <c r="O322" s="2" t="s">
        <v>1640</v>
      </c>
      <c r="P322" s="2" t="s">
        <v>1640</v>
      </c>
      <c r="Q322" s="4">
        <v>0</v>
      </c>
      <c r="R322" s="2" t="s">
        <v>370</v>
      </c>
      <c r="S322" s="2" t="s">
        <v>626</v>
      </c>
      <c r="T322" s="2" t="s">
        <v>489</v>
      </c>
      <c r="U322" s="2" t="s">
        <v>650</v>
      </c>
      <c r="V322" s="2" t="s">
        <v>684</v>
      </c>
      <c r="W322" s="4">
        <v>2</v>
      </c>
      <c r="X322" s="2" t="s">
        <v>2983</v>
      </c>
      <c r="Y322" s="4">
        <v>0</v>
      </c>
      <c r="Z322" s="4" t="s">
        <v>39</v>
      </c>
      <c r="AA322" s="2" t="s">
        <v>60</v>
      </c>
      <c r="AB322" s="2" t="s">
        <v>233</v>
      </c>
      <c r="AC322" s="2" t="s">
        <v>104</v>
      </c>
      <c r="AD322" s="4">
        <v>64</v>
      </c>
      <c r="AE322" s="2" t="s">
        <v>367</v>
      </c>
      <c r="AF322" s="2" t="s">
        <v>423</v>
      </c>
      <c r="AG322" s="2" t="s">
        <v>917</v>
      </c>
      <c r="AH322" s="2" t="s">
        <v>185</v>
      </c>
      <c r="AI322" s="2" t="s">
        <v>903</v>
      </c>
      <c r="AJ322" s="4">
        <v>32</v>
      </c>
      <c r="AK322" s="2" t="s">
        <v>1641</v>
      </c>
      <c r="AL322" s="4"/>
      <c r="AN322" s="4"/>
      <c r="AP322" s="4"/>
      <c r="AQ322" s="4"/>
      <c r="AS322" s="4">
        <v>0</v>
      </c>
      <c r="AT322" s="4">
        <v>0</v>
      </c>
      <c r="AU322" s="4">
        <v>1</v>
      </c>
      <c r="AV322" s="4">
        <v>0</v>
      </c>
      <c r="AW322" s="4">
        <v>1</v>
      </c>
      <c r="AX322" s="4">
        <v>1</v>
      </c>
      <c r="AZ322" s="2" t="s">
        <v>60</v>
      </c>
    </row>
    <row r="323" spans="2:52" x14ac:dyDescent="0.15">
      <c r="B323" s="2" t="s">
        <v>903</v>
      </c>
      <c r="C323" s="2" t="s">
        <v>1644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32</v>
      </c>
      <c r="J323" s="4" t="str">
        <f>VLOOKUP(I323,citySet!$B$5:$C$46,2,0)</f>
        <v>小沛</v>
      </c>
      <c r="K323" s="2" t="s">
        <v>1642</v>
      </c>
      <c r="L323" s="2" t="s">
        <v>1646</v>
      </c>
      <c r="N323" s="4"/>
      <c r="O323" s="2" t="s">
        <v>1645</v>
      </c>
      <c r="P323" s="2" t="s">
        <v>1645</v>
      </c>
      <c r="Q323" s="4">
        <v>0</v>
      </c>
      <c r="R323" s="2" t="s">
        <v>370</v>
      </c>
      <c r="S323" s="2" t="s">
        <v>887</v>
      </c>
      <c r="T323" s="2" t="s">
        <v>437</v>
      </c>
      <c r="U323" s="2" t="s">
        <v>1014</v>
      </c>
      <c r="V323" s="2" t="s">
        <v>608</v>
      </c>
      <c r="W323" s="4">
        <v>2</v>
      </c>
      <c r="X323" s="2" t="s">
        <v>2983</v>
      </c>
      <c r="Y323" s="4">
        <v>0</v>
      </c>
      <c r="Z323" s="4" t="s">
        <v>39</v>
      </c>
      <c r="AA323" s="2" t="s">
        <v>60</v>
      </c>
      <c r="AB323" s="2" t="s">
        <v>103</v>
      </c>
      <c r="AC323" s="2" t="s">
        <v>8</v>
      </c>
      <c r="AD323" s="4">
        <v>68</v>
      </c>
      <c r="AE323" s="2" t="s">
        <v>374</v>
      </c>
      <c r="AF323" s="2" t="s">
        <v>233</v>
      </c>
      <c r="AG323" s="2" t="s">
        <v>437</v>
      </c>
      <c r="AH323" s="2" t="s">
        <v>185</v>
      </c>
      <c r="AI323" s="2" t="s">
        <v>903</v>
      </c>
      <c r="AJ323" s="4">
        <v>32</v>
      </c>
      <c r="AK323" s="2" t="s">
        <v>1641</v>
      </c>
      <c r="AL323" s="4"/>
      <c r="AN323" s="4"/>
      <c r="AP323" s="4"/>
      <c r="AQ323" s="4"/>
      <c r="AS323" s="4">
        <v>0</v>
      </c>
      <c r="AT323" s="4">
        <v>0</v>
      </c>
      <c r="AU323" s="4">
        <v>0</v>
      </c>
      <c r="AV323" s="4">
        <v>0</v>
      </c>
      <c r="AW323" s="4">
        <v>1</v>
      </c>
      <c r="AX323" s="4">
        <v>1</v>
      </c>
      <c r="AZ323" s="2" t="s">
        <v>60</v>
      </c>
    </row>
    <row r="324" spans="2:52" x14ac:dyDescent="0.15">
      <c r="B324" s="2" t="s">
        <v>814</v>
      </c>
      <c r="C324" s="2" t="s">
        <v>1641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32</v>
      </c>
      <c r="J324" s="4" t="str">
        <f>VLOOKUP(I324,citySet!$B$5:$C$46,2,0)</f>
        <v>小沛</v>
      </c>
      <c r="K324" s="2" t="s">
        <v>1642</v>
      </c>
      <c r="L324" s="2" t="s">
        <v>1647</v>
      </c>
      <c r="M324" s="2" t="s">
        <v>1648</v>
      </c>
      <c r="N324" s="4"/>
      <c r="O324" s="2" t="s">
        <v>1011</v>
      </c>
      <c r="P324" s="2" t="s">
        <v>1011</v>
      </c>
      <c r="Q324" s="4">
        <v>0</v>
      </c>
      <c r="R324" s="2" t="s">
        <v>370</v>
      </c>
      <c r="S324" s="2" t="s">
        <v>326</v>
      </c>
      <c r="T324" s="2" t="s">
        <v>544</v>
      </c>
      <c r="U324" s="2" t="s">
        <v>198</v>
      </c>
      <c r="V324" s="2" t="s">
        <v>608</v>
      </c>
      <c r="W324" s="4">
        <v>2</v>
      </c>
      <c r="X324" s="2" t="s">
        <v>2983</v>
      </c>
      <c r="Y324" s="4">
        <v>0</v>
      </c>
      <c r="Z324" s="4" t="s">
        <v>39</v>
      </c>
      <c r="AA324" s="2" t="s">
        <v>60</v>
      </c>
      <c r="AB324" s="2" t="s">
        <v>219</v>
      </c>
      <c r="AC324" s="2" t="s">
        <v>18</v>
      </c>
      <c r="AD324" s="4">
        <v>72</v>
      </c>
      <c r="AE324" s="2" t="s">
        <v>329</v>
      </c>
      <c r="AF324" s="2" t="s">
        <v>382</v>
      </c>
      <c r="AG324" s="2" t="s">
        <v>854</v>
      </c>
      <c r="AH324" s="2" t="s">
        <v>185</v>
      </c>
      <c r="AI324" s="2" t="s">
        <v>903</v>
      </c>
      <c r="AJ324" s="4"/>
      <c r="AL324" s="4"/>
      <c r="AN324" s="4"/>
      <c r="AP324" s="4"/>
      <c r="AQ324" s="4"/>
      <c r="AS324" s="4">
        <v>0</v>
      </c>
      <c r="AT324" s="4">
        <v>0</v>
      </c>
      <c r="AU324" s="4">
        <v>0</v>
      </c>
      <c r="AV324" s="4">
        <v>0</v>
      </c>
      <c r="AW324" s="4">
        <v>1</v>
      </c>
      <c r="AX324" s="4">
        <v>1</v>
      </c>
      <c r="AZ324" s="2" t="s">
        <v>60</v>
      </c>
    </row>
    <row r="325" spans="2:52" x14ac:dyDescent="0.15">
      <c r="B325" s="2" t="s">
        <v>1067</v>
      </c>
      <c r="C325" s="2" t="s">
        <v>3098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193</v>
      </c>
      <c r="J325" s="4" t="str">
        <f>VLOOKUP(I325,citySet!$B$5:$C$46,2,0)</f>
        <v>吴</v>
      </c>
      <c r="K325" s="2" t="s">
        <v>1651</v>
      </c>
      <c r="L325" s="2" t="s">
        <v>1103</v>
      </c>
      <c r="N325" s="4"/>
      <c r="O325" s="2" t="s">
        <v>1649</v>
      </c>
      <c r="P325" s="2" t="s">
        <v>1649</v>
      </c>
      <c r="Q325" s="4">
        <v>0</v>
      </c>
      <c r="R325" s="2" t="s">
        <v>370</v>
      </c>
      <c r="S325" s="2" t="s">
        <v>717</v>
      </c>
      <c r="T325" s="2" t="s">
        <v>424</v>
      </c>
      <c r="U325" s="2" t="s">
        <v>1046</v>
      </c>
      <c r="V325" s="2" t="s">
        <v>80</v>
      </c>
      <c r="W325" s="4">
        <v>2</v>
      </c>
      <c r="X325" s="2" t="s">
        <v>2983</v>
      </c>
      <c r="Y325" s="4">
        <v>0</v>
      </c>
      <c r="Z325" s="4" t="s">
        <v>39</v>
      </c>
      <c r="AA325" s="2" t="s">
        <v>60</v>
      </c>
      <c r="AB325" s="2" t="s">
        <v>269</v>
      </c>
      <c r="AC325" s="2" t="s">
        <v>321</v>
      </c>
      <c r="AD325" s="4">
        <v>44</v>
      </c>
      <c r="AE325" s="2" t="s">
        <v>5</v>
      </c>
      <c r="AF325" s="2" t="s">
        <v>201</v>
      </c>
      <c r="AG325" s="2" t="s">
        <v>590</v>
      </c>
      <c r="AH325" s="2" t="s">
        <v>185</v>
      </c>
      <c r="AI325" s="2" t="s">
        <v>1158</v>
      </c>
      <c r="AJ325" s="4" t="s">
        <v>944</v>
      </c>
      <c r="AK325" s="2" t="s">
        <v>1650</v>
      </c>
      <c r="AL325" s="4"/>
      <c r="AN325" s="4"/>
      <c r="AP325" s="4"/>
      <c r="AQ325" s="4"/>
      <c r="AS325" s="4">
        <v>1</v>
      </c>
      <c r="AT325" s="4">
        <v>0</v>
      </c>
      <c r="AU325" s="4">
        <v>1</v>
      </c>
      <c r="AV325" s="4">
        <v>0</v>
      </c>
      <c r="AW325" s="4">
        <v>0</v>
      </c>
      <c r="AX325" s="4">
        <v>2</v>
      </c>
      <c r="AZ325" s="2" t="s">
        <v>60</v>
      </c>
    </row>
    <row r="326" spans="2:52" x14ac:dyDescent="0.15">
      <c r="B326" s="2" t="s">
        <v>240</v>
      </c>
      <c r="C326" s="2" t="s">
        <v>1652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193</v>
      </c>
      <c r="J326" s="4" t="str">
        <f>VLOOKUP(I326,citySet!$B$5:$C$46,2,0)</f>
        <v>吴</v>
      </c>
      <c r="K326" s="2" t="s">
        <v>1651</v>
      </c>
      <c r="L326" s="2" t="s">
        <v>1655</v>
      </c>
      <c r="N326" s="4"/>
      <c r="O326" s="2" t="s">
        <v>1653</v>
      </c>
      <c r="P326" s="2" t="s">
        <v>1653</v>
      </c>
      <c r="Q326" s="4">
        <v>0</v>
      </c>
      <c r="R326" s="2" t="s">
        <v>370</v>
      </c>
      <c r="S326" s="2" t="s">
        <v>395</v>
      </c>
      <c r="T326" s="2" t="s">
        <v>689</v>
      </c>
      <c r="U326" s="2" t="s">
        <v>854</v>
      </c>
      <c r="V326" s="2" t="s">
        <v>80</v>
      </c>
      <c r="W326" s="4">
        <v>2</v>
      </c>
      <c r="X326" s="2" t="s">
        <v>2983</v>
      </c>
      <c r="Y326" s="4">
        <v>0</v>
      </c>
      <c r="Z326" s="4" t="s">
        <v>39</v>
      </c>
      <c r="AA326" s="2" t="s">
        <v>60</v>
      </c>
      <c r="AB326" s="2" t="s">
        <v>93</v>
      </c>
      <c r="AC326" s="2" t="s">
        <v>382</v>
      </c>
      <c r="AD326" s="4">
        <v>38</v>
      </c>
      <c r="AE326" s="2" t="s">
        <v>99</v>
      </c>
      <c r="AF326" s="2" t="s">
        <v>19</v>
      </c>
      <c r="AG326" s="2" t="s">
        <v>815</v>
      </c>
      <c r="AH326" s="2" t="s">
        <v>185</v>
      </c>
      <c r="AI326" s="2" t="s">
        <v>1158</v>
      </c>
      <c r="AJ326" s="4" t="s">
        <v>781</v>
      </c>
      <c r="AK326" s="2" t="s">
        <v>1654</v>
      </c>
      <c r="AL326" s="4"/>
      <c r="AN326" s="4"/>
      <c r="AP326" s="4"/>
      <c r="AQ326" s="4"/>
      <c r="AS326" s="4">
        <v>0</v>
      </c>
      <c r="AT326" s="4">
        <v>1</v>
      </c>
      <c r="AU326" s="4">
        <v>1</v>
      </c>
      <c r="AV326" s="4">
        <v>0</v>
      </c>
      <c r="AW326" s="4">
        <v>0</v>
      </c>
      <c r="AX326" s="4">
        <v>2</v>
      </c>
      <c r="AZ326" s="2" t="s">
        <v>60</v>
      </c>
    </row>
    <row r="327" spans="2:52" x14ac:dyDescent="0.15">
      <c r="B327" s="2" t="s">
        <v>1133</v>
      </c>
      <c r="C327" s="2" t="s">
        <v>1656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193</v>
      </c>
      <c r="J327" s="4" t="str">
        <f>VLOOKUP(I327,citySet!$B$5:$C$46,2,0)</f>
        <v>吴</v>
      </c>
      <c r="K327" s="2" t="s">
        <v>1651</v>
      </c>
      <c r="L327" s="2" t="s">
        <v>1099</v>
      </c>
      <c r="N327" s="4"/>
      <c r="O327" s="2" t="s">
        <v>375</v>
      </c>
      <c r="P327" s="2" t="s">
        <v>375</v>
      </c>
      <c r="Q327" s="4">
        <v>0</v>
      </c>
      <c r="R327" s="2" t="s">
        <v>370</v>
      </c>
      <c r="S327" s="2" t="s">
        <v>453</v>
      </c>
      <c r="T327" s="2" t="s">
        <v>556</v>
      </c>
      <c r="U327" s="2" t="s">
        <v>447</v>
      </c>
      <c r="V327" s="2" t="s">
        <v>608</v>
      </c>
      <c r="W327" s="4">
        <v>2</v>
      </c>
      <c r="X327" s="2" t="s">
        <v>2983</v>
      </c>
      <c r="Y327" s="4">
        <v>0</v>
      </c>
      <c r="Z327" s="4" t="s">
        <v>39</v>
      </c>
      <c r="AA327" s="2" t="s">
        <v>60</v>
      </c>
      <c r="AB327" s="2" t="s">
        <v>233</v>
      </c>
      <c r="AC327" s="2" t="s">
        <v>454</v>
      </c>
      <c r="AD327" s="4">
        <v>61</v>
      </c>
      <c r="AE327" s="2" t="s">
        <v>153</v>
      </c>
      <c r="AF327" s="2" t="s">
        <v>382</v>
      </c>
      <c r="AG327" s="2" t="s">
        <v>832</v>
      </c>
      <c r="AH327" s="2" t="s">
        <v>185</v>
      </c>
      <c r="AI327" s="2" t="s">
        <v>1158</v>
      </c>
      <c r="AJ327" s="4" t="s">
        <v>1158</v>
      </c>
      <c r="AK327" s="2" t="s">
        <v>1657</v>
      </c>
      <c r="AL327" s="4"/>
      <c r="AN327" s="4"/>
      <c r="AP327" s="4"/>
      <c r="AQ327" s="4"/>
      <c r="AS327" s="4">
        <v>1</v>
      </c>
      <c r="AT327" s="4">
        <v>0</v>
      </c>
      <c r="AU327" s="4">
        <v>1</v>
      </c>
      <c r="AV327" s="4">
        <v>0</v>
      </c>
      <c r="AW327" s="4">
        <v>0</v>
      </c>
      <c r="AX327" s="4">
        <v>1</v>
      </c>
      <c r="AZ327" s="2" t="s">
        <v>60</v>
      </c>
    </row>
    <row r="328" spans="2:52" x14ac:dyDescent="0.15">
      <c r="B328" s="2" t="s">
        <v>620</v>
      </c>
      <c r="C328" s="2" t="s">
        <v>1658</v>
      </c>
      <c r="D328" s="2" t="s">
        <v>20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20</v>
      </c>
      <c r="H328" s="4" t="str">
        <f>VLOOKUP(G328,corpsSet!$B$5:$C$46,2,0)</f>
        <v>公孙瓒</v>
      </c>
      <c r="I328" s="4" t="s">
        <v>35</v>
      </c>
      <c r="J328" s="4" t="str">
        <f>VLOOKUP(I328,citySet!$B$5:$C$46,2,0)</f>
        <v>北平</v>
      </c>
      <c r="K328" s="2" t="s">
        <v>1660</v>
      </c>
      <c r="L328" s="2" t="s">
        <v>617</v>
      </c>
      <c r="N328" s="4"/>
      <c r="O328" s="2" t="s">
        <v>1659</v>
      </c>
      <c r="P328" s="2" t="s">
        <v>1659</v>
      </c>
      <c r="Q328" s="4">
        <v>0</v>
      </c>
      <c r="R328" s="2" t="s">
        <v>370</v>
      </c>
      <c r="S328" s="2" t="s">
        <v>435</v>
      </c>
      <c r="T328" s="2" t="s">
        <v>824</v>
      </c>
      <c r="U328" s="2" t="s">
        <v>479</v>
      </c>
      <c r="V328" s="2" t="s">
        <v>444</v>
      </c>
      <c r="W328" s="4">
        <v>1</v>
      </c>
      <c r="X328" s="2" t="s">
        <v>365</v>
      </c>
      <c r="Y328" s="4">
        <v>3</v>
      </c>
      <c r="Z328" s="4" t="s">
        <v>696</v>
      </c>
      <c r="AA328" s="2" t="s">
        <v>403</v>
      </c>
      <c r="AB328" s="2" t="s">
        <v>515</v>
      </c>
      <c r="AC328" s="2" t="s">
        <v>321</v>
      </c>
      <c r="AD328" s="4">
        <v>43</v>
      </c>
      <c r="AE328" s="2" t="s">
        <v>233</v>
      </c>
      <c r="AF328" s="2" t="s">
        <v>3</v>
      </c>
      <c r="AG328" s="2" t="s">
        <v>496</v>
      </c>
      <c r="AH328" s="2" t="s">
        <v>185</v>
      </c>
      <c r="AI328" s="2" t="s">
        <v>1133</v>
      </c>
      <c r="AJ328" s="4"/>
      <c r="AL328" s="4"/>
      <c r="AN328" s="4"/>
      <c r="AP328" s="4"/>
      <c r="AQ328" s="4"/>
      <c r="AS328" s="4">
        <v>1</v>
      </c>
      <c r="AT328" s="4">
        <v>0</v>
      </c>
      <c r="AU328" s="4">
        <v>0</v>
      </c>
      <c r="AV328" s="4">
        <v>2</v>
      </c>
      <c r="AW328" s="4">
        <v>1</v>
      </c>
      <c r="AX328" s="4">
        <v>0</v>
      </c>
      <c r="AZ328" s="2" t="s">
        <v>60</v>
      </c>
    </row>
    <row r="329" spans="2:52" x14ac:dyDescent="0.15">
      <c r="B329" s="2" t="s">
        <v>1158</v>
      </c>
      <c r="C329" s="2" t="s">
        <v>1657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193</v>
      </c>
      <c r="J329" s="4" t="str">
        <f>VLOOKUP(I329,citySet!$B$5:$C$46,2,0)</f>
        <v>吴</v>
      </c>
      <c r="K329" s="2" t="s">
        <v>1651</v>
      </c>
      <c r="L329" s="2" t="s">
        <v>532</v>
      </c>
      <c r="N329" s="4"/>
      <c r="O329" s="2" t="s">
        <v>708</v>
      </c>
      <c r="P329" s="2" t="s">
        <v>708</v>
      </c>
      <c r="Q329" s="4">
        <v>0</v>
      </c>
      <c r="R329" s="2" t="s">
        <v>370</v>
      </c>
      <c r="S329" s="2" t="s">
        <v>519</v>
      </c>
      <c r="T329" s="2" t="s">
        <v>406</v>
      </c>
      <c r="U329" s="2" t="s">
        <v>447</v>
      </c>
      <c r="V329" s="2" t="s">
        <v>608</v>
      </c>
      <c r="W329" s="4">
        <v>2</v>
      </c>
      <c r="X329" s="2" t="s">
        <v>2983</v>
      </c>
      <c r="Y329" s="4">
        <v>0</v>
      </c>
      <c r="Z329" s="4" t="s">
        <v>39</v>
      </c>
      <c r="AA329" s="2" t="s">
        <v>60</v>
      </c>
      <c r="AB329" s="2" t="s">
        <v>35</v>
      </c>
      <c r="AC329" s="2" t="s">
        <v>37</v>
      </c>
      <c r="AD329" s="4">
        <v>12</v>
      </c>
      <c r="AE329" s="2" t="s">
        <v>237</v>
      </c>
      <c r="AF329" s="2" t="s">
        <v>486</v>
      </c>
      <c r="AG329" s="2" t="s">
        <v>137</v>
      </c>
      <c r="AH329" s="2" t="s">
        <v>185</v>
      </c>
      <c r="AI329" s="2" t="s">
        <v>1158</v>
      </c>
      <c r="AJ329" s="4"/>
      <c r="AL329" s="4"/>
      <c r="AN329" s="4"/>
      <c r="AP329" s="4"/>
      <c r="AQ329" s="4"/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1</v>
      </c>
      <c r="AZ329" s="2" t="s">
        <v>60</v>
      </c>
    </row>
    <row r="330" spans="2:52" x14ac:dyDescent="0.15">
      <c r="B330" s="2" t="s">
        <v>781</v>
      </c>
      <c r="C330" s="2" t="s">
        <v>1654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193</v>
      </c>
      <c r="J330" s="4" t="str">
        <f>VLOOKUP(I330,citySet!$B$5:$C$46,2,0)</f>
        <v>吴</v>
      </c>
      <c r="K330" s="2" t="s">
        <v>1651</v>
      </c>
      <c r="L330" s="2" t="s">
        <v>1662</v>
      </c>
      <c r="M330" s="2" t="s">
        <v>1663</v>
      </c>
      <c r="N330" s="4"/>
      <c r="O330" s="2" t="s">
        <v>732</v>
      </c>
      <c r="P330" s="2" t="s">
        <v>732</v>
      </c>
      <c r="Q330" s="4">
        <v>0</v>
      </c>
      <c r="R330" s="2" t="s">
        <v>370</v>
      </c>
      <c r="S330" s="2" t="s">
        <v>536</v>
      </c>
      <c r="T330" s="2" t="s">
        <v>426</v>
      </c>
      <c r="U330" s="2" t="s">
        <v>732</v>
      </c>
      <c r="V330" s="2" t="s">
        <v>608</v>
      </c>
      <c r="W330" s="4">
        <v>2</v>
      </c>
      <c r="X330" s="2" t="s">
        <v>2983</v>
      </c>
      <c r="Y330" s="4">
        <v>0</v>
      </c>
      <c r="Z330" s="4" t="s">
        <v>39</v>
      </c>
      <c r="AA330" s="2" t="s">
        <v>60</v>
      </c>
      <c r="AB330" s="2" t="s">
        <v>431</v>
      </c>
      <c r="AC330" s="2" t="s">
        <v>374</v>
      </c>
      <c r="AD330" s="4">
        <v>71</v>
      </c>
      <c r="AE330" s="2" t="s">
        <v>269</v>
      </c>
      <c r="AF330" s="2" t="s">
        <v>445</v>
      </c>
      <c r="AG330" s="2" t="s">
        <v>516</v>
      </c>
      <c r="AH330" s="2" t="s">
        <v>185</v>
      </c>
      <c r="AI330" s="2" t="s">
        <v>1158</v>
      </c>
      <c r="AJ330" s="4"/>
      <c r="AL330" s="4"/>
      <c r="AN330" s="4"/>
      <c r="AP330" s="4"/>
      <c r="AQ330" s="4"/>
      <c r="AS330" s="4">
        <v>2</v>
      </c>
      <c r="AT330" s="4">
        <v>1</v>
      </c>
      <c r="AU330" s="4">
        <v>2</v>
      </c>
      <c r="AV330" s="4">
        <v>0</v>
      </c>
      <c r="AW330" s="4">
        <v>2</v>
      </c>
      <c r="AX330" s="4">
        <v>3</v>
      </c>
      <c r="AZ330" s="2" t="s">
        <v>60</v>
      </c>
    </row>
    <row r="331" spans="2:52" x14ac:dyDescent="0.15">
      <c r="B331" s="2" t="s">
        <v>944</v>
      </c>
      <c r="C331" s="2" t="s">
        <v>1650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193</v>
      </c>
      <c r="J331" s="4" t="str">
        <f>VLOOKUP(I331,citySet!$B$5:$C$46,2,0)</f>
        <v>吴</v>
      </c>
      <c r="K331" s="2" t="s">
        <v>1651</v>
      </c>
      <c r="L331" s="2" t="s">
        <v>1665</v>
      </c>
      <c r="N331" s="4"/>
      <c r="O331" s="2" t="s">
        <v>1664</v>
      </c>
      <c r="P331" s="2" t="s">
        <v>1664</v>
      </c>
      <c r="Q331" s="4">
        <v>0</v>
      </c>
      <c r="R331" s="2" t="s">
        <v>370</v>
      </c>
      <c r="S331" s="2" t="s">
        <v>379</v>
      </c>
      <c r="T331" s="2" t="s">
        <v>380</v>
      </c>
      <c r="U331" s="2" t="s">
        <v>590</v>
      </c>
      <c r="V331" s="2" t="s">
        <v>80</v>
      </c>
      <c r="W331" s="4">
        <v>2</v>
      </c>
      <c r="X331" s="2" t="s">
        <v>2983</v>
      </c>
      <c r="Y331" s="4">
        <v>0</v>
      </c>
      <c r="Z331" s="4" t="s">
        <v>39</v>
      </c>
      <c r="AA331" s="2" t="s">
        <v>60</v>
      </c>
      <c r="AB331" s="2" t="s">
        <v>445</v>
      </c>
      <c r="AC331" s="2" t="s">
        <v>444</v>
      </c>
      <c r="AD331" s="4">
        <v>39</v>
      </c>
      <c r="AE331" s="2" t="s">
        <v>226</v>
      </c>
      <c r="AF331" s="2" t="s">
        <v>486</v>
      </c>
      <c r="AG331" s="2" t="s">
        <v>604</v>
      </c>
      <c r="AH331" s="2" t="s">
        <v>185</v>
      </c>
      <c r="AI331" s="2" t="s">
        <v>1158</v>
      </c>
      <c r="AJ331" s="4" t="s">
        <v>781</v>
      </c>
      <c r="AK331" s="2" t="s">
        <v>1654</v>
      </c>
      <c r="AL331" s="4"/>
      <c r="AN331" s="4"/>
      <c r="AP331" s="4"/>
      <c r="AQ331" s="4"/>
      <c r="AS331" s="4">
        <v>1</v>
      </c>
      <c r="AT331" s="4">
        <v>1</v>
      </c>
      <c r="AU331" s="4">
        <v>0</v>
      </c>
      <c r="AV331" s="4">
        <v>0</v>
      </c>
      <c r="AW331" s="4">
        <v>0</v>
      </c>
      <c r="AX331" s="4">
        <v>2</v>
      </c>
      <c r="AZ331" s="2" t="s">
        <v>60</v>
      </c>
    </row>
    <row r="332" spans="2:52" x14ac:dyDescent="0.15">
      <c r="B332" s="2" t="s">
        <v>1188</v>
      </c>
      <c r="C332" s="2" t="s">
        <v>1666</v>
      </c>
      <c r="D332" s="2" t="s">
        <v>27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27</v>
      </c>
      <c r="H332" s="4" t="str">
        <f>VLOOKUP(G332,corpsSet!$B$5:$C$46,2,0)</f>
        <v>曹操</v>
      </c>
      <c r="I332" s="4" t="s">
        <v>17</v>
      </c>
      <c r="J332" s="4" t="str">
        <f>VLOOKUP(I332,citySet!$B$5:$C$46,2,0)</f>
        <v>许昌</v>
      </c>
      <c r="K332" s="2" t="s">
        <v>1668</v>
      </c>
      <c r="L332" s="2" t="s">
        <v>493</v>
      </c>
      <c r="M332" s="2" t="s">
        <v>1669</v>
      </c>
      <c r="N332" s="4"/>
      <c r="O332" s="2" t="s">
        <v>1667</v>
      </c>
      <c r="P332" s="2" t="s">
        <v>1667</v>
      </c>
      <c r="Q332" s="4">
        <v>0</v>
      </c>
      <c r="R332" s="2" t="s">
        <v>370</v>
      </c>
      <c r="S332" s="2" t="s">
        <v>961</v>
      </c>
      <c r="T332" s="2" t="s">
        <v>479</v>
      </c>
      <c r="U332" s="2" t="s">
        <v>408</v>
      </c>
      <c r="V332" s="2" t="s">
        <v>200</v>
      </c>
      <c r="W332" s="4">
        <v>1</v>
      </c>
      <c r="X332" s="2" t="s">
        <v>365</v>
      </c>
      <c r="Y332" s="4">
        <v>0</v>
      </c>
      <c r="Z332" s="4" t="s">
        <v>39</v>
      </c>
      <c r="AA332" s="2" t="s">
        <v>134</v>
      </c>
      <c r="AB332" s="2" t="s">
        <v>4</v>
      </c>
      <c r="AC332" s="2" t="s">
        <v>99</v>
      </c>
      <c r="AD332" s="4">
        <v>37</v>
      </c>
      <c r="AE332" s="2" t="s">
        <v>14</v>
      </c>
      <c r="AF332" s="2" t="s">
        <v>93</v>
      </c>
      <c r="AG332" s="2" t="s">
        <v>368</v>
      </c>
      <c r="AH332" s="2" t="s">
        <v>185</v>
      </c>
      <c r="AI332" s="2" t="s">
        <v>1403</v>
      </c>
      <c r="AJ332" s="4" t="s">
        <v>511</v>
      </c>
      <c r="AK332" s="2" t="s">
        <v>9</v>
      </c>
      <c r="AL332" s="4"/>
      <c r="AN332" s="4"/>
      <c r="AP332" s="4"/>
      <c r="AQ332" s="4"/>
      <c r="AS332" s="4">
        <v>1</v>
      </c>
      <c r="AT332" s="4">
        <v>1</v>
      </c>
      <c r="AU332" s="4">
        <v>0</v>
      </c>
      <c r="AV332" s="4">
        <v>0</v>
      </c>
      <c r="AW332" s="4">
        <v>0</v>
      </c>
      <c r="AX332" s="4">
        <v>0</v>
      </c>
      <c r="AZ332" s="2" t="s">
        <v>60</v>
      </c>
    </row>
    <row r="333" spans="2:52" x14ac:dyDescent="0.15">
      <c r="B333" s="2" t="s">
        <v>1199</v>
      </c>
      <c r="C333" s="2" t="s">
        <v>1670</v>
      </c>
      <c r="D333" s="2" t="s">
        <v>27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27</v>
      </c>
      <c r="H333" s="4" t="str">
        <f>VLOOKUP(G333,corpsSet!$B$5:$C$46,2,0)</f>
        <v>曹操</v>
      </c>
      <c r="I333" s="4" t="s">
        <v>17</v>
      </c>
      <c r="J333" s="4" t="str">
        <f>VLOOKUP(I333,citySet!$B$5:$C$46,2,0)</f>
        <v>许昌</v>
      </c>
      <c r="K333" s="2" t="s">
        <v>1668</v>
      </c>
      <c r="L333" s="2" t="s">
        <v>1673</v>
      </c>
      <c r="M333" s="2" t="s">
        <v>1674</v>
      </c>
      <c r="N333" s="4"/>
      <c r="O333" s="2" t="s">
        <v>486</v>
      </c>
      <c r="P333" s="2" t="s">
        <v>486</v>
      </c>
      <c r="Q333" s="4">
        <v>0</v>
      </c>
      <c r="R333" s="2" t="s">
        <v>370</v>
      </c>
      <c r="S333" s="2" t="s">
        <v>702</v>
      </c>
      <c r="T333" s="2" t="s">
        <v>90</v>
      </c>
      <c r="U333" s="2" t="s">
        <v>427</v>
      </c>
      <c r="V333" s="2" t="s">
        <v>196</v>
      </c>
      <c r="W333" s="4">
        <v>1</v>
      </c>
      <c r="X333" s="2" t="s">
        <v>365</v>
      </c>
      <c r="Y333" s="4">
        <v>0</v>
      </c>
      <c r="Z333" s="4" t="s">
        <v>39</v>
      </c>
      <c r="AA333" s="2" t="s">
        <v>134</v>
      </c>
      <c r="AB333" s="2" t="s">
        <v>374</v>
      </c>
      <c r="AC333" s="2" t="s">
        <v>14</v>
      </c>
      <c r="AD333" s="4">
        <v>82</v>
      </c>
      <c r="AE333" s="2" t="s">
        <v>554</v>
      </c>
      <c r="AF333" s="2" t="s">
        <v>123</v>
      </c>
      <c r="AG333" s="2" t="s">
        <v>1671</v>
      </c>
      <c r="AH333" s="2" t="s">
        <v>185</v>
      </c>
      <c r="AI333" s="2" t="s">
        <v>1403</v>
      </c>
      <c r="AJ333" s="4" t="s">
        <v>1437</v>
      </c>
      <c r="AK333" s="2" t="s">
        <v>1672</v>
      </c>
      <c r="AL333" s="4">
        <v>31</v>
      </c>
      <c r="AM333" s="2" t="s">
        <v>1585</v>
      </c>
      <c r="AN333" s="4"/>
      <c r="AP333" s="4"/>
      <c r="AQ333" s="4"/>
      <c r="AS333" s="4">
        <v>1</v>
      </c>
      <c r="AT333" s="4">
        <v>0</v>
      </c>
      <c r="AU333" s="4">
        <v>2</v>
      </c>
      <c r="AV333" s="4">
        <v>1</v>
      </c>
      <c r="AW333" s="4">
        <v>1</v>
      </c>
      <c r="AX333" s="4">
        <v>1</v>
      </c>
      <c r="AZ333" s="2" t="s">
        <v>60</v>
      </c>
    </row>
    <row r="334" spans="2:52" x14ac:dyDescent="0.15">
      <c r="B334" s="2" t="s">
        <v>1208</v>
      </c>
      <c r="C334" s="2" t="s">
        <v>1675</v>
      </c>
      <c r="D334" s="2" t="s">
        <v>27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27</v>
      </c>
      <c r="H334" s="4" t="str">
        <f>VLOOKUP(G334,corpsSet!$B$5:$C$46,2,0)</f>
        <v>曹操</v>
      </c>
      <c r="I334" s="4" t="s">
        <v>17</v>
      </c>
      <c r="J334" s="4" t="str">
        <f>VLOOKUP(I334,citySet!$B$5:$C$46,2,0)</f>
        <v>许昌</v>
      </c>
      <c r="K334" s="2" t="s">
        <v>1668</v>
      </c>
      <c r="L334" s="2" t="s">
        <v>1676</v>
      </c>
      <c r="M334" s="2" t="s">
        <v>1677</v>
      </c>
      <c r="N334" s="4"/>
      <c r="O334" s="2" t="s">
        <v>683</v>
      </c>
      <c r="P334" s="2" t="s">
        <v>683</v>
      </c>
      <c r="Q334" s="4">
        <v>0</v>
      </c>
      <c r="R334" s="2" t="s">
        <v>370</v>
      </c>
      <c r="S334" s="2" t="s">
        <v>548</v>
      </c>
      <c r="T334" s="2" t="s">
        <v>786</v>
      </c>
      <c r="U334" s="2" t="s">
        <v>488</v>
      </c>
      <c r="V334" s="2" t="s">
        <v>200</v>
      </c>
      <c r="W334" s="4">
        <v>1</v>
      </c>
      <c r="X334" s="2" t="s">
        <v>365</v>
      </c>
      <c r="Y334" s="4">
        <v>0</v>
      </c>
      <c r="Z334" s="4" t="s">
        <v>39</v>
      </c>
      <c r="AA334" s="2" t="s">
        <v>134</v>
      </c>
      <c r="AB334" s="2" t="s">
        <v>41</v>
      </c>
      <c r="AC334" s="2" t="s">
        <v>8</v>
      </c>
      <c r="AD334" s="4">
        <v>30</v>
      </c>
      <c r="AE334" s="2" t="s">
        <v>101</v>
      </c>
      <c r="AF334" s="2" t="s">
        <v>257</v>
      </c>
      <c r="AG334" s="2" t="s">
        <v>518</v>
      </c>
      <c r="AH334" s="2" t="s">
        <v>185</v>
      </c>
      <c r="AI334" s="2" t="s">
        <v>1403</v>
      </c>
      <c r="AJ334" s="4" t="s">
        <v>1188</v>
      </c>
      <c r="AK334" s="2" t="s">
        <v>1666</v>
      </c>
      <c r="AL334" s="4"/>
      <c r="AN334" s="4"/>
      <c r="AP334" s="4"/>
      <c r="AQ334" s="4"/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Z334" s="2" t="s">
        <v>60</v>
      </c>
    </row>
    <row r="335" spans="2:52" x14ac:dyDescent="0.15">
      <c r="B335" s="2" t="s">
        <v>601</v>
      </c>
      <c r="C335" s="2" t="s">
        <v>1678</v>
      </c>
      <c r="D335" s="2" t="s">
        <v>27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27</v>
      </c>
      <c r="H335" s="4" t="str">
        <f>VLOOKUP(G335,corpsSet!$B$5:$C$46,2,0)</f>
        <v>曹操</v>
      </c>
      <c r="I335" s="4" t="s">
        <v>17</v>
      </c>
      <c r="J335" s="4" t="str">
        <f>VLOOKUP(I335,citySet!$B$5:$C$46,2,0)</f>
        <v>许昌</v>
      </c>
      <c r="K335" s="2" t="s">
        <v>1668</v>
      </c>
      <c r="L335" s="2" t="s">
        <v>1680</v>
      </c>
      <c r="N335" s="4"/>
      <c r="O335" s="2" t="s">
        <v>1461</v>
      </c>
      <c r="P335" s="2" t="s">
        <v>1461</v>
      </c>
      <c r="Q335" s="4">
        <v>0</v>
      </c>
      <c r="R335" s="2" t="s">
        <v>370</v>
      </c>
      <c r="S335" s="2" t="s">
        <v>633</v>
      </c>
      <c r="T335" s="2" t="s">
        <v>685</v>
      </c>
      <c r="U335" s="2" t="s">
        <v>732</v>
      </c>
      <c r="V335" s="2" t="s">
        <v>105</v>
      </c>
      <c r="W335" s="4">
        <v>1</v>
      </c>
      <c r="X335" s="2" t="s">
        <v>365</v>
      </c>
      <c r="Y335" s="4">
        <v>0</v>
      </c>
      <c r="Z335" s="4" t="s">
        <v>39</v>
      </c>
      <c r="AA335" s="2" t="s">
        <v>134</v>
      </c>
      <c r="AB335" s="2" t="s">
        <v>119</v>
      </c>
      <c r="AC335" s="2" t="s">
        <v>200</v>
      </c>
      <c r="AD335" s="4">
        <v>50</v>
      </c>
      <c r="AE335" s="2" t="s">
        <v>19</v>
      </c>
      <c r="AF335" s="2" t="s">
        <v>101</v>
      </c>
      <c r="AG335" s="2" t="s">
        <v>380</v>
      </c>
      <c r="AH335" s="2" t="s">
        <v>185</v>
      </c>
      <c r="AI335" s="2" t="s">
        <v>1403</v>
      </c>
      <c r="AJ335" s="4" t="s">
        <v>1178</v>
      </c>
      <c r="AK335" s="2" t="s">
        <v>1679</v>
      </c>
      <c r="AL335" s="4"/>
      <c r="AN335" s="4"/>
      <c r="AP335" s="4"/>
      <c r="AQ335" s="4"/>
      <c r="AS335" s="4">
        <v>0</v>
      </c>
      <c r="AT335" s="4">
        <v>0</v>
      </c>
      <c r="AU335" s="4">
        <v>1</v>
      </c>
      <c r="AV335" s="4">
        <v>0</v>
      </c>
      <c r="AW335" s="4">
        <v>0</v>
      </c>
      <c r="AX335" s="4">
        <v>0</v>
      </c>
      <c r="AZ335" s="2" t="s">
        <v>60</v>
      </c>
    </row>
    <row r="336" spans="2:52" x14ac:dyDescent="0.15">
      <c r="B336" s="2" t="s">
        <v>265</v>
      </c>
      <c r="C336" s="2" t="s">
        <v>1681</v>
      </c>
      <c r="D336" s="2" t="s">
        <v>27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27</v>
      </c>
      <c r="H336" s="4" t="str">
        <f>VLOOKUP(G336,corpsSet!$B$5:$C$46,2,0)</f>
        <v>曹操</v>
      </c>
      <c r="I336" s="4" t="s">
        <v>17</v>
      </c>
      <c r="J336" s="4" t="str">
        <f>VLOOKUP(I336,citySet!$B$5:$C$46,2,0)</f>
        <v>许昌</v>
      </c>
      <c r="K336" s="2" t="s">
        <v>1668</v>
      </c>
      <c r="L336" s="2" t="s">
        <v>1682</v>
      </c>
      <c r="M336" s="2" t="s">
        <v>1683</v>
      </c>
      <c r="N336" s="4"/>
      <c r="O336" s="2" t="s">
        <v>413</v>
      </c>
      <c r="P336" s="2" t="s">
        <v>413</v>
      </c>
      <c r="Q336" s="4">
        <v>0</v>
      </c>
      <c r="R336" s="2" t="s">
        <v>370</v>
      </c>
      <c r="S336" s="2" t="s">
        <v>393</v>
      </c>
      <c r="T336" s="2" t="s">
        <v>1001</v>
      </c>
      <c r="U336" s="2" t="s">
        <v>667</v>
      </c>
      <c r="V336" s="2" t="s">
        <v>200</v>
      </c>
      <c r="W336" s="4">
        <v>1</v>
      </c>
      <c r="X336" s="2" t="s">
        <v>365</v>
      </c>
      <c r="Y336" s="4">
        <v>0</v>
      </c>
      <c r="Z336" s="4" t="s">
        <v>39</v>
      </c>
      <c r="AA336" s="2" t="s">
        <v>134</v>
      </c>
      <c r="AB336" s="2" t="s">
        <v>367</v>
      </c>
      <c r="AC336" s="2" t="s">
        <v>481</v>
      </c>
      <c r="AD336" s="4">
        <v>58</v>
      </c>
      <c r="AE336" s="2" t="s">
        <v>201</v>
      </c>
      <c r="AF336" s="2" t="s">
        <v>445</v>
      </c>
      <c r="AG336" s="2" t="s">
        <v>1208</v>
      </c>
      <c r="AH336" s="2" t="s">
        <v>185</v>
      </c>
      <c r="AI336" s="2" t="s">
        <v>1403</v>
      </c>
      <c r="AJ336" s="4"/>
      <c r="AK336" s="2" t="s">
        <v>239</v>
      </c>
      <c r="AL336" s="4"/>
      <c r="AN336" s="4"/>
      <c r="AP336" s="4"/>
      <c r="AQ336" s="4"/>
      <c r="AS336" s="4">
        <v>1</v>
      </c>
      <c r="AT336" s="4">
        <v>0</v>
      </c>
      <c r="AU336" s="4">
        <v>3</v>
      </c>
      <c r="AV336" s="4">
        <v>2</v>
      </c>
      <c r="AW336" s="4">
        <v>0</v>
      </c>
      <c r="AX336" s="4">
        <v>1</v>
      </c>
      <c r="AZ336" s="2" t="s">
        <v>60</v>
      </c>
    </row>
    <row r="337" spans="2:52" x14ac:dyDescent="0.15">
      <c r="B337" s="2" t="s">
        <v>701</v>
      </c>
      <c r="C337" s="2" t="s">
        <v>1684</v>
      </c>
      <c r="D337" s="2" t="s">
        <v>27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27</v>
      </c>
      <c r="H337" s="4" t="str">
        <f>VLOOKUP(G337,corpsSet!$B$5:$C$46,2,0)</f>
        <v>曹操</v>
      </c>
      <c r="I337" s="4" t="s">
        <v>17</v>
      </c>
      <c r="J337" s="4" t="str">
        <f>VLOOKUP(I337,citySet!$B$5:$C$46,2,0)</f>
        <v>许昌</v>
      </c>
      <c r="K337" s="2" t="s">
        <v>1668</v>
      </c>
      <c r="L337" s="2" t="s">
        <v>1685</v>
      </c>
      <c r="N337" s="4"/>
      <c r="O337" s="2" t="s">
        <v>876</v>
      </c>
      <c r="P337" s="2" t="s">
        <v>876</v>
      </c>
      <c r="Q337" s="4">
        <v>0</v>
      </c>
      <c r="R337" s="2" t="s">
        <v>370</v>
      </c>
      <c r="S337" s="2" t="s">
        <v>395</v>
      </c>
      <c r="T337" s="2" t="s">
        <v>689</v>
      </c>
      <c r="U337" s="2" t="s">
        <v>732</v>
      </c>
      <c r="V337" s="2" t="s">
        <v>105</v>
      </c>
      <c r="W337" s="4">
        <v>1</v>
      </c>
      <c r="X337" s="2" t="s">
        <v>365</v>
      </c>
      <c r="Y337" s="4">
        <v>0</v>
      </c>
      <c r="Z337" s="4" t="s">
        <v>39</v>
      </c>
      <c r="AA337" s="2" t="s">
        <v>134</v>
      </c>
      <c r="AB337" s="2" t="s">
        <v>104</v>
      </c>
      <c r="AC337" s="2" t="s">
        <v>219</v>
      </c>
      <c r="AD337" s="4">
        <v>11</v>
      </c>
      <c r="AE337" s="2" t="s">
        <v>41</v>
      </c>
      <c r="AF337" s="2" t="s">
        <v>25</v>
      </c>
      <c r="AG337" s="2" t="s">
        <v>334</v>
      </c>
      <c r="AH337" s="2" t="s">
        <v>185</v>
      </c>
      <c r="AI337" s="2" t="s">
        <v>1403</v>
      </c>
      <c r="AJ337" s="4" t="s">
        <v>1178</v>
      </c>
      <c r="AK337" s="2" t="s">
        <v>1679</v>
      </c>
      <c r="AL337" s="4"/>
      <c r="AN337" s="4"/>
      <c r="AP337" s="4"/>
      <c r="AQ337" s="4"/>
      <c r="AS337" s="4">
        <v>0</v>
      </c>
      <c r="AT337" s="4">
        <v>0</v>
      </c>
      <c r="AU337" s="4">
        <v>0</v>
      </c>
      <c r="AV337" s="4">
        <v>1</v>
      </c>
      <c r="AW337" s="4">
        <v>0</v>
      </c>
      <c r="AX337" s="4">
        <v>0</v>
      </c>
      <c r="AZ337" s="2" t="s">
        <v>60</v>
      </c>
    </row>
    <row r="338" spans="2:52" x14ac:dyDescent="0.15">
      <c r="B338" s="2" t="s">
        <v>980</v>
      </c>
      <c r="C338" s="2" t="s">
        <v>1686</v>
      </c>
      <c r="D338" s="2" t="s">
        <v>24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24</v>
      </c>
      <c r="H338" s="4" t="str">
        <f>VLOOKUP(G338,corpsSet!$B$5:$C$46,2,0)</f>
        <v>吕布</v>
      </c>
      <c r="I338" s="4" t="s">
        <v>29</v>
      </c>
      <c r="J338" s="4" t="str">
        <f>VLOOKUP(I338,citySet!$B$5:$C$46,2,0)</f>
        <v>下邳</v>
      </c>
      <c r="K338" s="2" t="s">
        <v>1687</v>
      </c>
      <c r="L338" s="2" t="s">
        <v>1688</v>
      </c>
      <c r="N338" s="4"/>
      <c r="O338" s="2" t="s">
        <v>624</v>
      </c>
      <c r="P338" s="2" t="s">
        <v>624</v>
      </c>
      <c r="Q338" s="4">
        <v>0</v>
      </c>
      <c r="R338" s="2" t="s">
        <v>370</v>
      </c>
      <c r="S338" s="2" t="s">
        <v>435</v>
      </c>
      <c r="T338" s="2" t="s">
        <v>476</v>
      </c>
      <c r="U338" s="2" t="s">
        <v>950</v>
      </c>
      <c r="V338" s="2" t="s">
        <v>719</v>
      </c>
      <c r="W338" s="4">
        <v>1</v>
      </c>
      <c r="X338" s="2" t="s">
        <v>365</v>
      </c>
      <c r="Y338" s="4">
        <v>0</v>
      </c>
      <c r="Z338" s="4" t="s">
        <v>39</v>
      </c>
      <c r="AA338" s="2" t="s">
        <v>413</v>
      </c>
      <c r="AB338" s="2" t="s">
        <v>321</v>
      </c>
      <c r="AC338" s="2" t="s">
        <v>422</v>
      </c>
      <c r="AD338" s="4">
        <v>38</v>
      </c>
      <c r="AE338" s="2" t="s">
        <v>204</v>
      </c>
      <c r="AF338" s="2" t="s">
        <v>213</v>
      </c>
      <c r="AG338" s="2" t="s">
        <v>1136</v>
      </c>
      <c r="AH338" s="2" t="s">
        <v>185</v>
      </c>
      <c r="AI338" s="2" t="s">
        <v>701</v>
      </c>
      <c r="AJ338" s="4"/>
      <c r="AL338" s="4"/>
      <c r="AN338" s="4"/>
      <c r="AP338" s="4"/>
      <c r="AQ338" s="4"/>
      <c r="AS338" s="4">
        <v>1</v>
      </c>
      <c r="AT338" s="4">
        <v>1</v>
      </c>
      <c r="AU338" s="4">
        <v>0</v>
      </c>
      <c r="AV338" s="4">
        <v>2</v>
      </c>
      <c r="AW338" s="4">
        <v>0</v>
      </c>
      <c r="AX338" s="4">
        <v>0</v>
      </c>
      <c r="AZ338" s="2" t="s">
        <v>60</v>
      </c>
    </row>
    <row r="339" spans="2:52" x14ac:dyDescent="0.15">
      <c r="B339" s="2" t="s">
        <v>596</v>
      </c>
      <c r="C339" s="2" t="s">
        <v>1689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200</v>
      </c>
      <c r="J339" s="4" t="str">
        <f>VLOOKUP(I339,citySet!$B$5:$C$46,2,0)</f>
        <v>庐江</v>
      </c>
      <c r="K339" s="2" t="s">
        <v>1687</v>
      </c>
      <c r="L339" s="2" t="s">
        <v>1691</v>
      </c>
      <c r="N339" s="4"/>
      <c r="O339" s="2" t="s">
        <v>1690</v>
      </c>
      <c r="P339" s="2" t="s">
        <v>1690</v>
      </c>
      <c r="Q339" s="4">
        <v>0</v>
      </c>
      <c r="R339" s="2" t="s">
        <v>370</v>
      </c>
      <c r="S339" s="2" t="s">
        <v>407</v>
      </c>
      <c r="T339" s="2" t="s">
        <v>97</v>
      </c>
      <c r="U339" s="2" t="s">
        <v>519</v>
      </c>
      <c r="V339" s="2" t="s">
        <v>1018</v>
      </c>
      <c r="W339" s="4">
        <v>2</v>
      </c>
      <c r="X339" s="2" t="s">
        <v>2983</v>
      </c>
      <c r="Y339" s="4">
        <v>0</v>
      </c>
      <c r="Z339" s="4" t="s">
        <v>39</v>
      </c>
      <c r="AA339" s="2" t="s">
        <v>60</v>
      </c>
      <c r="AB339" s="2" t="s">
        <v>404</v>
      </c>
      <c r="AC339" s="2" t="s">
        <v>431</v>
      </c>
      <c r="AD339" s="4">
        <v>42</v>
      </c>
      <c r="AE339" s="2" t="s">
        <v>21</v>
      </c>
      <c r="AF339" s="2" t="s">
        <v>444</v>
      </c>
      <c r="AG339" s="2" t="s">
        <v>325</v>
      </c>
      <c r="AH339" s="2" t="s">
        <v>185</v>
      </c>
      <c r="AI339" s="2" t="s">
        <v>980</v>
      </c>
      <c r="AJ339" s="4"/>
      <c r="AL339" s="4"/>
      <c r="AN339" s="4"/>
      <c r="AP339" s="4"/>
      <c r="AQ339" s="4"/>
      <c r="AS339" s="4">
        <v>0</v>
      </c>
      <c r="AT339" s="4">
        <v>2</v>
      </c>
      <c r="AU339" s="4">
        <v>0</v>
      </c>
      <c r="AV339" s="4">
        <v>1</v>
      </c>
      <c r="AW339" s="4">
        <v>0</v>
      </c>
      <c r="AX339" s="4">
        <v>1</v>
      </c>
      <c r="AZ339" s="2" t="s">
        <v>60</v>
      </c>
    </row>
    <row r="340" spans="2:52" x14ac:dyDescent="0.15">
      <c r="B340" s="2" t="s">
        <v>520</v>
      </c>
      <c r="C340" s="2" t="s">
        <v>1692</v>
      </c>
      <c r="D340" s="2" t="s">
        <v>27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27</v>
      </c>
      <c r="H340" s="4" t="str">
        <f>VLOOKUP(G340,corpsSet!$B$5:$C$46,2,0)</f>
        <v>曹操</v>
      </c>
      <c r="I340" s="4" t="s">
        <v>17</v>
      </c>
      <c r="J340" s="4" t="str">
        <f>VLOOKUP(I340,citySet!$B$5:$C$46,2,0)</f>
        <v>许昌</v>
      </c>
      <c r="K340" s="2" t="s">
        <v>1668</v>
      </c>
      <c r="L340" s="2" t="s">
        <v>1401</v>
      </c>
      <c r="M340" s="2" t="s">
        <v>1693</v>
      </c>
      <c r="N340" s="4"/>
      <c r="O340" s="2" t="s">
        <v>544</v>
      </c>
      <c r="P340" s="2" t="s">
        <v>544</v>
      </c>
      <c r="Q340" s="4">
        <v>0</v>
      </c>
      <c r="R340" s="2" t="s">
        <v>370</v>
      </c>
      <c r="S340" s="2" t="s">
        <v>393</v>
      </c>
      <c r="T340" s="2" t="s">
        <v>97</v>
      </c>
      <c r="U340" s="2" t="s">
        <v>425</v>
      </c>
      <c r="V340" s="2" t="s">
        <v>196</v>
      </c>
      <c r="W340" s="4">
        <v>1</v>
      </c>
      <c r="X340" s="2" t="s">
        <v>365</v>
      </c>
      <c r="Y340" s="4">
        <v>0</v>
      </c>
      <c r="Z340" s="4" t="s">
        <v>39</v>
      </c>
      <c r="AA340" s="2" t="s">
        <v>466</v>
      </c>
      <c r="AB340" s="2" t="s">
        <v>367</v>
      </c>
      <c r="AC340" s="2" t="s">
        <v>445</v>
      </c>
      <c r="AD340" s="4">
        <v>66</v>
      </c>
      <c r="AE340" s="2" t="s">
        <v>321</v>
      </c>
      <c r="AF340" s="2" t="s">
        <v>422</v>
      </c>
      <c r="AG340" s="2" t="s">
        <v>1419</v>
      </c>
      <c r="AH340" s="2" t="s">
        <v>185</v>
      </c>
      <c r="AI340" s="2" t="s">
        <v>1403</v>
      </c>
      <c r="AJ340" s="4" t="s">
        <v>511</v>
      </c>
      <c r="AK340" s="2" t="s">
        <v>9</v>
      </c>
      <c r="AL340" s="4"/>
      <c r="AN340" s="4"/>
      <c r="AP340" s="4"/>
      <c r="AQ340" s="4"/>
      <c r="AS340" s="4">
        <v>1</v>
      </c>
      <c r="AT340" s="4">
        <v>2</v>
      </c>
      <c r="AU340" s="4">
        <v>0</v>
      </c>
      <c r="AV340" s="4">
        <v>1</v>
      </c>
      <c r="AW340" s="4">
        <v>0</v>
      </c>
      <c r="AX340" s="4">
        <v>0</v>
      </c>
      <c r="AZ340" s="2" t="s">
        <v>60</v>
      </c>
    </row>
    <row r="341" spans="2:52" x14ac:dyDescent="0.15">
      <c r="B341" s="2" t="s">
        <v>1328</v>
      </c>
      <c r="C341" s="2" t="s">
        <v>836</v>
      </c>
      <c r="D341" s="2" t="s">
        <v>27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27</v>
      </c>
      <c r="H341" s="4" t="str">
        <f>VLOOKUP(G341,corpsSet!$B$5:$C$46,2,0)</f>
        <v>曹操</v>
      </c>
      <c r="I341" s="4" t="s">
        <v>17</v>
      </c>
      <c r="J341" s="4" t="str">
        <f>VLOOKUP(I341,citySet!$B$5:$C$46,2,0)</f>
        <v>许昌</v>
      </c>
      <c r="K341" s="2" t="s">
        <v>1668</v>
      </c>
      <c r="L341" s="2" t="s">
        <v>1695</v>
      </c>
      <c r="M341" s="2" t="s">
        <v>1696</v>
      </c>
      <c r="N341" s="4"/>
      <c r="O341" s="2" t="s">
        <v>191</v>
      </c>
      <c r="P341" s="2" t="s">
        <v>191</v>
      </c>
      <c r="Q341" s="4">
        <v>0</v>
      </c>
      <c r="R341" s="2" t="s">
        <v>370</v>
      </c>
      <c r="S341" s="2" t="s">
        <v>438</v>
      </c>
      <c r="T341" s="2" t="s">
        <v>477</v>
      </c>
      <c r="U341" s="2" t="s">
        <v>991</v>
      </c>
      <c r="V341" s="2" t="s">
        <v>193</v>
      </c>
      <c r="W341" s="4">
        <v>1</v>
      </c>
      <c r="X341" s="2" t="s">
        <v>365</v>
      </c>
      <c r="Y341" s="4">
        <v>1</v>
      </c>
      <c r="Z341" s="4" t="s">
        <v>1243</v>
      </c>
      <c r="AA341" s="2" t="s">
        <v>134</v>
      </c>
      <c r="AB341" s="2" t="s">
        <v>88</v>
      </c>
      <c r="AC341" s="2" t="s">
        <v>235</v>
      </c>
      <c r="AD341" s="4">
        <v>44</v>
      </c>
      <c r="AE341" s="2" t="s">
        <v>220</v>
      </c>
      <c r="AF341" s="2" t="s">
        <v>3</v>
      </c>
      <c r="AG341" s="2" t="s">
        <v>330</v>
      </c>
      <c r="AH341" s="2" t="s">
        <v>185</v>
      </c>
      <c r="AI341" s="2" t="s">
        <v>1403</v>
      </c>
      <c r="AJ341" s="4"/>
      <c r="AK341" s="2" t="s">
        <v>1694</v>
      </c>
      <c r="AL341" s="4"/>
      <c r="AN341" s="4"/>
      <c r="AP341" s="4"/>
      <c r="AQ341" s="4"/>
      <c r="AS341" s="4">
        <v>3</v>
      </c>
      <c r="AT341" s="4">
        <v>2</v>
      </c>
      <c r="AU341" s="4">
        <v>0</v>
      </c>
      <c r="AV341" s="4">
        <v>2</v>
      </c>
      <c r="AW341" s="4">
        <v>0</v>
      </c>
      <c r="AX341" s="4">
        <v>0</v>
      </c>
      <c r="AZ341" s="2" t="s">
        <v>60</v>
      </c>
    </row>
    <row r="342" spans="2:52" x14ac:dyDescent="0.15">
      <c r="B342" s="2" t="s">
        <v>1339</v>
      </c>
      <c r="C342" s="2" t="s">
        <v>1697</v>
      </c>
      <c r="D342" s="2" t="s">
        <v>27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27</v>
      </c>
      <c r="H342" s="4" t="str">
        <f>VLOOKUP(G342,corpsSet!$B$5:$C$46,2,0)</f>
        <v>曹操</v>
      </c>
      <c r="I342" s="4" t="s">
        <v>17</v>
      </c>
      <c r="J342" s="4" t="str">
        <f>VLOOKUP(I342,citySet!$B$5:$C$46,2,0)</f>
        <v>许昌</v>
      </c>
      <c r="K342" s="2" t="s">
        <v>1668</v>
      </c>
      <c r="L342" s="2" t="s">
        <v>1700</v>
      </c>
      <c r="M342" s="2" t="s">
        <v>1701</v>
      </c>
      <c r="N342" s="4"/>
      <c r="O342" s="2" t="s">
        <v>1698</v>
      </c>
      <c r="P342" s="2" t="s">
        <v>1698</v>
      </c>
      <c r="Q342" s="4">
        <v>0</v>
      </c>
      <c r="R342" s="2" t="s">
        <v>370</v>
      </c>
      <c r="S342" s="2" t="s">
        <v>393</v>
      </c>
      <c r="T342" s="2" t="s">
        <v>555</v>
      </c>
      <c r="U342" s="2" t="s">
        <v>685</v>
      </c>
      <c r="V342" s="2" t="s">
        <v>196</v>
      </c>
      <c r="W342" s="4">
        <v>1</v>
      </c>
      <c r="X342" s="2" t="s">
        <v>365</v>
      </c>
      <c r="Y342" s="4">
        <v>0</v>
      </c>
      <c r="Z342" s="4" t="s">
        <v>39</v>
      </c>
      <c r="AA342" s="2" t="s">
        <v>134</v>
      </c>
      <c r="AB342" s="2" t="s">
        <v>481</v>
      </c>
      <c r="AC342" s="2" t="s">
        <v>515</v>
      </c>
      <c r="AD342" s="4">
        <v>60</v>
      </c>
      <c r="AE342" s="2" t="s">
        <v>220</v>
      </c>
      <c r="AF342" s="2" t="s">
        <v>374</v>
      </c>
      <c r="AG342" s="2" t="s">
        <v>850</v>
      </c>
      <c r="AH342" s="2" t="s">
        <v>185</v>
      </c>
      <c r="AI342" s="2" t="s">
        <v>1403</v>
      </c>
      <c r="AJ342" s="4"/>
      <c r="AK342" s="2" t="s">
        <v>1699</v>
      </c>
      <c r="AL342" s="4"/>
      <c r="AN342" s="4"/>
      <c r="AP342" s="4"/>
      <c r="AQ342" s="4"/>
      <c r="AS342" s="4">
        <v>1</v>
      </c>
      <c r="AT342" s="4">
        <v>0</v>
      </c>
      <c r="AU342" s="4">
        <v>0</v>
      </c>
      <c r="AV342" s="4">
        <v>3</v>
      </c>
      <c r="AW342" s="4">
        <v>0</v>
      </c>
      <c r="AX342" s="4">
        <v>0</v>
      </c>
      <c r="AZ342" s="2" t="s">
        <v>60</v>
      </c>
    </row>
    <row r="343" spans="2:52" x14ac:dyDescent="0.15">
      <c r="B343" s="2" t="s">
        <v>1379</v>
      </c>
      <c r="C343" s="2" t="s">
        <v>1702</v>
      </c>
      <c r="D343" s="2" t="s">
        <v>27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27</v>
      </c>
      <c r="H343" s="4" t="str">
        <f>VLOOKUP(G343,corpsSet!$B$5:$C$46,2,0)</f>
        <v>曹操</v>
      </c>
      <c r="I343" s="4" t="s">
        <v>17</v>
      </c>
      <c r="J343" s="4" t="str">
        <f>VLOOKUP(I343,citySet!$B$5:$C$46,2,0)</f>
        <v>许昌</v>
      </c>
      <c r="K343" s="2" t="s">
        <v>1668</v>
      </c>
      <c r="L343" s="2" t="s">
        <v>1704</v>
      </c>
      <c r="M343" s="2" t="s">
        <v>1705</v>
      </c>
      <c r="N343" s="4"/>
      <c r="O343" s="2" t="s">
        <v>107</v>
      </c>
      <c r="P343" s="2" t="s">
        <v>107</v>
      </c>
      <c r="Q343" s="4">
        <v>0</v>
      </c>
      <c r="R343" s="2" t="s">
        <v>370</v>
      </c>
      <c r="S343" s="2" t="s">
        <v>380</v>
      </c>
      <c r="T343" s="2" t="s">
        <v>372</v>
      </c>
      <c r="U343" s="2" t="s">
        <v>489</v>
      </c>
      <c r="V343" s="2" t="s">
        <v>196</v>
      </c>
      <c r="W343" s="4">
        <v>1</v>
      </c>
      <c r="X343" s="2" t="s">
        <v>365</v>
      </c>
      <c r="Y343" s="4">
        <v>0</v>
      </c>
      <c r="Z343" s="4" t="s">
        <v>39</v>
      </c>
      <c r="AA343" s="2" t="s">
        <v>134</v>
      </c>
      <c r="AB343" s="2" t="s">
        <v>554</v>
      </c>
      <c r="AC343" s="2" t="s">
        <v>176</v>
      </c>
      <c r="AD343" s="4">
        <v>40</v>
      </c>
      <c r="AE343" s="2" t="s">
        <v>220</v>
      </c>
      <c r="AF343" s="2" t="s">
        <v>434</v>
      </c>
      <c r="AG343" s="2" t="s">
        <v>1133</v>
      </c>
      <c r="AH343" s="2" t="s">
        <v>185</v>
      </c>
      <c r="AI343" s="2" t="s">
        <v>1403</v>
      </c>
      <c r="AJ343" s="4" t="s">
        <v>511</v>
      </c>
      <c r="AK343" s="2" t="s">
        <v>9</v>
      </c>
      <c r="AL343" s="4" t="s">
        <v>2301</v>
      </c>
      <c r="AM343" s="2" t="s">
        <v>1703</v>
      </c>
      <c r="AN343" s="4"/>
      <c r="AP343" s="4"/>
      <c r="AQ343" s="4"/>
      <c r="AS343" s="4">
        <v>2</v>
      </c>
      <c r="AT343" s="4">
        <v>1</v>
      </c>
      <c r="AU343" s="4">
        <v>0</v>
      </c>
      <c r="AV343" s="4">
        <v>3</v>
      </c>
      <c r="AW343" s="4">
        <v>1</v>
      </c>
      <c r="AX343" s="4">
        <v>0</v>
      </c>
      <c r="AZ343" s="2" t="s">
        <v>60</v>
      </c>
    </row>
    <row r="344" spans="2:52" x14ac:dyDescent="0.15">
      <c r="B344" s="2" t="s">
        <v>324</v>
      </c>
      <c r="C344" s="2" t="s">
        <v>1706</v>
      </c>
      <c r="D344" s="2" t="s">
        <v>27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27</v>
      </c>
      <c r="H344" s="4" t="str">
        <f>VLOOKUP(G344,corpsSet!$B$5:$C$46,2,0)</f>
        <v>曹操</v>
      </c>
      <c r="I344" s="4" t="s">
        <v>17</v>
      </c>
      <c r="J344" s="4" t="str">
        <f>VLOOKUP(I344,citySet!$B$5:$C$46,2,0)</f>
        <v>许昌</v>
      </c>
      <c r="K344" s="2" t="s">
        <v>1668</v>
      </c>
      <c r="L344" s="2" t="s">
        <v>894</v>
      </c>
      <c r="M344" s="2" t="s">
        <v>1707</v>
      </c>
      <c r="N344" s="4"/>
      <c r="O344" s="2" t="s">
        <v>414</v>
      </c>
      <c r="P344" s="2" t="s">
        <v>414</v>
      </c>
      <c r="Q344" s="4">
        <v>0</v>
      </c>
      <c r="R344" s="2" t="s">
        <v>370</v>
      </c>
      <c r="S344" s="2" t="s">
        <v>326</v>
      </c>
      <c r="T344" s="2" t="s">
        <v>585</v>
      </c>
      <c r="U344" s="2" t="s">
        <v>991</v>
      </c>
      <c r="V344" s="2" t="s">
        <v>196</v>
      </c>
      <c r="W344" s="4">
        <v>1</v>
      </c>
      <c r="X344" s="2" t="s">
        <v>365</v>
      </c>
      <c r="Y344" s="4">
        <v>0</v>
      </c>
      <c r="Z344" s="4" t="s">
        <v>39</v>
      </c>
      <c r="AA344" s="2" t="s">
        <v>134</v>
      </c>
      <c r="AB344" s="2" t="s">
        <v>104</v>
      </c>
      <c r="AC344" s="2" t="s">
        <v>10</v>
      </c>
      <c r="AD344" s="4">
        <v>81</v>
      </c>
      <c r="AE344" s="2" t="s">
        <v>153</v>
      </c>
      <c r="AF344" s="2" t="s">
        <v>329</v>
      </c>
      <c r="AG344" s="2" t="s">
        <v>1014</v>
      </c>
      <c r="AH344" s="2" t="s">
        <v>185</v>
      </c>
      <c r="AI344" s="2" t="s">
        <v>1403</v>
      </c>
      <c r="AJ344" s="4" t="s">
        <v>511</v>
      </c>
      <c r="AK344" s="2" t="s">
        <v>9</v>
      </c>
      <c r="AL344" s="4" t="s">
        <v>2301</v>
      </c>
      <c r="AM344" s="2" t="s">
        <v>1703</v>
      </c>
      <c r="AN344" s="4"/>
      <c r="AP344" s="4"/>
      <c r="AQ344" s="4"/>
      <c r="AS344" s="4">
        <v>0</v>
      </c>
      <c r="AT344" s="4">
        <v>0</v>
      </c>
      <c r="AU344" s="4">
        <v>0</v>
      </c>
      <c r="AV344" s="4">
        <v>0</v>
      </c>
      <c r="AW344" s="4">
        <v>1</v>
      </c>
      <c r="AX344" s="4">
        <v>0</v>
      </c>
      <c r="AZ344" s="2" t="s">
        <v>60</v>
      </c>
    </row>
    <row r="345" spans="2:52" x14ac:dyDescent="0.15">
      <c r="B345" s="2" t="s">
        <v>1178</v>
      </c>
      <c r="C345" s="2" t="s">
        <v>1679</v>
      </c>
      <c r="D345" s="2" t="s">
        <v>27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27</v>
      </c>
      <c r="H345" s="4" t="str">
        <f>VLOOKUP(G345,corpsSet!$B$5:$C$46,2,0)</f>
        <v>曹操</v>
      </c>
      <c r="I345" s="4" t="s">
        <v>17</v>
      </c>
      <c r="J345" s="4" t="str">
        <f>VLOOKUP(I345,citySet!$B$5:$C$46,2,0)</f>
        <v>许昌</v>
      </c>
      <c r="K345" s="2" t="s">
        <v>1668</v>
      </c>
      <c r="L345" s="2" t="s">
        <v>1708</v>
      </c>
      <c r="M345" s="2" t="s">
        <v>1709</v>
      </c>
      <c r="N345" s="4"/>
      <c r="O345" s="2" t="s">
        <v>228</v>
      </c>
      <c r="P345" s="2" t="s">
        <v>228</v>
      </c>
      <c r="Q345" s="4">
        <v>0</v>
      </c>
      <c r="R345" s="2" t="s">
        <v>370</v>
      </c>
      <c r="S345" s="2" t="s">
        <v>380</v>
      </c>
      <c r="T345" s="2" t="s">
        <v>578</v>
      </c>
      <c r="U345" s="2" t="s">
        <v>556</v>
      </c>
      <c r="V345" s="2" t="s">
        <v>200</v>
      </c>
      <c r="W345" s="4">
        <v>1</v>
      </c>
      <c r="X345" s="2" t="s">
        <v>365</v>
      </c>
      <c r="Y345" s="4">
        <v>0</v>
      </c>
      <c r="Z345" s="4" t="s">
        <v>39</v>
      </c>
      <c r="AA345" s="2" t="s">
        <v>134</v>
      </c>
      <c r="AB345" s="2" t="s">
        <v>837</v>
      </c>
      <c r="AC345" s="2" t="s">
        <v>367</v>
      </c>
      <c r="AD345" s="4">
        <v>68</v>
      </c>
      <c r="AE345" s="2" t="s">
        <v>374</v>
      </c>
      <c r="AF345" s="2" t="s">
        <v>123</v>
      </c>
      <c r="AG345" s="2" t="s">
        <v>230</v>
      </c>
      <c r="AH345" s="2" t="s">
        <v>185</v>
      </c>
      <c r="AI345" s="2" t="s">
        <v>1403</v>
      </c>
      <c r="AJ345" s="4"/>
      <c r="AK345" s="2" t="s">
        <v>1586</v>
      </c>
      <c r="AL345" s="4"/>
      <c r="AN345" s="4"/>
      <c r="AP345" s="4"/>
      <c r="AQ345" s="4"/>
      <c r="AS345" s="4">
        <v>2</v>
      </c>
      <c r="AT345" s="4">
        <v>1</v>
      </c>
      <c r="AU345" s="4">
        <v>1</v>
      </c>
      <c r="AV345" s="4">
        <v>3</v>
      </c>
      <c r="AW345" s="4">
        <v>0</v>
      </c>
      <c r="AX345" s="4">
        <v>0</v>
      </c>
      <c r="AZ345" s="2" t="s">
        <v>60</v>
      </c>
    </row>
    <row r="346" spans="2:52" x14ac:dyDescent="0.15">
      <c r="B346" s="2" t="s">
        <v>433</v>
      </c>
      <c r="C346" s="2" t="s">
        <v>1710</v>
      </c>
      <c r="D346" s="2" t="s">
        <v>27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27</v>
      </c>
      <c r="H346" s="4" t="str">
        <f>VLOOKUP(G346,corpsSet!$B$5:$C$46,2,0)</f>
        <v>曹操</v>
      </c>
      <c r="I346" s="4" t="s">
        <v>17</v>
      </c>
      <c r="J346" s="4" t="str">
        <f>VLOOKUP(I346,citySet!$B$5:$C$46,2,0)</f>
        <v>许昌</v>
      </c>
      <c r="K346" s="2" t="s">
        <v>1668</v>
      </c>
      <c r="L346" s="2" t="s">
        <v>1711</v>
      </c>
      <c r="M346" s="2" t="s">
        <v>1712</v>
      </c>
      <c r="N346" s="4"/>
      <c r="O346" s="2" t="s">
        <v>193</v>
      </c>
      <c r="P346" s="2" t="s">
        <v>193</v>
      </c>
      <c r="Q346" s="4">
        <v>0</v>
      </c>
      <c r="R346" s="2" t="s">
        <v>370</v>
      </c>
      <c r="S346" s="2" t="s">
        <v>544</v>
      </c>
      <c r="T346" s="2" t="s">
        <v>518</v>
      </c>
      <c r="U346" s="2" t="s">
        <v>489</v>
      </c>
      <c r="V346" s="2" t="s">
        <v>196</v>
      </c>
      <c r="W346" s="4">
        <v>1</v>
      </c>
      <c r="X346" s="2" t="s">
        <v>365</v>
      </c>
      <c r="Y346" s="4">
        <v>2</v>
      </c>
      <c r="Z346" s="4" t="s">
        <v>443</v>
      </c>
      <c r="AA346" s="2" t="s">
        <v>134</v>
      </c>
      <c r="AB346" s="2" t="s">
        <v>78</v>
      </c>
      <c r="AC346" s="2" t="s">
        <v>258</v>
      </c>
      <c r="AD346" s="4">
        <v>56</v>
      </c>
      <c r="AE346" s="2" t="s">
        <v>102</v>
      </c>
      <c r="AF346" s="2" t="s">
        <v>434</v>
      </c>
      <c r="AG346" s="2" t="s">
        <v>336</v>
      </c>
      <c r="AH346" s="2" t="s">
        <v>185</v>
      </c>
      <c r="AI346" s="2" t="s">
        <v>1403</v>
      </c>
      <c r="AJ346" s="4"/>
      <c r="AK346" s="2" t="s">
        <v>1699</v>
      </c>
      <c r="AL346" s="4"/>
      <c r="AN346" s="4"/>
      <c r="AP346" s="4"/>
      <c r="AQ346" s="4"/>
      <c r="AS346" s="4">
        <v>2</v>
      </c>
      <c r="AT346" s="4">
        <v>3</v>
      </c>
      <c r="AU346" s="4">
        <v>0</v>
      </c>
      <c r="AV346" s="4">
        <v>2</v>
      </c>
      <c r="AW346" s="4">
        <v>0</v>
      </c>
      <c r="AX346" s="4">
        <v>0</v>
      </c>
      <c r="AZ346" s="2" t="s">
        <v>60</v>
      </c>
    </row>
    <row r="347" spans="2:52" x14ac:dyDescent="0.15">
      <c r="B347" s="2" t="s">
        <v>1403</v>
      </c>
      <c r="C347" s="2" t="s">
        <v>1713</v>
      </c>
      <c r="D347" s="2" t="s">
        <v>24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24</v>
      </c>
      <c r="H347" s="4" t="str">
        <f>VLOOKUP(G347,corpsSet!$B$5:$C$46,2,0)</f>
        <v>吕布</v>
      </c>
      <c r="I347" s="4" t="s">
        <v>29</v>
      </c>
      <c r="J347" s="4" t="str">
        <f>VLOOKUP(I347,citySet!$B$5:$C$46,2,0)</f>
        <v>下邳</v>
      </c>
      <c r="K347" s="2" t="s">
        <v>1668</v>
      </c>
      <c r="L347" s="2" t="s">
        <v>1714</v>
      </c>
      <c r="N347" s="4"/>
      <c r="O347" s="2" t="s">
        <v>1480</v>
      </c>
      <c r="P347" s="2" t="s">
        <v>1480</v>
      </c>
      <c r="Q347" s="4">
        <v>0</v>
      </c>
      <c r="R347" s="2" t="s">
        <v>370</v>
      </c>
      <c r="S347" s="2" t="s">
        <v>435</v>
      </c>
      <c r="T347" s="2" t="s">
        <v>478</v>
      </c>
      <c r="U347" s="2" t="s">
        <v>94</v>
      </c>
      <c r="V347" s="2" t="s">
        <v>719</v>
      </c>
      <c r="W347" s="4">
        <v>1</v>
      </c>
      <c r="X347" s="2" t="s">
        <v>365</v>
      </c>
      <c r="Y347" s="4">
        <v>0</v>
      </c>
      <c r="Z347" s="4" t="s">
        <v>39</v>
      </c>
      <c r="AA347" s="2" t="s">
        <v>403</v>
      </c>
      <c r="AB347" s="2" t="s">
        <v>3</v>
      </c>
      <c r="AC347" s="2" t="s">
        <v>367</v>
      </c>
      <c r="AD347" s="4">
        <v>38</v>
      </c>
      <c r="AE347" s="2" t="s">
        <v>204</v>
      </c>
      <c r="AF347" s="2" t="s">
        <v>21</v>
      </c>
      <c r="AG347" s="2" t="s">
        <v>991</v>
      </c>
      <c r="AH347" s="2" t="s">
        <v>185</v>
      </c>
      <c r="AI347" s="2" t="s">
        <v>433</v>
      </c>
      <c r="AJ347" s="4"/>
      <c r="AL347" s="4"/>
      <c r="AN347" s="4"/>
      <c r="AP347" s="4"/>
      <c r="AQ347" s="4"/>
      <c r="AS347" s="4">
        <v>0</v>
      </c>
      <c r="AT347" s="4">
        <v>0</v>
      </c>
      <c r="AU347" s="4">
        <v>2</v>
      </c>
      <c r="AV347" s="4">
        <v>1</v>
      </c>
      <c r="AW347" s="4">
        <v>0</v>
      </c>
      <c r="AX347" s="4">
        <v>0</v>
      </c>
      <c r="AZ347" s="2" t="s">
        <v>60</v>
      </c>
    </row>
    <row r="348" spans="2:52" x14ac:dyDescent="0.15">
      <c r="B348" s="2" t="s">
        <v>511</v>
      </c>
      <c r="C348" s="2" t="s">
        <v>9</v>
      </c>
      <c r="D348" s="2" t="s">
        <v>27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27</v>
      </c>
      <c r="H348" s="4" t="str">
        <f>VLOOKUP(G348,corpsSet!$B$5:$C$46,2,0)</f>
        <v>曹操</v>
      </c>
      <c r="I348" s="4" t="s">
        <v>17</v>
      </c>
      <c r="J348" s="4" t="str">
        <f>VLOOKUP(I348,citySet!$B$5:$C$46,2,0)</f>
        <v>许昌</v>
      </c>
      <c r="K348" s="2" t="s">
        <v>1668</v>
      </c>
      <c r="L348" s="2" t="s">
        <v>1717</v>
      </c>
      <c r="M348" s="2" t="s">
        <v>1718</v>
      </c>
      <c r="N348" s="4"/>
      <c r="O348" s="2" t="s">
        <v>93</v>
      </c>
      <c r="P348" s="2" t="s">
        <v>93</v>
      </c>
      <c r="Q348" s="4">
        <v>0</v>
      </c>
      <c r="R348" s="2" t="s">
        <v>370</v>
      </c>
      <c r="S348" s="2" t="s">
        <v>435</v>
      </c>
      <c r="T348" s="2" t="s">
        <v>524</v>
      </c>
      <c r="U348" s="2" t="s">
        <v>456</v>
      </c>
      <c r="V348" s="2" t="s">
        <v>196</v>
      </c>
      <c r="W348" s="4">
        <v>3</v>
      </c>
      <c r="X348" s="2" t="s">
        <v>2</v>
      </c>
      <c r="Y348" s="4">
        <v>0</v>
      </c>
      <c r="Z348" s="4" t="s">
        <v>39</v>
      </c>
      <c r="AA348" s="2" t="s">
        <v>185</v>
      </c>
      <c r="AB348" s="2" t="s">
        <v>195</v>
      </c>
      <c r="AC348" s="2" t="s">
        <v>374</v>
      </c>
      <c r="AD348" s="4">
        <v>91</v>
      </c>
      <c r="AE348" s="2" t="s">
        <v>175</v>
      </c>
      <c r="AF348" s="2" t="s">
        <v>195</v>
      </c>
      <c r="AG348" s="2" t="s">
        <v>1715</v>
      </c>
      <c r="AH348" s="2" t="s">
        <v>185</v>
      </c>
      <c r="AI348" s="2" t="s">
        <v>1403</v>
      </c>
      <c r="AJ348" s="4"/>
      <c r="AK348" s="2" t="s">
        <v>1716</v>
      </c>
      <c r="AL348" s="4"/>
      <c r="AN348" s="4" t="s">
        <v>2301</v>
      </c>
      <c r="AO348" s="2" t="s">
        <v>1703</v>
      </c>
      <c r="AP348" s="4"/>
      <c r="AQ348" s="4"/>
      <c r="AS348" s="4">
        <v>3</v>
      </c>
      <c r="AT348" s="4">
        <v>3</v>
      </c>
      <c r="AU348" s="4">
        <v>2</v>
      </c>
      <c r="AV348" s="4">
        <v>2</v>
      </c>
      <c r="AW348" s="4">
        <v>1</v>
      </c>
      <c r="AX348" s="4">
        <v>0</v>
      </c>
      <c r="AZ348" s="2" t="s">
        <v>60</v>
      </c>
    </row>
    <row r="349" spans="2:52" x14ac:dyDescent="0.15">
      <c r="B349" s="2" t="s">
        <v>1412</v>
      </c>
      <c r="C349" s="2" t="s">
        <v>1719</v>
      </c>
      <c r="D349" s="2" t="s">
        <v>27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27</v>
      </c>
      <c r="H349" s="4" t="str">
        <f>VLOOKUP(G349,corpsSet!$B$5:$C$46,2,0)</f>
        <v>曹操</v>
      </c>
      <c r="I349" s="4" t="s">
        <v>17</v>
      </c>
      <c r="J349" s="4" t="str">
        <f>VLOOKUP(I349,citySet!$B$5:$C$46,2,0)</f>
        <v>许昌</v>
      </c>
      <c r="K349" s="2" t="s">
        <v>1668</v>
      </c>
      <c r="L349" s="2" t="s">
        <v>1720</v>
      </c>
      <c r="M349" s="2" t="s">
        <v>1721</v>
      </c>
      <c r="N349" s="4"/>
      <c r="O349" s="2" t="s">
        <v>403</v>
      </c>
      <c r="P349" s="2" t="s">
        <v>403</v>
      </c>
      <c r="Q349" s="4">
        <v>0</v>
      </c>
      <c r="R349" s="2" t="s">
        <v>370</v>
      </c>
      <c r="S349" s="2" t="s">
        <v>437</v>
      </c>
      <c r="T349" s="2" t="s">
        <v>505</v>
      </c>
      <c r="U349" s="2" t="s">
        <v>732</v>
      </c>
      <c r="V349" s="2" t="s">
        <v>105</v>
      </c>
      <c r="W349" s="4">
        <v>1</v>
      </c>
      <c r="X349" s="2" t="s">
        <v>365</v>
      </c>
      <c r="Y349" s="4">
        <v>0</v>
      </c>
      <c r="Z349" s="4" t="s">
        <v>39</v>
      </c>
      <c r="AA349" s="2" t="s">
        <v>134</v>
      </c>
      <c r="AB349" s="2" t="s">
        <v>21</v>
      </c>
      <c r="AC349" s="2" t="s">
        <v>95</v>
      </c>
      <c r="AD349" s="4">
        <v>30</v>
      </c>
      <c r="AE349" s="2" t="s">
        <v>404</v>
      </c>
      <c r="AF349" s="2" t="s">
        <v>7</v>
      </c>
      <c r="AG349" s="2" t="s">
        <v>702</v>
      </c>
      <c r="AH349" s="2" t="s">
        <v>185</v>
      </c>
      <c r="AI349" s="2" t="s">
        <v>1403</v>
      </c>
      <c r="AJ349" s="4" t="s">
        <v>1178</v>
      </c>
      <c r="AK349" s="2" t="s">
        <v>1679</v>
      </c>
      <c r="AL349" s="4"/>
      <c r="AN349" s="4"/>
      <c r="AP349" s="4"/>
      <c r="AQ349" s="4"/>
      <c r="AS349" s="4">
        <v>0</v>
      </c>
      <c r="AT349" s="4">
        <v>0</v>
      </c>
      <c r="AU349" s="4">
        <v>0</v>
      </c>
      <c r="AV349" s="4">
        <v>1</v>
      </c>
      <c r="AW349" s="4">
        <v>0</v>
      </c>
      <c r="AX349" s="4">
        <v>0</v>
      </c>
      <c r="AZ349" s="2" t="s">
        <v>60</v>
      </c>
    </row>
    <row r="350" spans="2:52" x14ac:dyDescent="0.15">
      <c r="B350" s="2" t="s">
        <v>1307</v>
      </c>
      <c r="C350" s="2" t="s">
        <v>1722</v>
      </c>
      <c r="D350" s="2" t="s">
        <v>27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27</v>
      </c>
      <c r="H350" s="4" t="str">
        <f>VLOOKUP(G350,corpsSet!$B$5:$C$46,2,0)</f>
        <v>曹操</v>
      </c>
      <c r="I350" s="4" t="s">
        <v>17</v>
      </c>
      <c r="J350" s="4" t="str">
        <f>VLOOKUP(I350,citySet!$B$5:$C$46,2,0)</f>
        <v>许昌</v>
      </c>
      <c r="K350" s="2" t="s">
        <v>1668</v>
      </c>
      <c r="L350" s="2" t="s">
        <v>1723</v>
      </c>
      <c r="M350" s="2" t="s">
        <v>1724</v>
      </c>
      <c r="N350" s="4"/>
      <c r="O350" s="2" t="s">
        <v>733</v>
      </c>
      <c r="P350" s="2" t="s">
        <v>733</v>
      </c>
      <c r="Q350" s="4">
        <v>0</v>
      </c>
      <c r="R350" s="2" t="s">
        <v>370</v>
      </c>
      <c r="S350" s="2" t="s">
        <v>505</v>
      </c>
      <c r="T350" s="2" t="s">
        <v>327</v>
      </c>
      <c r="U350" s="2" t="s">
        <v>406</v>
      </c>
      <c r="V350" s="2" t="s">
        <v>196</v>
      </c>
      <c r="W350" s="4">
        <v>1</v>
      </c>
      <c r="X350" s="2" t="s">
        <v>365</v>
      </c>
      <c r="Y350" s="4">
        <v>0</v>
      </c>
      <c r="Z350" s="4" t="s">
        <v>39</v>
      </c>
      <c r="AA350" s="2" t="s">
        <v>134</v>
      </c>
      <c r="AB350" s="2" t="s">
        <v>213</v>
      </c>
      <c r="AC350" s="2" t="s">
        <v>107</v>
      </c>
      <c r="AD350" s="4">
        <v>85</v>
      </c>
      <c r="AE350" s="2" t="s">
        <v>88</v>
      </c>
      <c r="AF350" s="2" t="s">
        <v>397</v>
      </c>
      <c r="AG350" s="2" t="s">
        <v>1019</v>
      </c>
      <c r="AH350" s="2" t="s">
        <v>185</v>
      </c>
      <c r="AI350" s="2" t="s">
        <v>1403</v>
      </c>
      <c r="AJ350" s="4" t="s">
        <v>511</v>
      </c>
      <c r="AK350" s="2" t="s">
        <v>9</v>
      </c>
      <c r="AL350" s="4"/>
      <c r="AN350" s="4"/>
      <c r="AP350" s="4"/>
      <c r="AQ350" s="4"/>
      <c r="AS350" s="4">
        <v>0</v>
      </c>
      <c r="AT350" s="4">
        <v>0</v>
      </c>
      <c r="AU350" s="4">
        <v>0</v>
      </c>
      <c r="AV350" s="4">
        <v>0</v>
      </c>
      <c r="AW350" s="4">
        <v>2</v>
      </c>
      <c r="AX350" s="4">
        <v>1</v>
      </c>
      <c r="AZ350" s="2" t="s">
        <v>60</v>
      </c>
    </row>
    <row r="351" spans="2:52" x14ac:dyDescent="0.15">
      <c r="B351" s="2" t="s">
        <v>615</v>
      </c>
      <c r="C351" s="2" t="s">
        <v>1725</v>
      </c>
      <c r="D351" s="2" t="s">
        <v>105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105</v>
      </c>
      <c r="H351" s="4" t="str">
        <f>VLOOKUP(G351,corpsSet!$B$5:$C$46,2,0)</f>
        <v>陶谦</v>
      </c>
      <c r="I351" s="4" t="s">
        <v>32</v>
      </c>
      <c r="J351" s="4" t="str">
        <f>VLOOKUP(I351,citySet!$B$5:$C$46,2,0)</f>
        <v>小沛</v>
      </c>
      <c r="K351" s="2" t="s">
        <v>1726</v>
      </c>
      <c r="L351" s="2" t="s">
        <v>879</v>
      </c>
      <c r="M351" s="2" t="s">
        <v>1727</v>
      </c>
      <c r="N351" s="4"/>
      <c r="O351" s="2" t="s">
        <v>590</v>
      </c>
      <c r="P351" s="2" t="s">
        <v>590</v>
      </c>
      <c r="Q351" s="4">
        <v>0</v>
      </c>
      <c r="R351" s="2" t="s">
        <v>370</v>
      </c>
      <c r="S351" s="2" t="s">
        <v>435</v>
      </c>
      <c r="T351" s="2" t="s">
        <v>499</v>
      </c>
      <c r="U351" s="2" t="s">
        <v>556</v>
      </c>
      <c r="V351" s="2" t="s">
        <v>103</v>
      </c>
      <c r="W351" s="4">
        <v>1</v>
      </c>
      <c r="X351" s="2" t="s">
        <v>365</v>
      </c>
      <c r="Y351" s="4">
        <v>3</v>
      </c>
      <c r="Z351" s="4" t="s">
        <v>696</v>
      </c>
      <c r="AA351" s="2" t="s">
        <v>413</v>
      </c>
      <c r="AB351" s="2" t="s">
        <v>367</v>
      </c>
      <c r="AC351" s="2" t="s">
        <v>481</v>
      </c>
      <c r="AD351" s="4">
        <v>52</v>
      </c>
      <c r="AE351" s="2" t="s">
        <v>201</v>
      </c>
      <c r="AF351" s="2" t="s">
        <v>515</v>
      </c>
      <c r="AG351" s="2" t="s">
        <v>1188</v>
      </c>
      <c r="AH351" s="2" t="s">
        <v>185</v>
      </c>
      <c r="AI351" s="2" t="s">
        <v>1307</v>
      </c>
      <c r="AJ351" s="4"/>
      <c r="AL351" s="4"/>
      <c r="AN351" s="4"/>
      <c r="AP351" s="4"/>
      <c r="AQ351" s="4"/>
      <c r="AS351" s="4">
        <v>2</v>
      </c>
      <c r="AT351" s="4">
        <v>1</v>
      </c>
      <c r="AU351" s="4">
        <v>0</v>
      </c>
      <c r="AV351" s="4">
        <v>2</v>
      </c>
      <c r="AW351" s="4">
        <v>0</v>
      </c>
      <c r="AX351" s="4">
        <v>0</v>
      </c>
      <c r="AZ351" s="2" t="s">
        <v>60</v>
      </c>
    </row>
    <row r="352" spans="2:52" x14ac:dyDescent="0.15">
      <c r="B352" s="2" t="s">
        <v>1437</v>
      </c>
      <c r="C352" s="2" t="s">
        <v>1672</v>
      </c>
      <c r="D352" s="2" t="s">
        <v>27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27</v>
      </c>
      <c r="H352" s="4" t="str">
        <f>VLOOKUP(G352,corpsSet!$B$5:$C$46,2,0)</f>
        <v>曹操</v>
      </c>
      <c r="I352" s="4" t="s">
        <v>17</v>
      </c>
      <c r="J352" s="4" t="str">
        <f>VLOOKUP(I352,citySet!$B$5:$C$46,2,0)</f>
        <v>许昌</v>
      </c>
      <c r="K352" s="2" t="s">
        <v>1668</v>
      </c>
      <c r="L352" s="2" t="s">
        <v>1728</v>
      </c>
      <c r="M352" s="2" t="s">
        <v>1729</v>
      </c>
      <c r="N352" s="4"/>
      <c r="O352" s="2" t="s">
        <v>269</v>
      </c>
      <c r="P352" s="2" t="s">
        <v>269</v>
      </c>
      <c r="Q352" s="4">
        <v>0</v>
      </c>
      <c r="R352" s="2" t="s">
        <v>370</v>
      </c>
      <c r="S352" s="2" t="s">
        <v>950</v>
      </c>
      <c r="T352" s="2" t="s">
        <v>544</v>
      </c>
      <c r="U352" s="2" t="s">
        <v>395</v>
      </c>
      <c r="V352" s="2" t="s">
        <v>200</v>
      </c>
      <c r="W352" s="4">
        <v>1</v>
      </c>
      <c r="X352" s="2" t="s">
        <v>365</v>
      </c>
      <c r="Y352" s="4">
        <v>0</v>
      </c>
      <c r="Z352" s="4" t="s">
        <v>39</v>
      </c>
      <c r="AA352" s="2" t="s">
        <v>134</v>
      </c>
      <c r="AB352" s="2" t="s">
        <v>153</v>
      </c>
      <c r="AC352" s="2" t="s">
        <v>515</v>
      </c>
      <c r="AD352" s="4">
        <v>83</v>
      </c>
      <c r="AE352" s="2" t="s">
        <v>258</v>
      </c>
      <c r="AF352" s="2" t="s">
        <v>554</v>
      </c>
      <c r="AG352" s="2" t="s">
        <v>1358</v>
      </c>
      <c r="AH352" s="2" t="s">
        <v>185</v>
      </c>
      <c r="AI352" s="2" t="s">
        <v>1403</v>
      </c>
      <c r="AJ352" s="4" t="s">
        <v>511</v>
      </c>
      <c r="AK352" s="2" t="s">
        <v>9</v>
      </c>
      <c r="AL352" s="4" t="s">
        <v>2301</v>
      </c>
      <c r="AM352" s="2" t="s">
        <v>1703</v>
      </c>
      <c r="AN352" s="4">
        <v>31</v>
      </c>
      <c r="AO352" s="2" t="s">
        <v>1585</v>
      </c>
      <c r="AP352" s="4"/>
      <c r="AQ352" s="4"/>
      <c r="AS352" s="4">
        <v>1</v>
      </c>
      <c r="AT352" s="4">
        <v>1</v>
      </c>
      <c r="AU352" s="4">
        <v>2</v>
      </c>
      <c r="AV352" s="4">
        <v>1</v>
      </c>
      <c r="AW352" s="4">
        <v>0</v>
      </c>
      <c r="AX352" s="4">
        <v>0</v>
      </c>
      <c r="AZ352" s="2" t="s">
        <v>60</v>
      </c>
    </row>
    <row r="353" spans="2:52" x14ac:dyDescent="0.15">
      <c r="B353" s="2" t="s">
        <v>516</v>
      </c>
      <c r="C353" s="2" t="s">
        <v>1730</v>
      </c>
      <c r="D353" s="2" t="s">
        <v>105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105</v>
      </c>
      <c r="H353" s="4" t="str">
        <f>VLOOKUP(G353,corpsSet!$B$5:$C$46,2,0)</f>
        <v>陶谦</v>
      </c>
      <c r="I353" s="4" t="s">
        <v>32</v>
      </c>
      <c r="J353" s="4" t="str">
        <f>VLOOKUP(I353,citySet!$B$5:$C$46,2,0)</f>
        <v>小沛</v>
      </c>
      <c r="K353" s="2" t="s">
        <v>1668</v>
      </c>
      <c r="L353" s="2" t="s">
        <v>1731</v>
      </c>
      <c r="N353" s="4"/>
      <c r="O353" s="2" t="s">
        <v>597</v>
      </c>
      <c r="P353" s="2" t="s">
        <v>597</v>
      </c>
      <c r="Q353" s="4">
        <v>0</v>
      </c>
      <c r="R353" s="2" t="s">
        <v>370</v>
      </c>
      <c r="S353" s="2" t="s">
        <v>435</v>
      </c>
      <c r="T353" s="2" t="s">
        <v>634</v>
      </c>
      <c r="U353" s="2" t="s">
        <v>327</v>
      </c>
      <c r="V353" s="2" t="s">
        <v>391</v>
      </c>
      <c r="W353" s="4">
        <v>1</v>
      </c>
      <c r="X353" s="2" t="s">
        <v>365</v>
      </c>
      <c r="Y353" s="4">
        <v>1</v>
      </c>
      <c r="Z353" s="4" t="s">
        <v>1243</v>
      </c>
      <c r="AA353" s="2" t="s">
        <v>185</v>
      </c>
      <c r="AB353" s="2" t="s">
        <v>3</v>
      </c>
      <c r="AC353" s="2" t="s">
        <v>454</v>
      </c>
      <c r="AD353" s="4">
        <v>32</v>
      </c>
      <c r="AE353" s="2" t="s">
        <v>107</v>
      </c>
      <c r="AF353" s="2" t="s">
        <v>200</v>
      </c>
      <c r="AG353" s="2" t="s">
        <v>536</v>
      </c>
      <c r="AH353" s="2" t="s">
        <v>185</v>
      </c>
      <c r="AI353" s="2" t="s">
        <v>1437</v>
      </c>
      <c r="AJ353" s="4"/>
      <c r="AL353" s="4"/>
      <c r="AN353" s="4"/>
      <c r="AP353" s="4"/>
      <c r="AQ353" s="4"/>
      <c r="AS353" s="4">
        <v>1</v>
      </c>
      <c r="AT353" s="4">
        <v>0</v>
      </c>
      <c r="AU353" s="4">
        <v>1</v>
      </c>
      <c r="AV353" s="4">
        <v>1</v>
      </c>
      <c r="AW353" s="4">
        <v>0</v>
      </c>
      <c r="AX353" s="4">
        <v>0</v>
      </c>
      <c r="AZ353" s="2" t="s">
        <v>60</v>
      </c>
    </row>
    <row r="354" spans="2:52" x14ac:dyDescent="0.15">
      <c r="B354" s="2" t="s">
        <v>1485</v>
      </c>
      <c r="C354" s="2" t="s">
        <v>1732</v>
      </c>
      <c r="D354" s="2" t="s">
        <v>27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27</v>
      </c>
      <c r="H354" s="4" t="str">
        <f>VLOOKUP(G354,corpsSet!$B$5:$C$46,2,0)</f>
        <v>曹操</v>
      </c>
      <c r="I354" s="4" t="s">
        <v>17</v>
      </c>
      <c r="J354" s="4" t="str">
        <f>VLOOKUP(I354,citySet!$B$5:$C$46,2,0)</f>
        <v>许昌</v>
      </c>
      <c r="K354" s="2" t="s">
        <v>1668</v>
      </c>
      <c r="L354" s="2" t="s">
        <v>1733</v>
      </c>
      <c r="M354" s="2" t="s">
        <v>1734</v>
      </c>
      <c r="N354" s="4"/>
      <c r="O354" s="2" t="s">
        <v>405</v>
      </c>
      <c r="P354" s="2" t="s">
        <v>405</v>
      </c>
      <c r="Q354" s="4">
        <v>0</v>
      </c>
      <c r="R354" s="2" t="s">
        <v>370</v>
      </c>
      <c r="S354" s="2" t="s">
        <v>427</v>
      </c>
      <c r="T354" s="2" t="s">
        <v>991</v>
      </c>
      <c r="U354" s="2" t="s">
        <v>1046</v>
      </c>
      <c r="V354" s="2" t="s">
        <v>200</v>
      </c>
      <c r="W354" s="4">
        <v>1</v>
      </c>
      <c r="X354" s="2" t="s">
        <v>365</v>
      </c>
      <c r="Y354" s="4">
        <v>0</v>
      </c>
      <c r="Z354" s="4" t="s">
        <v>39</v>
      </c>
      <c r="AA354" s="2" t="s">
        <v>134</v>
      </c>
      <c r="AB354" s="2" t="s">
        <v>33</v>
      </c>
      <c r="AC354" s="2" t="s">
        <v>31</v>
      </c>
      <c r="AD354" s="4">
        <v>27</v>
      </c>
      <c r="AE354" s="2" t="s">
        <v>414</v>
      </c>
      <c r="AF354" s="2" t="s">
        <v>374</v>
      </c>
      <c r="AG354" s="2" t="s">
        <v>524</v>
      </c>
      <c r="AH354" s="2" t="s">
        <v>185</v>
      </c>
      <c r="AI354" s="2" t="s">
        <v>1403</v>
      </c>
      <c r="AJ354" s="4" t="s">
        <v>1199</v>
      </c>
      <c r="AK354" s="2" t="s">
        <v>1670</v>
      </c>
      <c r="AL354" s="4"/>
      <c r="AN354" s="4"/>
      <c r="AP354" s="4"/>
      <c r="AQ354" s="4"/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Z354" s="2" t="s">
        <v>60</v>
      </c>
    </row>
    <row r="355" spans="2:52" x14ac:dyDescent="0.15">
      <c r="B355" s="2" t="s">
        <v>799</v>
      </c>
      <c r="C355" s="2" t="s">
        <v>1735</v>
      </c>
      <c r="D355" s="2" t="s">
        <v>27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27</v>
      </c>
      <c r="H355" s="4" t="str">
        <f>VLOOKUP(G355,corpsSet!$B$5:$C$46,2,0)</f>
        <v>曹操</v>
      </c>
      <c r="I355" s="4" t="s">
        <v>17</v>
      </c>
      <c r="J355" s="4" t="str">
        <f>VLOOKUP(I355,citySet!$B$5:$C$46,2,0)</f>
        <v>许昌</v>
      </c>
      <c r="K355" s="2" t="s">
        <v>1668</v>
      </c>
      <c r="L355" s="2" t="s">
        <v>1737</v>
      </c>
      <c r="M355" s="2" t="s">
        <v>1738</v>
      </c>
      <c r="N355" s="4"/>
      <c r="O355" s="2" t="s">
        <v>1092</v>
      </c>
      <c r="P355" s="2" t="s">
        <v>1092</v>
      </c>
      <c r="Q355" s="4">
        <v>0</v>
      </c>
      <c r="R355" s="2" t="s">
        <v>370</v>
      </c>
      <c r="S355" s="2" t="s">
        <v>548</v>
      </c>
      <c r="T355" s="2" t="s">
        <v>1136</v>
      </c>
      <c r="U355" s="2" t="s">
        <v>408</v>
      </c>
      <c r="V355" s="2" t="s">
        <v>193</v>
      </c>
      <c r="W355" s="4">
        <v>1</v>
      </c>
      <c r="X355" s="2" t="s">
        <v>365</v>
      </c>
      <c r="Y355" s="4">
        <v>0</v>
      </c>
      <c r="Z355" s="4" t="s">
        <v>39</v>
      </c>
      <c r="AA355" s="2" t="s">
        <v>134</v>
      </c>
      <c r="AB355" s="2" t="s">
        <v>3</v>
      </c>
      <c r="AC355" s="2" t="s">
        <v>269</v>
      </c>
      <c r="AD355" s="4">
        <v>59</v>
      </c>
      <c r="AE355" s="2" t="s">
        <v>481</v>
      </c>
      <c r="AF355" s="2" t="s">
        <v>329</v>
      </c>
      <c r="AG355" s="2" t="s">
        <v>1199</v>
      </c>
      <c r="AH355" s="2" t="s">
        <v>185</v>
      </c>
      <c r="AI355" s="2" t="s">
        <v>1403</v>
      </c>
      <c r="AJ355" s="4"/>
      <c r="AK355" s="2" t="s">
        <v>1736</v>
      </c>
      <c r="AL355" s="4"/>
      <c r="AN355" s="4"/>
      <c r="AP355" s="4"/>
      <c r="AQ355" s="4"/>
      <c r="AS355" s="4">
        <v>2</v>
      </c>
      <c r="AT355" s="4">
        <v>0</v>
      </c>
      <c r="AU355" s="4">
        <v>0</v>
      </c>
      <c r="AV355" s="4">
        <v>1</v>
      </c>
      <c r="AW355" s="4">
        <v>0</v>
      </c>
      <c r="AX355" s="4">
        <v>0</v>
      </c>
      <c r="AZ355" s="2" t="s">
        <v>60</v>
      </c>
    </row>
    <row r="356" spans="2:52" x14ac:dyDescent="0.15">
      <c r="B356" s="2" t="s">
        <v>1419</v>
      </c>
      <c r="C356" s="2" t="s">
        <v>1739</v>
      </c>
      <c r="D356" s="2" t="s">
        <v>27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27</v>
      </c>
      <c r="H356" s="4" t="str">
        <f>VLOOKUP(G356,corpsSet!$B$5:$C$46,2,0)</f>
        <v>曹操</v>
      </c>
      <c r="I356" s="4" t="s">
        <v>17</v>
      </c>
      <c r="J356" s="4" t="str">
        <f>VLOOKUP(I356,citySet!$B$5:$C$46,2,0)</f>
        <v>许昌</v>
      </c>
      <c r="K356" s="2" t="s">
        <v>1668</v>
      </c>
      <c r="L356" s="2" t="s">
        <v>1740</v>
      </c>
      <c r="N356" s="4"/>
      <c r="O356" s="2" t="s">
        <v>1046</v>
      </c>
      <c r="P356" s="2" t="s">
        <v>1046</v>
      </c>
      <c r="Q356" s="4">
        <v>0</v>
      </c>
      <c r="R356" s="2" t="s">
        <v>370</v>
      </c>
      <c r="S356" s="2" t="s">
        <v>490</v>
      </c>
      <c r="T356" s="2" t="s">
        <v>407</v>
      </c>
      <c r="U356" s="2" t="s">
        <v>456</v>
      </c>
      <c r="V356" s="2" t="s">
        <v>196</v>
      </c>
      <c r="W356" s="4">
        <v>1</v>
      </c>
      <c r="X356" s="2" t="s">
        <v>365</v>
      </c>
      <c r="Y356" s="4">
        <v>0</v>
      </c>
      <c r="Z356" s="4" t="s">
        <v>39</v>
      </c>
      <c r="AA356" s="2" t="s">
        <v>134</v>
      </c>
      <c r="AB356" s="2" t="s">
        <v>29</v>
      </c>
      <c r="AC356" s="2" t="s">
        <v>33</v>
      </c>
      <c r="AD356" s="4">
        <v>52</v>
      </c>
      <c r="AE356" s="2" t="s">
        <v>444</v>
      </c>
      <c r="AF356" s="2" t="s">
        <v>321</v>
      </c>
      <c r="AG356" s="2" t="s">
        <v>94</v>
      </c>
      <c r="AH356" s="2" t="s">
        <v>185</v>
      </c>
      <c r="AI356" s="2" t="s">
        <v>1403</v>
      </c>
      <c r="AJ356" s="4" t="s">
        <v>511</v>
      </c>
      <c r="AK356" s="2" t="s">
        <v>9</v>
      </c>
      <c r="AL356" s="4" t="s">
        <v>2301</v>
      </c>
      <c r="AM356" s="2" t="s">
        <v>1703</v>
      </c>
      <c r="AN356" s="4"/>
      <c r="AP356" s="4"/>
      <c r="AQ356" s="4"/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Z356" s="2" t="s">
        <v>60</v>
      </c>
    </row>
    <row r="357" spans="2:52" x14ac:dyDescent="0.15">
      <c r="B357" s="2" t="s">
        <v>336</v>
      </c>
      <c r="C357" s="2" t="s">
        <v>1741</v>
      </c>
      <c r="D357" s="2" t="s">
        <v>8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8</v>
      </c>
      <c r="H357" s="4" t="str">
        <f>VLOOKUP(G357,corpsSet!$B$5:$C$46,2,0)</f>
        <v>韩馥</v>
      </c>
      <c r="I357" s="4" t="s">
        <v>34</v>
      </c>
      <c r="J357" s="4" t="str">
        <f>VLOOKUP(I357,citySet!$B$5:$C$46,2,0)</f>
        <v>邺</v>
      </c>
      <c r="K357" s="2" t="s">
        <v>1743</v>
      </c>
      <c r="L357" s="2" t="s">
        <v>1744</v>
      </c>
      <c r="N357" s="4"/>
      <c r="O357" s="2" t="s">
        <v>1742</v>
      </c>
      <c r="P357" s="2" t="s">
        <v>1742</v>
      </c>
      <c r="Q357" s="4">
        <v>0</v>
      </c>
      <c r="R357" s="2" t="s">
        <v>370</v>
      </c>
      <c r="S357" s="2" t="s">
        <v>94</v>
      </c>
      <c r="T357" s="2" t="s">
        <v>435</v>
      </c>
      <c r="U357" s="2" t="s">
        <v>380</v>
      </c>
      <c r="V357" s="2" t="s">
        <v>195</v>
      </c>
      <c r="W357" s="4">
        <v>1</v>
      </c>
      <c r="X357" s="2" t="s">
        <v>365</v>
      </c>
      <c r="Y357" s="4">
        <v>0</v>
      </c>
      <c r="Z357" s="4" t="s">
        <v>39</v>
      </c>
      <c r="AA357" s="2" t="s">
        <v>413</v>
      </c>
      <c r="AB357" s="2" t="s">
        <v>254</v>
      </c>
      <c r="AC357" s="2" t="s">
        <v>7</v>
      </c>
      <c r="AD357" s="4">
        <v>66</v>
      </c>
      <c r="AE357" s="2" t="s">
        <v>445</v>
      </c>
      <c r="AF357" s="2" t="s">
        <v>374</v>
      </c>
      <c r="AG357" s="2" t="s">
        <v>800</v>
      </c>
      <c r="AH357" s="2" t="s">
        <v>185</v>
      </c>
      <c r="AI357" s="2" t="s">
        <v>336</v>
      </c>
      <c r="AJ357" s="4" t="s">
        <v>1416</v>
      </c>
      <c r="AK357" s="2" t="s">
        <v>157</v>
      </c>
      <c r="AL357" s="4"/>
      <c r="AN357" s="4"/>
      <c r="AP357" s="4"/>
      <c r="AQ357" s="4"/>
      <c r="AS357" s="4">
        <v>0</v>
      </c>
      <c r="AT357" s="4">
        <v>0</v>
      </c>
      <c r="AU357" s="4">
        <v>1</v>
      </c>
      <c r="AV357" s="4">
        <v>1</v>
      </c>
      <c r="AW357" s="4">
        <v>0</v>
      </c>
      <c r="AX357" s="4">
        <v>0</v>
      </c>
      <c r="AZ357" s="2" t="s">
        <v>60</v>
      </c>
    </row>
    <row r="358" spans="2:52" x14ac:dyDescent="0.15">
      <c r="B358" s="2" t="s">
        <v>1416</v>
      </c>
      <c r="C358" s="2" t="s">
        <v>157</v>
      </c>
      <c r="D358" s="2" t="s">
        <v>8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8</v>
      </c>
      <c r="H358" s="4" t="str">
        <f>VLOOKUP(G358,corpsSet!$B$5:$C$46,2,0)</f>
        <v>韩馥</v>
      </c>
      <c r="I358" s="4" t="s">
        <v>34</v>
      </c>
      <c r="J358" s="4" t="str">
        <f>VLOOKUP(I358,citySet!$B$5:$C$46,2,0)</f>
        <v>邺</v>
      </c>
      <c r="K358" s="2" t="s">
        <v>1743</v>
      </c>
      <c r="L358" s="2" t="s">
        <v>1745</v>
      </c>
      <c r="N358" s="4"/>
      <c r="O358" s="2" t="s">
        <v>185</v>
      </c>
      <c r="P358" s="2" t="s">
        <v>185</v>
      </c>
      <c r="Q358" s="4">
        <v>0</v>
      </c>
      <c r="R358" s="2" t="s">
        <v>370</v>
      </c>
      <c r="S358" s="2" t="s">
        <v>435</v>
      </c>
      <c r="T358" s="2" t="s">
        <v>824</v>
      </c>
      <c r="U358" s="2" t="s">
        <v>772</v>
      </c>
      <c r="V358" s="2" t="s">
        <v>195</v>
      </c>
      <c r="W358" s="4">
        <v>1</v>
      </c>
      <c r="X358" s="2" t="s">
        <v>365</v>
      </c>
      <c r="Y358" s="4">
        <v>8</v>
      </c>
      <c r="Z358" s="4" t="s">
        <v>3079</v>
      </c>
      <c r="AA358" s="2" t="s">
        <v>413</v>
      </c>
      <c r="AB358" s="2" t="s">
        <v>431</v>
      </c>
      <c r="AC358" s="2" t="s">
        <v>220</v>
      </c>
      <c r="AD358" s="4">
        <v>90</v>
      </c>
      <c r="AE358" s="2" t="s">
        <v>78</v>
      </c>
      <c r="AF358" s="2" t="s">
        <v>367</v>
      </c>
      <c r="AG358" s="2" t="s">
        <v>876</v>
      </c>
      <c r="AH358" s="2" t="s">
        <v>185</v>
      </c>
      <c r="AI358" s="2" t="s">
        <v>336</v>
      </c>
      <c r="AJ358" s="4"/>
      <c r="AL358" s="4"/>
      <c r="AN358" s="4"/>
      <c r="AP358" s="4"/>
      <c r="AQ358" s="4"/>
      <c r="AS358" s="4">
        <v>1</v>
      </c>
      <c r="AT358" s="4">
        <v>1</v>
      </c>
      <c r="AU358" s="4">
        <v>2</v>
      </c>
      <c r="AV358" s="4">
        <v>2</v>
      </c>
      <c r="AW358" s="4">
        <v>2</v>
      </c>
      <c r="AX358" s="4">
        <v>0</v>
      </c>
      <c r="AZ358" s="2" t="s">
        <v>60</v>
      </c>
    </row>
    <row r="359" spans="2:52" x14ac:dyDescent="0.15">
      <c r="B359" s="2" t="s">
        <v>284</v>
      </c>
      <c r="C359" s="2" t="s">
        <v>1746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25</v>
      </c>
      <c r="J359" s="4" t="str">
        <f>VLOOKUP(I359,citySet!$B$5:$C$46,2,0)</f>
        <v>江夏</v>
      </c>
      <c r="K359" s="2" t="s">
        <v>1747</v>
      </c>
      <c r="L359" s="2" t="s">
        <v>1748</v>
      </c>
      <c r="N359" s="4"/>
      <c r="O359" s="2" t="s">
        <v>899</v>
      </c>
      <c r="P359" s="2" t="s">
        <v>899</v>
      </c>
      <c r="Q359" s="4">
        <v>0</v>
      </c>
      <c r="R359" s="2" t="s">
        <v>370</v>
      </c>
      <c r="S359" s="2" t="s">
        <v>564</v>
      </c>
      <c r="T359" s="2" t="s">
        <v>712</v>
      </c>
      <c r="U359" s="2" t="s">
        <v>437</v>
      </c>
      <c r="V359" s="2" t="s">
        <v>603</v>
      </c>
      <c r="W359" s="4">
        <v>2</v>
      </c>
      <c r="X359" s="2" t="s">
        <v>2983</v>
      </c>
      <c r="Y359" s="4">
        <v>0</v>
      </c>
      <c r="Z359" s="4" t="s">
        <v>39</v>
      </c>
      <c r="AA359" s="2" t="s">
        <v>60</v>
      </c>
      <c r="AB359" s="2" t="s">
        <v>454</v>
      </c>
      <c r="AC359" s="2" t="s">
        <v>382</v>
      </c>
      <c r="AD359" s="4">
        <v>66</v>
      </c>
      <c r="AE359" s="2" t="s">
        <v>423</v>
      </c>
      <c r="AF359" s="2" t="s">
        <v>382</v>
      </c>
      <c r="AG359" s="2" t="s">
        <v>1133</v>
      </c>
      <c r="AH359" s="2" t="s">
        <v>185</v>
      </c>
      <c r="AI359" s="2" t="s">
        <v>1416</v>
      </c>
      <c r="AJ359" s="4"/>
      <c r="AL359" s="4"/>
      <c r="AN359" s="4"/>
      <c r="AP359" s="4"/>
      <c r="AQ359" s="4"/>
      <c r="AS359" s="4">
        <v>0</v>
      </c>
      <c r="AT359" s="4">
        <v>2</v>
      </c>
      <c r="AU359" s="4">
        <v>1</v>
      </c>
      <c r="AV359" s="4">
        <v>0</v>
      </c>
      <c r="AW359" s="4">
        <v>0</v>
      </c>
      <c r="AX359" s="4">
        <v>2</v>
      </c>
      <c r="AZ359" s="2" t="s">
        <v>60</v>
      </c>
    </row>
    <row r="360" spans="2:52" x14ac:dyDescent="0.15">
      <c r="B360" s="2" t="s">
        <v>1370</v>
      </c>
      <c r="C360" s="2" t="s">
        <v>1749</v>
      </c>
      <c r="D360" s="2" t="s">
        <v>31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31</v>
      </c>
      <c r="H360" s="4" t="str">
        <f>VLOOKUP(G360,corpsSet!$B$5:$C$46,2,0)</f>
        <v>孙坚</v>
      </c>
      <c r="I360" s="4" t="s">
        <v>204</v>
      </c>
      <c r="J360" s="4" t="str">
        <f>VLOOKUP(I360,citySet!$B$5:$C$46,2,0)</f>
        <v>柴桑</v>
      </c>
      <c r="K360" s="2" t="s">
        <v>1197</v>
      </c>
      <c r="L360" s="2" t="s">
        <v>1750</v>
      </c>
      <c r="M360" s="2" t="s">
        <v>1751</v>
      </c>
      <c r="N360" s="4"/>
      <c r="O360" s="2" t="s">
        <v>677</v>
      </c>
      <c r="P360" s="2" t="s">
        <v>677</v>
      </c>
      <c r="Q360" s="4">
        <v>0</v>
      </c>
      <c r="R360" s="2" t="s">
        <v>370</v>
      </c>
      <c r="S360" s="2" t="s">
        <v>435</v>
      </c>
      <c r="T360" s="2" t="s">
        <v>524</v>
      </c>
      <c r="U360" s="2" t="s">
        <v>372</v>
      </c>
      <c r="V360" s="2" t="s">
        <v>369</v>
      </c>
      <c r="W360" s="4">
        <v>1</v>
      </c>
      <c r="X360" s="2" t="s">
        <v>365</v>
      </c>
      <c r="Y360" s="4">
        <v>0</v>
      </c>
      <c r="Z360" s="4" t="s">
        <v>39</v>
      </c>
      <c r="AA360" s="2" t="s">
        <v>185</v>
      </c>
      <c r="AB360" s="2" t="s">
        <v>153</v>
      </c>
      <c r="AC360" s="2" t="s">
        <v>515</v>
      </c>
      <c r="AD360" s="4">
        <v>62</v>
      </c>
      <c r="AE360" s="2" t="s">
        <v>19</v>
      </c>
      <c r="AF360" s="2" t="s">
        <v>257</v>
      </c>
      <c r="AG360" s="2" t="s">
        <v>1067</v>
      </c>
      <c r="AH360" s="2" t="s">
        <v>185</v>
      </c>
      <c r="AI360" s="2" t="s">
        <v>284</v>
      </c>
      <c r="AJ360" s="4"/>
      <c r="AL360" s="4"/>
      <c r="AN360" s="4"/>
      <c r="AP360" s="4"/>
      <c r="AQ360" s="4"/>
      <c r="AS360" s="4">
        <v>0</v>
      </c>
      <c r="AT360" s="4">
        <v>2</v>
      </c>
      <c r="AU360" s="4">
        <v>0</v>
      </c>
      <c r="AV360" s="4">
        <v>1</v>
      </c>
      <c r="AW360" s="4">
        <v>0</v>
      </c>
      <c r="AX360" s="4">
        <v>2</v>
      </c>
      <c r="AZ360" s="2" t="s">
        <v>60</v>
      </c>
    </row>
    <row r="361" spans="2:52" x14ac:dyDescent="0.15">
      <c r="B361" s="2" t="s">
        <v>960</v>
      </c>
      <c r="C361" s="2" t="s">
        <v>1752</v>
      </c>
      <c r="D361" s="2" t="s">
        <v>30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30</v>
      </c>
      <c r="H361" s="4" t="str">
        <f>VLOOKUP(G361,corpsSet!$B$5:$C$46,2,0)</f>
        <v>袁绍</v>
      </c>
      <c r="I361" s="4" t="s">
        <v>37</v>
      </c>
      <c r="J361" s="4" t="str">
        <f>VLOOKUP(I361,citySet!$B$5:$C$46,2,0)</f>
        <v>南皮</v>
      </c>
      <c r="K361" s="2" t="s">
        <v>1747</v>
      </c>
      <c r="L361" s="2" t="s">
        <v>1754</v>
      </c>
      <c r="N361" s="4"/>
      <c r="O361" s="2" t="s">
        <v>1753</v>
      </c>
      <c r="P361" s="2" t="s">
        <v>1753</v>
      </c>
      <c r="Q361" s="4">
        <v>0</v>
      </c>
      <c r="R361" s="2" t="s">
        <v>370</v>
      </c>
      <c r="S361" s="2" t="s">
        <v>435</v>
      </c>
      <c r="T361" s="2" t="s">
        <v>957</v>
      </c>
      <c r="U361" s="2" t="s">
        <v>685</v>
      </c>
      <c r="V361" s="2" t="s">
        <v>102</v>
      </c>
      <c r="W361" s="4">
        <v>1</v>
      </c>
      <c r="X361" s="2" t="s">
        <v>365</v>
      </c>
      <c r="Y361" s="4">
        <v>0</v>
      </c>
      <c r="Z361" s="4" t="s">
        <v>39</v>
      </c>
      <c r="AA361" s="2" t="s">
        <v>195</v>
      </c>
      <c r="AB361" s="2" t="s">
        <v>4</v>
      </c>
      <c r="AC361" s="2" t="s">
        <v>486</v>
      </c>
      <c r="AD361" s="4">
        <v>49</v>
      </c>
      <c r="AE361" s="2" t="s">
        <v>237</v>
      </c>
      <c r="AF361" s="2" t="s">
        <v>233</v>
      </c>
      <c r="AG361" s="2" t="s">
        <v>646</v>
      </c>
      <c r="AH361" s="2" t="s">
        <v>185</v>
      </c>
      <c r="AI361" s="2" t="s">
        <v>1370</v>
      </c>
      <c r="AJ361" s="4"/>
      <c r="AL361" s="4"/>
      <c r="AN361" s="4"/>
      <c r="AP361" s="4"/>
      <c r="AQ361" s="4"/>
      <c r="AS361" s="4">
        <v>0</v>
      </c>
      <c r="AT361" s="4">
        <v>1</v>
      </c>
      <c r="AU361" s="4">
        <v>1</v>
      </c>
      <c r="AV361" s="4">
        <v>0</v>
      </c>
      <c r="AW361" s="4">
        <v>0</v>
      </c>
      <c r="AX361" s="4">
        <v>0</v>
      </c>
      <c r="AZ361" s="2" t="s">
        <v>60</v>
      </c>
    </row>
    <row r="362" spans="2:52" x14ac:dyDescent="0.15">
      <c r="B362" s="2" t="s">
        <v>956</v>
      </c>
      <c r="C362" s="2" t="s">
        <v>3099</v>
      </c>
      <c r="D362" s="2" t="s">
        <v>31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31</v>
      </c>
      <c r="H362" s="4" t="str">
        <f>VLOOKUP(G362,corpsSet!$B$5:$C$46,2,0)</f>
        <v>孙坚</v>
      </c>
      <c r="I362" s="4" t="s">
        <v>204</v>
      </c>
      <c r="J362" s="4" t="str">
        <f>VLOOKUP(I362,citySet!$B$5:$C$46,2,0)</f>
        <v>柴桑</v>
      </c>
      <c r="K362" s="2" t="s">
        <v>1756</v>
      </c>
      <c r="L362" s="2" t="s">
        <v>581</v>
      </c>
      <c r="N362" s="4"/>
      <c r="O362" s="2" t="s">
        <v>426</v>
      </c>
      <c r="P362" s="2" t="s">
        <v>426</v>
      </c>
      <c r="Q362" s="4">
        <v>0</v>
      </c>
      <c r="R362" s="2" t="s">
        <v>370</v>
      </c>
      <c r="S362" s="2" t="s">
        <v>626</v>
      </c>
      <c r="T362" s="2" t="s">
        <v>489</v>
      </c>
      <c r="U362" s="2" t="s">
        <v>658</v>
      </c>
      <c r="V362" s="2" t="s">
        <v>1012</v>
      </c>
      <c r="W362" s="4">
        <v>1</v>
      </c>
      <c r="X362" s="2" t="s">
        <v>365</v>
      </c>
      <c r="Y362" s="4">
        <v>0</v>
      </c>
      <c r="Z362" s="4" t="s">
        <v>39</v>
      </c>
      <c r="AA362" s="2" t="s">
        <v>134</v>
      </c>
      <c r="AB362" s="2" t="s">
        <v>454</v>
      </c>
      <c r="AC362" s="2" t="s">
        <v>515</v>
      </c>
      <c r="AD362" s="4">
        <v>55</v>
      </c>
      <c r="AE362" s="2" t="s">
        <v>423</v>
      </c>
      <c r="AF362" s="2" t="s">
        <v>269</v>
      </c>
      <c r="AG362" s="2" t="s">
        <v>274</v>
      </c>
      <c r="AH362" s="2" t="s">
        <v>185</v>
      </c>
      <c r="AI362" s="2" t="s">
        <v>831</v>
      </c>
      <c r="AJ362" s="4" t="s">
        <v>1800</v>
      </c>
      <c r="AK362" s="2" t="s">
        <v>1755</v>
      </c>
      <c r="AL362" s="4"/>
      <c r="AN362" s="4"/>
      <c r="AP362" s="4"/>
      <c r="AQ362" s="4"/>
      <c r="AS362" s="4">
        <v>1</v>
      </c>
      <c r="AT362" s="4">
        <v>1</v>
      </c>
      <c r="AU362" s="4">
        <v>2</v>
      </c>
      <c r="AV362" s="4">
        <v>0</v>
      </c>
      <c r="AW362" s="4">
        <v>1</v>
      </c>
      <c r="AX362" s="4">
        <v>2</v>
      </c>
      <c r="AZ362" s="2" t="s">
        <v>60</v>
      </c>
    </row>
    <row r="363" spans="2:52" x14ac:dyDescent="0.15">
      <c r="B363" s="2" t="s">
        <v>831</v>
      </c>
      <c r="C363" s="2" t="s">
        <v>1757</v>
      </c>
      <c r="D363" s="2" t="s">
        <v>31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31</v>
      </c>
      <c r="H363" s="4" t="str">
        <f>VLOOKUP(G363,corpsSet!$B$5:$C$46,2,0)</f>
        <v>孙坚</v>
      </c>
      <c r="I363" s="4" t="s">
        <v>204</v>
      </c>
      <c r="J363" s="4" t="str">
        <f>VLOOKUP(I363,citySet!$B$5:$C$46,2,0)</f>
        <v>柴桑</v>
      </c>
      <c r="K363" s="2" t="s">
        <v>1756</v>
      </c>
      <c r="L363" s="2" t="s">
        <v>855</v>
      </c>
      <c r="M363" s="2" t="s">
        <v>1712</v>
      </c>
      <c r="N363" s="4"/>
      <c r="O363" s="2" t="s">
        <v>1181</v>
      </c>
      <c r="P363" s="2" t="s">
        <v>1181</v>
      </c>
      <c r="Q363" s="4">
        <v>0</v>
      </c>
      <c r="R363" s="2" t="s">
        <v>370</v>
      </c>
      <c r="S363" s="2" t="s">
        <v>843</v>
      </c>
      <c r="T363" s="2" t="s">
        <v>633</v>
      </c>
      <c r="U363" s="2" t="s">
        <v>548</v>
      </c>
      <c r="V363" s="2" t="s">
        <v>521</v>
      </c>
      <c r="W363" s="4">
        <v>1</v>
      </c>
      <c r="X363" s="2" t="s">
        <v>365</v>
      </c>
      <c r="Y363" s="4">
        <v>0</v>
      </c>
      <c r="Z363" s="4" t="s">
        <v>39</v>
      </c>
      <c r="AA363" s="2" t="s">
        <v>134</v>
      </c>
      <c r="AB363" s="2" t="s">
        <v>213</v>
      </c>
      <c r="AC363" s="2" t="s">
        <v>21</v>
      </c>
      <c r="AD363" s="4">
        <v>68</v>
      </c>
      <c r="AE363" s="2" t="s">
        <v>515</v>
      </c>
      <c r="AF363" s="2" t="s">
        <v>434</v>
      </c>
      <c r="AG363" s="2" t="s">
        <v>496</v>
      </c>
      <c r="AH363" s="2" t="s">
        <v>185</v>
      </c>
      <c r="AI363" s="2" t="s">
        <v>1461</v>
      </c>
      <c r="AJ363" s="4" t="s">
        <v>1698</v>
      </c>
      <c r="AK363" s="2" t="s">
        <v>1758</v>
      </c>
      <c r="AL363" s="4"/>
      <c r="AN363" s="4"/>
      <c r="AP363" s="4"/>
      <c r="AQ363" s="4"/>
      <c r="AS363" s="4">
        <v>0</v>
      </c>
      <c r="AT363" s="4">
        <v>0</v>
      </c>
      <c r="AU363" s="4">
        <v>2</v>
      </c>
      <c r="AV363" s="4">
        <v>1</v>
      </c>
      <c r="AW363" s="4">
        <v>0</v>
      </c>
      <c r="AX363" s="4">
        <v>2</v>
      </c>
      <c r="AZ363" s="2" t="s">
        <v>60</v>
      </c>
    </row>
    <row r="364" spans="2:52" x14ac:dyDescent="0.15">
      <c r="B364" s="2" t="s">
        <v>1210</v>
      </c>
      <c r="C364" s="2" t="s">
        <v>1759</v>
      </c>
      <c r="D364" s="2" t="s">
        <v>31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31</v>
      </c>
      <c r="H364" s="4" t="str">
        <f>VLOOKUP(G364,corpsSet!$B$5:$C$46,2,0)</f>
        <v>孙坚</v>
      </c>
      <c r="I364" s="4" t="s">
        <v>204</v>
      </c>
      <c r="J364" s="4" t="str">
        <f>VLOOKUP(I364,citySet!$B$5:$C$46,2,0)</f>
        <v>柴桑</v>
      </c>
      <c r="K364" s="2" t="s">
        <v>1756</v>
      </c>
      <c r="L364" s="2" t="s">
        <v>929</v>
      </c>
      <c r="M364" s="2" t="s">
        <v>1761</v>
      </c>
      <c r="N364" s="4"/>
      <c r="O364" s="2" t="s">
        <v>675</v>
      </c>
      <c r="P364" s="2" t="s">
        <v>675</v>
      </c>
      <c r="Q364" s="4">
        <v>0</v>
      </c>
      <c r="R364" s="2" t="s">
        <v>370</v>
      </c>
      <c r="S364" s="2" t="s">
        <v>340</v>
      </c>
      <c r="T364" s="2" t="s">
        <v>425</v>
      </c>
      <c r="U364" s="2" t="s">
        <v>667</v>
      </c>
      <c r="V364" s="2" t="s">
        <v>369</v>
      </c>
      <c r="W364" s="4">
        <v>1</v>
      </c>
      <c r="X364" s="2" t="s">
        <v>365</v>
      </c>
      <c r="Y364" s="4">
        <v>0</v>
      </c>
      <c r="Z364" s="4" t="s">
        <v>39</v>
      </c>
      <c r="AA364" s="2" t="s">
        <v>134</v>
      </c>
      <c r="AB364" s="2" t="s">
        <v>554</v>
      </c>
      <c r="AC364" s="2" t="s">
        <v>261</v>
      </c>
      <c r="AD364" s="4">
        <v>72</v>
      </c>
      <c r="AE364" s="2" t="s">
        <v>321</v>
      </c>
      <c r="AF364" s="2" t="s">
        <v>431</v>
      </c>
      <c r="AG364" s="2" t="s">
        <v>767</v>
      </c>
      <c r="AH364" s="2" t="s">
        <v>185</v>
      </c>
      <c r="AI364" s="2" t="s">
        <v>831</v>
      </c>
      <c r="AJ364" s="4"/>
      <c r="AK364" s="2" t="s">
        <v>1760</v>
      </c>
      <c r="AL364" s="4"/>
      <c r="AN364" s="4"/>
      <c r="AP364" s="4"/>
      <c r="AQ364" s="4"/>
      <c r="AS364" s="4">
        <v>1</v>
      </c>
      <c r="AT364" s="4">
        <v>2</v>
      </c>
      <c r="AU364" s="4">
        <v>3</v>
      </c>
      <c r="AV364" s="4">
        <v>0</v>
      </c>
      <c r="AW364" s="4">
        <v>1</v>
      </c>
      <c r="AX364" s="4">
        <v>2</v>
      </c>
      <c r="AZ364" s="2" t="s">
        <v>60</v>
      </c>
    </row>
    <row r="365" spans="2:52" x14ac:dyDescent="0.15">
      <c r="B365" s="2" t="s">
        <v>710</v>
      </c>
      <c r="C365" s="2" t="s">
        <v>1762</v>
      </c>
      <c r="D365" s="2" t="s">
        <v>105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105</v>
      </c>
      <c r="H365" s="4" t="str">
        <f>VLOOKUP(G365,corpsSet!$B$5:$C$46,2,0)</f>
        <v>陶谦</v>
      </c>
      <c r="I365" s="4" t="s">
        <v>32</v>
      </c>
      <c r="J365" s="4" t="str">
        <f>VLOOKUP(I365,citySet!$B$5:$C$46,2,0)</f>
        <v>小沛</v>
      </c>
      <c r="K365" s="2" t="s">
        <v>1756</v>
      </c>
      <c r="L365" s="2" t="s">
        <v>1764</v>
      </c>
      <c r="M365" s="2" t="s">
        <v>1765</v>
      </c>
      <c r="N365" s="4"/>
      <c r="O365" s="2" t="s">
        <v>1763</v>
      </c>
      <c r="P365" s="2" t="s">
        <v>1763</v>
      </c>
      <c r="Q365" s="4">
        <v>0</v>
      </c>
      <c r="R365" s="2" t="s">
        <v>370</v>
      </c>
      <c r="S365" s="2" t="s">
        <v>435</v>
      </c>
      <c r="T365" s="2" t="s">
        <v>673</v>
      </c>
      <c r="U365" s="2" t="s">
        <v>371</v>
      </c>
      <c r="V365" s="2" t="s">
        <v>204</v>
      </c>
      <c r="W365" s="4">
        <v>1</v>
      </c>
      <c r="X365" s="2" t="s">
        <v>365</v>
      </c>
      <c r="Y365" s="4">
        <v>2</v>
      </c>
      <c r="Z365" s="4" t="s">
        <v>443</v>
      </c>
      <c r="AA365" s="2" t="s">
        <v>413</v>
      </c>
      <c r="AB365" s="2" t="s">
        <v>374</v>
      </c>
      <c r="AC365" s="2" t="s">
        <v>431</v>
      </c>
      <c r="AD365" s="4">
        <v>51</v>
      </c>
      <c r="AE365" s="2" t="s">
        <v>21</v>
      </c>
      <c r="AF365" s="2" t="s">
        <v>404</v>
      </c>
      <c r="AG365" s="2" t="s">
        <v>640</v>
      </c>
      <c r="AH365" s="2" t="s">
        <v>185</v>
      </c>
      <c r="AI365" s="2" t="s">
        <v>1210</v>
      </c>
      <c r="AJ365" s="4"/>
      <c r="AL365" s="4"/>
      <c r="AN365" s="4"/>
      <c r="AP365" s="4"/>
      <c r="AQ365" s="4"/>
      <c r="AS365" s="4">
        <v>1</v>
      </c>
      <c r="AT365" s="4">
        <v>0</v>
      </c>
      <c r="AU365" s="4">
        <v>0</v>
      </c>
      <c r="AV365" s="4">
        <v>2</v>
      </c>
      <c r="AW365" s="4">
        <v>1</v>
      </c>
      <c r="AX365" s="4">
        <v>0</v>
      </c>
      <c r="AZ365" s="2" t="s">
        <v>60</v>
      </c>
    </row>
    <row r="366" spans="2:52" x14ac:dyDescent="0.15">
      <c r="B366" s="2" t="s">
        <v>271</v>
      </c>
      <c r="C366" s="2" t="s">
        <v>1766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193</v>
      </c>
      <c r="J366" s="4" t="str">
        <f>VLOOKUP(I366,citySet!$B$5:$C$46,2,0)</f>
        <v>吴</v>
      </c>
      <c r="K366" s="2" t="s">
        <v>1756</v>
      </c>
      <c r="L366" s="2" t="s">
        <v>1768</v>
      </c>
      <c r="N366" s="4"/>
      <c r="O366" s="2" t="s">
        <v>459</v>
      </c>
      <c r="P366" s="2" t="s">
        <v>459</v>
      </c>
      <c r="Q366" s="4">
        <v>0</v>
      </c>
      <c r="R366" s="2" t="s">
        <v>370</v>
      </c>
      <c r="S366" s="2" t="s">
        <v>786</v>
      </c>
      <c r="T366" s="2" t="s">
        <v>519</v>
      </c>
      <c r="U366" s="2" t="s">
        <v>570</v>
      </c>
      <c r="V366" s="2" t="s">
        <v>147</v>
      </c>
      <c r="W366" s="4">
        <v>2</v>
      </c>
      <c r="X366" s="2" t="s">
        <v>2983</v>
      </c>
      <c r="Y366" s="4">
        <v>0</v>
      </c>
      <c r="Z366" s="4" t="s">
        <v>39</v>
      </c>
      <c r="AA366" s="2" t="s">
        <v>60</v>
      </c>
      <c r="AB366" s="2" t="s">
        <v>93</v>
      </c>
      <c r="AC366" s="2" t="s">
        <v>445</v>
      </c>
      <c r="AD366" s="4">
        <v>51</v>
      </c>
      <c r="AE366" s="2" t="s">
        <v>93</v>
      </c>
      <c r="AF366" s="2" t="s">
        <v>404</v>
      </c>
      <c r="AG366" s="2" t="s">
        <v>68</v>
      </c>
      <c r="AH366" s="2" t="s">
        <v>185</v>
      </c>
      <c r="AI366" s="2" t="s">
        <v>710</v>
      </c>
      <c r="AJ366" s="4"/>
      <c r="AL366" s="4"/>
      <c r="AN366" s="4"/>
      <c r="AP366" s="4"/>
      <c r="AQ366" s="4"/>
      <c r="AS366" s="4">
        <v>1</v>
      </c>
      <c r="AT366" s="4">
        <v>1</v>
      </c>
      <c r="AU366" s="4">
        <v>1</v>
      </c>
      <c r="AV366" s="4">
        <v>0</v>
      </c>
      <c r="AW366" s="4">
        <v>0</v>
      </c>
      <c r="AX366" s="4">
        <v>2</v>
      </c>
      <c r="AZ366" s="2" t="s">
        <v>60</v>
      </c>
    </row>
    <row r="367" spans="2:52" x14ac:dyDescent="0.15">
      <c r="B367" s="2" t="s">
        <v>1011</v>
      </c>
      <c r="C367" s="2" t="s">
        <v>1769</v>
      </c>
      <c r="D367" s="2" t="s">
        <v>31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31</v>
      </c>
      <c r="H367" s="4" t="str">
        <f>VLOOKUP(G367,corpsSet!$B$5:$C$46,2,0)</f>
        <v>孙坚</v>
      </c>
      <c r="I367" s="4" t="s">
        <v>204</v>
      </c>
      <c r="J367" s="4" t="str">
        <f>VLOOKUP(I367,citySet!$B$5:$C$46,2,0)</f>
        <v>柴桑</v>
      </c>
      <c r="K367" s="2" t="s">
        <v>1756</v>
      </c>
      <c r="L367" s="2" t="s">
        <v>1682</v>
      </c>
      <c r="M367" s="2" t="s">
        <v>1770</v>
      </c>
      <c r="N367" s="4"/>
      <c r="O367" s="2" t="s">
        <v>438</v>
      </c>
      <c r="P367" s="2" t="s">
        <v>438</v>
      </c>
      <c r="Q367" s="4">
        <v>0</v>
      </c>
      <c r="R367" s="2" t="s">
        <v>370</v>
      </c>
      <c r="S367" s="2" t="s">
        <v>732</v>
      </c>
      <c r="T367" s="2" t="s">
        <v>887</v>
      </c>
      <c r="U367" s="2" t="s">
        <v>491</v>
      </c>
      <c r="V367" s="2" t="s">
        <v>521</v>
      </c>
      <c r="W367" s="4">
        <v>1</v>
      </c>
      <c r="X367" s="2" t="s">
        <v>365</v>
      </c>
      <c r="Y367" s="4">
        <v>0</v>
      </c>
      <c r="Z367" s="4" t="s">
        <v>39</v>
      </c>
      <c r="AA367" s="2" t="s">
        <v>134</v>
      </c>
      <c r="AB367" s="2" t="s">
        <v>432</v>
      </c>
      <c r="AC367" s="2" t="s">
        <v>21</v>
      </c>
      <c r="AD367" s="4">
        <v>78</v>
      </c>
      <c r="AE367" s="2" t="s">
        <v>481</v>
      </c>
      <c r="AF367" s="2" t="s">
        <v>235</v>
      </c>
      <c r="AG367" s="2" t="s">
        <v>1208</v>
      </c>
      <c r="AH367" s="2" t="s">
        <v>185</v>
      </c>
      <c r="AI367" s="2" t="s">
        <v>1461</v>
      </c>
      <c r="AJ367" s="4" t="s">
        <v>1698</v>
      </c>
      <c r="AK367" s="2" t="s">
        <v>1758</v>
      </c>
      <c r="AL367" s="4"/>
      <c r="AN367" s="4"/>
      <c r="AP367" s="4"/>
      <c r="AQ367" s="4"/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2</v>
      </c>
      <c r="AZ367" s="2" t="s">
        <v>60</v>
      </c>
    </row>
    <row r="368" spans="2:52" x14ac:dyDescent="0.15">
      <c r="B368" s="2" t="s">
        <v>1667</v>
      </c>
      <c r="C368" s="2" t="s">
        <v>1771</v>
      </c>
      <c r="D368" s="2" t="s">
        <v>31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31</v>
      </c>
      <c r="H368" s="4" t="str">
        <f>VLOOKUP(G368,corpsSet!$B$5:$C$46,2,0)</f>
        <v>孙坚</v>
      </c>
      <c r="I368" s="4" t="s">
        <v>204</v>
      </c>
      <c r="J368" s="4" t="str">
        <f>VLOOKUP(I368,citySet!$B$5:$C$46,2,0)</f>
        <v>柴桑</v>
      </c>
      <c r="K368" s="2" t="s">
        <v>1756</v>
      </c>
      <c r="L368" s="2" t="s">
        <v>605</v>
      </c>
      <c r="M368" s="2" t="s">
        <v>1772</v>
      </c>
      <c r="N368" s="4"/>
      <c r="O368" s="2" t="s">
        <v>851</v>
      </c>
      <c r="P368" s="2" t="s">
        <v>851</v>
      </c>
      <c r="Q368" s="4">
        <v>0</v>
      </c>
      <c r="R368" s="2" t="s">
        <v>370</v>
      </c>
      <c r="S368" s="2" t="s">
        <v>950</v>
      </c>
      <c r="T368" s="2" t="s">
        <v>707</v>
      </c>
      <c r="U368" s="2" t="s">
        <v>505</v>
      </c>
      <c r="V368" s="2" t="s">
        <v>521</v>
      </c>
      <c r="W368" s="4">
        <v>1</v>
      </c>
      <c r="X368" s="2" t="s">
        <v>365</v>
      </c>
      <c r="Y368" s="4">
        <v>0</v>
      </c>
      <c r="Z368" s="4" t="s">
        <v>39</v>
      </c>
      <c r="AA368" s="2" t="s">
        <v>134</v>
      </c>
      <c r="AB368" s="2" t="s">
        <v>14</v>
      </c>
      <c r="AC368" s="2" t="s">
        <v>102</v>
      </c>
      <c r="AD368" s="4">
        <v>44</v>
      </c>
      <c r="AE368" s="2" t="s">
        <v>257</v>
      </c>
      <c r="AF368" s="2" t="s">
        <v>201</v>
      </c>
      <c r="AG368" s="2" t="s">
        <v>919</v>
      </c>
      <c r="AH368" s="2" t="s">
        <v>185</v>
      </c>
      <c r="AI368" s="2" t="s">
        <v>1461</v>
      </c>
      <c r="AJ368" s="4" t="s">
        <v>876</v>
      </c>
      <c r="AK368" s="2" t="s">
        <v>12</v>
      </c>
      <c r="AL368" s="4" t="s">
        <v>479</v>
      </c>
      <c r="AM368" s="2" t="s">
        <v>1266</v>
      </c>
      <c r="AN368" s="4"/>
      <c r="AP368" s="4"/>
      <c r="AQ368" s="4"/>
      <c r="AS368" s="4">
        <v>1</v>
      </c>
      <c r="AT368" s="4">
        <v>1</v>
      </c>
      <c r="AU368" s="4">
        <v>1</v>
      </c>
      <c r="AV368" s="4">
        <v>0</v>
      </c>
      <c r="AW368" s="4">
        <v>0</v>
      </c>
      <c r="AX368" s="4">
        <v>2</v>
      </c>
      <c r="AZ368" s="2" t="s">
        <v>60</v>
      </c>
    </row>
    <row r="369" spans="2:52" x14ac:dyDescent="0.15">
      <c r="B369" s="2" t="s">
        <v>1461</v>
      </c>
      <c r="C369" s="2" t="s">
        <v>1773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193</v>
      </c>
      <c r="J369" s="4" t="str">
        <f>VLOOKUP(I369,citySet!$B$5:$C$46,2,0)</f>
        <v>吴</v>
      </c>
      <c r="K369" s="2" t="s">
        <v>1756</v>
      </c>
      <c r="L369" s="2" t="s">
        <v>764</v>
      </c>
      <c r="N369" s="4"/>
      <c r="O369" s="2" t="s">
        <v>767</v>
      </c>
      <c r="P369" s="2" t="s">
        <v>767</v>
      </c>
      <c r="Q369" s="4">
        <v>0</v>
      </c>
      <c r="R369" s="2" t="s">
        <v>370</v>
      </c>
      <c r="S369" s="2" t="s">
        <v>732</v>
      </c>
      <c r="T369" s="2" t="s">
        <v>887</v>
      </c>
      <c r="U369" s="2" t="s">
        <v>610</v>
      </c>
      <c r="V369" s="2" t="s">
        <v>159</v>
      </c>
      <c r="W369" s="4">
        <v>2</v>
      </c>
      <c r="X369" s="2" t="s">
        <v>2983</v>
      </c>
      <c r="Y369" s="4">
        <v>0</v>
      </c>
      <c r="Z369" s="4" t="s">
        <v>39</v>
      </c>
      <c r="AA369" s="2" t="s">
        <v>60</v>
      </c>
      <c r="AB369" s="2" t="s">
        <v>404</v>
      </c>
      <c r="AC369" s="2" t="s">
        <v>454</v>
      </c>
      <c r="AD369" s="4">
        <v>35</v>
      </c>
      <c r="AE369" s="2" t="s">
        <v>207</v>
      </c>
      <c r="AF369" s="2" t="s">
        <v>15</v>
      </c>
      <c r="AG369" s="2" t="s">
        <v>717</v>
      </c>
      <c r="AH369" s="2" t="s">
        <v>185</v>
      </c>
      <c r="AI369" s="2" t="s">
        <v>1461</v>
      </c>
      <c r="AJ369" s="4"/>
      <c r="AK369" s="2" t="s">
        <v>1774</v>
      </c>
      <c r="AL369" s="4"/>
      <c r="AN369" s="4"/>
      <c r="AP369" s="4"/>
      <c r="AQ369" s="4"/>
      <c r="AS369" s="4">
        <v>1</v>
      </c>
      <c r="AT369" s="4">
        <v>0</v>
      </c>
      <c r="AU369" s="4">
        <v>1</v>
      </c>
      <c r="AV369" s="4">
        <v>0</v>
      </c>
      <c r="AW369" s="4">
        <v>0</v>
      </c>
      <c r="AX369" s="4">
        <v>2</v>
      </c>
      <c r="AZ369" s="2" t="s">
        <v>60</v>
      </c>
    </row>
    <row r="370" spans="2:52" x14ac:dyDescent="0.15">
      <c r="B370" s="2" t="s">
        <v>876</v>
      </c>
      <c r="C370" s="2" t="s">
        <v>12</v>
      </c>
      <c r="D370" s="2" t="s">
        <v>31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31</v>
      </c>
      <c r="H370" s="4" t="str">
        <f>VLOOKUP(G370,corpsSet!$B$5:$C$46,2,0)</f>
        <v>孙坚</v>
      </c>
      <c r="I370" s="4" t="s">
        <v>204</v>
      </c>
      <c r="J370" s="4" t="str">
        <f>VLOOKUP(I370,citySet!$B$5:$C$46,2,0)</f>
        <v>柴桑</v>
      </c>
      <c r="K370" s="2" t="s">
        <v>1756</v>
      </c>
      <c r="L370" s="2" t="s">
        <v>1777</v>
      </c>
      <c r="M370" s="2" t="s">
        <v>1778</v>
      </c>
      <c r="N370" s="4"/>
      <c r="O370" s="2" t="s">
        <v>423</v>
      </c>
      <c r="P370" s="2" t="s">
        <v>423</v>
      </c>
      <c r="Q370" s="4">
        <v>0</v>
      </c>
      <c r="R370" s="2" t="s">
        <v>370</v>
      </c>
      <c r="S370" s="2" t="s">
        <v>435</v>
      </c>
      <c r="T370" s="2" t="s">
        <v>824</v>
      </c>
      <c r="U370" s="2" t="s">
        <v>585</v>
      </c>
      <c r="V370" s="2" t="s">
        <v>335</v>
      </c>
      <c r="W370" s="4">
        <v>3</v>
      </c>
      <c r="X370" s="2" t="s">
        <v>2</v>
      </c>
      <c r="Y370" s="4">
        <v>0</v>
      </c>
      <c r="Z370" s="4" t="s">
        <v>39</v>
      </c>
      <c r="AA370" s="2" t="s">
        <v>185</v>
      </c>
      <c r="AB370" s="2" t="s">
        <v>130</v>
      </c>
      <c r="AC370" s="2" t="s">
        <v>176</v>
      </c>
      <c r="AD370" s="4">
        <v>74</v>
      </c>
      <c r="AE370" s="2" t="s">
        <v>261</v>
      </c>
      <c r="AF370" s="2" t="s">
        <v>148</v>
      </c>
      <c r="AG370" s="2" t="s">
        <v>1775</v>
      </c>
      <c r="AH370" s="2" t="s">
        <v>185</v>
      </c>
      <c r="AI370" s="2" t="s">
        <v>1461</v>
      </c>
      <c r="AJ370" s="4"/>
      <c r="AK370" s="2" t="s">
        <v>1776</v>
      </c>
      <c r="AL370" s="4"/>
      <c r="AN370" s="4" t="s">
        <v>479</v>
      </c>
      <c r="AO370" s="2" t="s">
        <v>1266</v>
      </c>
      <c r="AP370" s="4"/>
      <c r="AQ370" s="4"/>
      <c r="AS370" s="4">
        <v>3</v>
      </c>
      <c r="AT370" s="4">
        <v>3</v>
      </c>
      <c r="AU370" s="4">
        <v>0</v>
      </c>
      <c r="AV370" s="4">
        <v>2</v>
      </c>
      <c r="AW370" s="4">
        <v>0</v>
      </c>
      <c r="AX370" s="4">
        <v>3</v>
      </c>
      <c r="AZ370" s="2" t="s">
        <v>60</v>
      </c>
    </row>
    <row r="371" spans="2:52" x14ac:dyDescent="0.15">
      <c r="B371" s="2" t="s">
        <v>624</v>
      </c>
      <c r="C371" s="2" t="s">
        <v>3100</v>
      </c>
      <c r="D371" s="2" t="s">
        <v>35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35</v>
      </c>
      <c r="H371" s="4" t="str">
        <f>VLOOKUP(G371,corpsSet!$B$5:$C$46,2,0)</f>
        <v>刘备</v>
      </c>
      <c r="I371" s="4" t="s">
        <v>213</v>
      </c>
      <c r="J371" s="4" t="str">
        <f>VLOOKUP(I371,citySet!$B$5:$C$46,2,0)</f>
        <v>江陵</v>
      </c>
      <c r="K371" s="2" t="s">
        <v>1756</v>
      </c>
      <c r="L371" s="2" t="s">
        <v>1779</v>
      </c>
      <c r="M371" s="2" t="s">
        <v>1780</v>
      </c>
      <c r="N371" s="4"/>
      <c r="O371" s="2" t="s">
        <v>436</v>
      </c>
      <c r="P371" s="2" t="s">
        <v>436</v>
      </c>
      <c r="Q371" s="4">
        <v>0</v>
      </c>
      <c r="R371" s="2" t="s">
        <v>370</v>
      </c>
      <c r="S371" s="2" t="s">
        <v>435</v>
      </c>
      <c r="T371" s="2" t="s">
        <v>499</v>
      </c>
      <c r="U371" s="2" t="s">
        <v>332</v>
      </c>
      <c r="V371" s="2" t="s">
        <v>434</v>
      </c>
      <c r="W371" s="4">
        <v>1</v>
      </c>
      <c r="X371" s="2" t="s">
        <v>365</v>
      </c>
      <c r="Y371" s="4">
        <v>0</v>
      </c>
      <c r="Z371" s="4" t="s">
        <v>39</v>
      </c>
      <c r="AA371" s="2" t="s">
        <v>185</v>
      </c>
      <c r="AB371" s="2" t="s">
        <v>219</v>
      </c>
      <c r="AC371" s="2" t="s">
        <v>95</v>
      </c>
      <c r="AD371" s="4">
        <v>78</v>
      </c>
      <c r="AE371" s="2" t="s">
        <v>391</v>
      </c>
      <c r="AF371" s="2" t="s">
        <v>391</v>
      </c>
      <c r="AG371" s="2" t="s">
        <v>850</v>
      </c>
      <c r="AH371" s="2" t="s">
        <v>185</v>
      </c>
      <c r="AI371" s="2" t="s">
        <v>876</v>
      </c>
      <c r="AJ371" s="4"/>
      <c r="AL371" s="4"/>
      <c r="AN371" s="4"/>
      <c r="AP371" s="4"/>
      <c r="AQ371" s="4"/>
      <c r="AS371" s="4">
        <v>0</v>
      </c>
      <c r="AT371" s="4">
        <v>0</v>
      </c>
      <c r="AU371" s="4">
        <v>0</v>
      </c>
      <c r="AV371" s="4">
        <v>0</v>
      </c>
      <c r="AW371" s="4">
        <v>1</v>
      </c>
      <c r="AX371" s="4">
        <v>0</v>
      </c>
      <c r="AZ371" s="2" t="s">
        <v>60</v>
      </c>
    </row>
    <row r="372" spans="2:52" x14ac:dyDescent="0.15">
      <c r="B372" s="2" t="s">
        <v>1698</v>
      </c>
      <c r="C372" s="2" t="s">
        <v>1758</v>
      </c>
      <c r="D372" s="2" t="s">
        <v>31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31</v>
      </c>
      <c r="H372" s="4" t="str">
        <f>VLOOKUP(G372,corpsSet!$B$5:$C$46,2,0)</f>
        <v>孙坚</v>
      </c>
      <c r="I372" s="4" t="s">
        <v>204</v>
      </c>
      <c r="J372" s="4" t="str">
        <f>VLOOKUP(I372,citySet!$B$5:$C$46,2,0)</f>
        <v>柴桑</v>
      </c>
      <c r="K372" s="2" t="s">
        <v>1756</v>
      </c>
      <c r="L372" s="2" t="s">
        <v>1169</v>
      </c>
      <c r="M372" s="2" t="s">
        <v>1782</v>
      </c>
      <c r="N372" s="4"/>
      <c r="O372" s="2" t="s">
        <v>1593</v>
      </c>
      <c r="P372" s="2" t="s">
        <v>1593</v>
      </c>
      <c r="Q372" s="4">
        <v>0</v>
      </c>
      <c r="R372" s="2" t="s">
        <v>370</v>
      </c>
      <c r="S372" s="2" t="s">
        <v>327</v>
      </c>
      <c r="T372" s="2" t="s">
        <v>981</v>
      </c>
      <c r="U372" s="2" t="s">
        <v>542</v>
      </c>
      <c r="V372" s="2" t="s">
        <v>521</v>
      </c>
      <c r="W372" s="4">
        <v>1</v>
      </c>
      <c r="X372" s="2" t="s">
        <v>365</v>
      </c>
      <c r="Y372" s="4">
        <v>0</v>
      </c>
      <c r="Z372" s="4" t="s">
        <v>39</v>
      </c>
      <c r="AA372" s="2" t="s">
        <v>134</v>
      </c>
      <c r="AB372" s="2" t="s">
        <v>434</v>
      </c>
      <c r="AC372" s="2" t="s">
        <v>445</v>
      </c>
      <c r="AD372" s="4">
        <v>80</v>
      </c>
      <c r="AE372" s="2" t="s">
        <v>78</v>
      </c>
      <c r="AF372" s="2" t="s">
        <v>79</v>
      </c>
      <c r="AG372" s="2" t="s">
        <v>1781</v>
      </c>
      <c r="AH372" s="2" t="s">
        <v>185</v>
      </c>
      <c r="AI372" s="2" t="s">
        <v>1461</v>
      </c>
      <c r="AJ372" s="4" t="s">
        <v>876</v>
      </c>
      <c r="AK372" s="2" t="s">
        <v>12</v>
      </c>
      <c r="AL372" s="4" t="s">
        <v>479</v>
      </c>
      <c r="AM372" s="2" t="s">
        <v>1266</v>
      </c>
      <c r="AN372" s="4"/>
      <c r="AP372" s="4"/>
      <c r="AQ372" s="4"/>
      <c r="AS372" s="4">
        <v>1</v>
      </c>
      <c r="AT372" s="4">
        <v>2</v>
      </c>
      <c r="AU372" s="4">
        <v>0</v>
      </c>
      <c r="AV372" s="4">
        <v>0</v>
      </c>
      <c r="AW372" s="4">
        <v>0</v>
      </c>
      <c r="AX372" s="4">
        <v>2</v>
      </c>
      <c r="AZ372" s="2" t="s">
        <v>60</v>
      </c>
    </row>
    <row r="373" spans="2:52" x14ac:dyDescent="0.15">
      <c r="B373" s="2" t="s">
        <v>1480</v>
      </c>
      <c r="C373" s="2" t="s">
        <v>1783</v>
      </c>
      <c r="D373" s="2" t="s">
        <v>31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31</v>
      </c>
      <c r="H373" s="4" t="str">
        <f>VLOOKUP(G373,corpsSet!$B$5:$C$46,2,0)</f>
        <v>孙坚</v>
      </c>
      <c r="I373" s="4" t="s">
        <v>204</v>
      </c>
      <c r="J373" s="4" t="str">
        <f>VLOOKUP(I373,citySet!$B$5:$C$46,2,0)</f>
        <v>柴桑</v>
      </c>
      <c r="K373" s="2" t="s">
        <v>1756</v>
      </c>
      <c r="L373" s="2" t="s">
        <v>1173</v>
      </c>
      <c r="M373" s="2" t="s">
        <v>1784</v>
      </c>
      <c r="N373" s="4"/>
      <c r="O373" s="2" t="s">
        <v>658</v>
      </c>
      <c r="P373" s="2" t="s">
        <v>658</v>
      </c>
      <c r="Q373" s="4">
        <v>0</v>
      </c>
      <c r="R373" s="2" t="s">
        <v>370</v>
      </c>
      <c r="S373" s="2" t="s">
        <v>548</v>
      </c>
      <c r="T373" s="2" t="s">
        <v>368</v>
      </c>
      <c r="U373" s="2" t="s">
        <v>893</v>
      </c>
      <c r="V373" s="2" t="s">
        <v>221</v>
      </c>
      <c r="W373" s="4">
        <v>1</v>
      </c>
      <c r="X373" s="2" t="s">
        <v>365</v>
      </c>
      <c r="Y373" s="4">
        <v>0</v>
      </c>
      <c r="Z373" s="4" t="s">
        <v>39</v>
      </c>
      <c r="AA373" s="2" t="s">
        <v>134</v>
      </c>
      <c r="AB373" s="2" t="s">
        <v>41</v>
      </c>
      <c r="AC373" s="2" t="s">
        <v>25</v>
      </c>
      <c r="AD373" s="4">
        <v>31</v>
      </c>
      <c r="AE373" s="2" t="s">
        <v>36</v>
      </c>
      <c r="AF373" s="2" t="s">
        <v>31</v>
      </c>
      <c r="AG373" s="2" t="s">
        <v>235</v>
      </c>
      <c r="AH373" s="2" t="s">
        <v>185</v>
      </c>
      <c r="AI373" s="2" t="s">
        <v>1461</v>
      </c>
      <c r="AJ373" s="4" t="s">
        <v>831</v>
      </c>
      <c r="AK373" s="2" t="s">
        <v>1757</v>
      </c>
      <c r="AL373" s="4"/>
      <c r="AN373" s="4"/>
      <c r="AP373" s="4"/>
      <c r="AQ373" s="4"/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Z373" s="2" t="s">
        <v>60</v>
      </c>
    </row>
    <row r="374" spans="2:52" x14ac:dyDescent="0.15">
      <c r="B374" s="2" t="s">
        <v>899</v>
      </c>
      <c r="C374" s="2" t="s">
        <v>1785</v>
      </c>
      <c r="D374" s="2" t="s">
        <v>31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31</v>
      </c>
      <c r="H374" s="4" t="str">
        <f>VLOOKUP(G374,corpsSet!$B$5:$C$46,2,0)</f>
        <v>孙坚</v>
      </c>
      <c r="I374" s="4" t="s">
        <v>204</v>
      </c>
      <c r="J374" s="4" t="str">
        <f>VLOOKUP(I374,citySet!$B$5:$C$46,2,0)</f>
        <v>柴桑</v>
      </c>
      <c r="K374" s="2" t="s">
        <v>1756</v>
      </c>
      <c r="L374" s="2" t="s">
        <v>1787</v>
      </c>
      <c r="M374" s="2" t="s">
        <v>1788</v>
      </c>
      <c r="N374" s="4"/>
      <c r="O374" s="2" t="s">
        <v>1077</v>
      </c>
      <c r="P374" s="2" t="s">
        <v>1077</v>
      </c>
      <c r="Q374" s="4">
        <v>0</v>
      </c>
      <c r="R374" s="2" t="s">
        <v>370</v>
      </c>
      <c r="S374" s="2" t="s">
        <v>950</v>
      </c>
      <c r="T374" s="2" t="s">
        <v>778</v>
      </c>
      <c r="U374" s="2" t="s">
        <v>702</v>
      </c>
      <c r="V374" s="2" t="s">
        <v>335</v>
      </c>
      <c r="W374" s="4">
        <v>1</v>
      </c>
      <c r="X374" s="2" t="s">
        <v>365</v>
      </c>
      <c r="Y374" s="4">
        <v>0</v>
      </c>
      <c r="Z374" s="4" t="s">
        <v>39</v>
      </c>
      <c r="AA374" s="2" t="s">
        <v>134</v>
      </c>
      <c r="AB374" s="2" t="s">
        <v>422</v>
      </c>
      <c r="AC374" s="2" t="s">
        <v>374</v>
      </c>
      <c r="AD374" s="4">
        <v>66</v>
      </c>
      <c r="AE374" s="2" t="s">
        <v>515</v>
      </c>
      <c r="AF374" s="2" t="s">
        <v>261</v>
      </c>
      <c r="AG374" s="2" t="s">
        <v>831</v>
      </c>
      <c r="AH374" s="2" t="s">
        <v>185</v>
      </c>
      <c r="AI374" s="2" t="s">
        <v>1461</v>
      </c>
      <c r="AJ374" s="4" t="s">
        <v>1374</v>
      </c>
      <c r="AK374" s="2" t="s">
        <v>1786</v>
      </c>
      <c r="AL374" s="4"/>
      <c r="AN374" s="4"/>
      <c r="AP374" s="4"/>
      <c r="AQ374" s="4"/>
      <c r="AS374" s="4">
        <v>1</v>
      </c>
      <c r="AT374" s="4">
        <v>2</v>
      </c>
      <c r="AU374" s="4">
        <v>2</v>
      </c>
      <c r="AV374" s="4">
        <v>0</v>
      </c>
      <c r="AW374" s="4">
        <v>2</v>
      </c>
      <c r="AX374" s="4">
        <v>2</v>
      </c>
      <c r="AZ374" s="2" t="s">
        <v>60</v>
      </c>
    </row>
    <row r="375" spans="2:52" x14ac:dyDescent="0.15">
      <c r="B375" s="2" t="s">
        <v>677</v>
      </c>
      <c r="C375" s="2" t="s">
        <v>1789</v>
      </c>
      <c r="D375" s="2" t="s">
        <v>31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31</v>
      </c>
      <c r="H375" s="4" t="str">
        <f>VLOOKUP(G375,corpsSet!$B$5:$C$46,2,0)</f>
        <v>孙坚</v>
      </c>
      <c r="I375" s="4" t="s">
        <v>204</v>
      </c>
      <c r="J375" s="4" t="str">
        <f>VLOOKUP(I375,citySet!$B$5:$C$46,2,0)</f>
        <v>柴桑</v>
      </c>
      <c r="K375" s="2" t="s">
        <v>1756</v>
      </c>
      <c r="L375" s="2" t="s">
        <v>1791</v>
      </c>
      <c r="M375" s="2" t="s">
        <v>1792</v>
      </c>
      <c r="N375" s="4"/>
      <c r="O375" s="2" t="s">
        <v>382</v>
      </c>
      <c r="P375" s="2" t="s">
        <v>382</v>
      </c>
      <c r="Q375" s="4">
        <v>0</v>
      </c>
      <c r="R375" s="2" t="s">
        <v>370</v>
      </c>
      <c r="S375" s="2" t="s">
        <v>393</v>
      </c>
      <c r="T375" s="2" t="s">
        <v>97</v>
      </c>
      <c r="U375" s="2" t="s">
        <v>950</v>
      </c>
      <c r="V375" s="2" t="s">
        <v>521</v>
      </c>
      <c r="W375" s="4">
        <v>1</v>
      </c>
      <c r="X375" s="2" t="s">
        <v>365</v>
      </c>
      <c r="Y375" s="4">
        <v>4</v>
      </c>
      <c r="Z375" s="4" t="s">
        <v>1091</v>
      </c>
      <c r="AA375" s="2" t="s">
        <v>134</v>
      </c>
      <c r="AB375" s="2" t="s">
        <v>150</v>
      </c>
      <c r="AC375" s="2" t="s">
        <v>150</v>
      </c>
      <c r="AD375" s="4">
        <v>69</v>
      </c>
      <c r="AE375" s="2" t="s">
        <v>153</v>
      </c>
      <c r="AF375" s="2" t="s">
        <v>150</v>
      </c>
      <c r="AG375" s="2" t="s">
        <v>1790</v>
      </c>
      <c r="AH375" s="2" t="s">
        <v>185</v>
      </c>
      <c r="AI375" s="2" t="s">
        <v>1461</v>
      </c>
      <c r="AJ375" s="4" t="s">
        <v>876</v>
      </c>
      <c r="AK375" s="2" t="s">
        <v>12</v>
      </c>
      <c r="AL375" s="4" t="s">
        <v>479</v>
      </c>
      <c r="AM375" s="2" t="s">
        <v>1266</v>
      </c>
      <c r="AN375" s="4" t="s">
        <v>871</v>
      </c>
      <c r="AO375" s="2" t="s">
        <v>1839</v>
      </c>
      <c r="AP375" s="4" t="s">
        <v>677</v>
      </c>
      <c r="AQ375" s="4"/>
      <c r="AS375" s="4">
        <v>3</v>
      </c>
      <c r="AT375" s="4">
        <v>2</v>
      </c>
      <c r="AU375" s="4">
        <v>1</v>
      </c>
      <c r="AV375" s="4">
        <v>3</v>
      </c>
      <c r="AW375" s="4">
        <v>2</v>
      </c>
      <c r="AX375" s="4">
        <v>3</v>
      </c>
      <c r="AZ375" s="2" t="s">
        <v>60</v>
      </c>
    </row>
    <row r="376" spans="2:52" x14ac:dyDescent="0.15">
      <c r="B376" s="2" t="s">
        <v>851</v>
      </c>
      <c r="C376" s="2" t="s">
        <v>1793</v>
      </c>
      <c r="D376" s="2" t="s">
        <v>31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31</v>
      </c>
      <c r="H376" s="4" t="str">
        <f>VLOOKUP(G376,corpsSet!$B$5:$C$46,2,0)</f>
        <v>孙坚</v>
      </c>
      <c r="I376" s="4" t="s">
        <v>204</v>
      </c>
      <c r="J376" s="4" t="str">
        <f>VLOOKUP(I376,citySet!$B$5:$C$46,2,0)</f>
        <v>柴桑</v>
      </c>
      <c r="K376" s="2" t="s">
        <v>1756</v>
      </c>
      <c r="L376" s="2" t="s">
        <v>1326</v>
      </c>
      <c r="N376" s="4"/>
      <c r="O376" s="2" t="s">
        <v>1794</v>
      </c>
      <c r="P376" s="2" t="s">
        <v>1794</v>
      </c>
      <c r="Q376" s="4">
        <v>1</v>
      </c>
      <c r="R376" s="2" t="s">
        <v>577</v>
      </c>
      <c r="S376" s="2" t="s">
        <v>1257</v>
      </c>
      <c r="T376" s="2" t="s">
        <v>438</v>
      </c>
      <c r="U376" s="2" t="s">
        <v>487</v>
      </c>
      <c r="V376" s="2" t="s">
        <v>521</v>
      </c>
      <c r="W376" s="4">
        <v>1</v>
      </c>
      <c r="X376" s="2" t="s">
        <v>365</v>
      </c>
      <c r="Y376" s="4">
        <v>0</v>
      </c>
      <c r="Z376" s="4" t="s">
        <v>39</v>
      </c>
      <c r="AA376" s="2" t="s">
        <v>134</v>
      </c>
      <c r="AB376" s="2" t="s">
        <v>189</v>
      </c>
      <c r="AC376" s="2" t="s">
        <v>10</v>
      </c>
      <c r="AD376" s="4">
        <v>62</v>
      </c>
      <c r="AE376" s="2" t="s">
        <v>374</v>
      </c>
      <c r="AF376" s="2" t="s">
        <v>329</v>
      </c>
      <c r="AG376" s="2" t="s">
        <v>679</v>
      </c>
      <c r="AH376" s="2" t="s">
        <v>185</v>
      </c>
      <c r="AI376" s="2" t="s">
        <v>1461</v>
      </c>
      <c r="AJ376" s="4" t="s">
        <v>677</v>
      </c>
      <c r="AK376" s="2" t="s">
        <v>1789</v>
      </c>
      <c r="AL376" s="4"/>
      <c r="AN376" s="4">
        <v>63</v>
      </c>
      <c r="AO376" s="2" t="s">
        <v>2428</v>
      </c>
      <c r="AP376" s="4"/>
      <c r="AQ376" s="4"/>
      <c r="AS376" s="4">
        <v>0</v>
      </c>
      <c r="AT376" s="4">
        <v>0</v>
      </c>
      <c r="AU376" s="4">
        <v>1</v>
      </c>
      <c r="AV376" s="4">
        <v>0</v>
      </c>
      <c r="AW376" s="4">
        <v>0</v>
      </c>
      <c r="AX376" s="4">
        <v>2</v>
      </c>
      <c r="AZ376" s="2" t="s">
        <v>60</v>
      </c>
    </row>
    <row r="377" spans="2:52" x14ac:dyDescent="0.15">
      <c r="B377" s="2" t="s">
        <v>767</v>
      </c>
      <c r="C377" s="2" t="s">
        <v>1795</v>
      </c>
      <c r="D377" s="2" t="s">
        <v>31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31</v>
      </c>
      <c r="H377" s="4" t="str">
        <f>VLOOKUP(G377,corpsSet!$B$5:$C$46,2,0)</f>
        <v>孙坚</v>
      </c>
      <c r="I377" s="4" t="s">
        <v>204</v>
      </c>
      <c r="J377" s="4" t="str">
        <f>VLOOKUP(I377,citySet!$B$5:$C$46,2,0)</f>
        <v>柴桑</v>
      </c>
      <c r="K377" s="2" t="s">
        <v>1756</v>
      </c>
      <c r="L377" s="2" t="s">
        <v>942</v>
      </c>
      <c r="N377" s="4"/>
      <c r="O377" s="2" t="s">
        <v>685</v>
      </c>
      <c r="P377" s="2" t="s">
        <v>685</v>
      </c>
      <c r="Q377" s="4">
        <v>0</v>
      </c>
      <c r="R377" s="2" t="s">
        <v>370</v>
      </c>
      <c r="S377" s="2" t="s">
        <v>732</v>
      </c>
      <c r="T377" s="2" t="s">
        <v>887</v>
      </c>
      <c r="U377" s="2" t="s">
        <v>1019</v>
      </c>
      <c r="V377" s="2" t="s">
        <v>80</v>
      </c>
      <c r="W377" s="4">
        <v>1</v>
      </c>
      <c r="X377" s="2" t="s">
        <v>365</v>
      </c>
      <c r="Y377" s="4">
        <v>0</v>
      </c>
      <c r="Z377" s="4" t="s">
        <v>39</v>
      </c>
      <c r="AA377" s="2" t="s">
        <v>134</v>
      </c>
      <c r="AB377" s="2" t="s">
        <v>254</v>
      </c>
      <c r="AC377" s="2" t="s">
        <v>7</v>
      </c>
      <c r="AD377" s="4">
        <v>53</v>
      </c>
      <c r="AE377" s="2" t="s">
        <v>432</v>
      </c>
      <c r="AF377" s="2" t="s">
        <v>321</v>
      </c>
      <c r="AG377" s="2" t="s">
        <v>893</v>
      </c>
      <c r="AH377" s="2" t="s">
        <v>185</v>
      </c>
      <c r="AI377" s="2" t="s">
        <v>1461</v>
      </c>
      <c r="AJ377" s="4"/>
      <c r="AK377" s="2" t="s">
        <v>1796</v>
      </c>
      <c r="AL377" s="4"/>
      <c r="AN377" s="4"/>
      <c r="AP377" s="4"/>
      <c r="AQ377" s="4"/>
      <c r="AS377" s="4">
        <v>1</v>
      </c>
      <c r="AT377" s="4">
        <v>0</v>
      </c>
      <c r="AU377" s="4">
        <v>2</v>
      </c>
      <c r="AV377" s="4">
        <v>0</v>
      </c>
      <c r="AW377" s="4">
        <v>0</v>
      </c>
      <c r="AX377" s="4">
        <v>2</v>
      </c>
      <c r="AZ377" s="2" t="s">
        <v>60</v>
      </c>
    </row>
    <row r="378" spans="2:52" x14ac:dyDescent="0.15">
      <c r="B378" s="2" t="s">
        <v>1798</v>
      </c>
      <c r="C378" s="2" t="s">
        <v>1797</v>
      </c>
      <c r="D378" s="2" t="s">
        <v>31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31</v>
      </c>
      <c r="H378" s="4" t="str">
        <f>VLOOKUP(G378,corpsSet!$B$5:$C$46,2,0)</f>
        <v>孙坚</v>
      </c>
      <c r="I378" s="4" t="s">
        <v>204</v>
      </c>
      <c r="J378" s="4" t="str">
        <f>VLOOKUP(I378,citySet!$B$5:$C$46,2,0)</f>
        <v>柴桑</v>
      </c>
      <c r="K378" s="2" t="s">
        <v>1756</v>
      </c>
      <c r="L378" s="2" t="s">
        <v>802</v>
      </c>
      <c r="M378" s="2" t="s">
        <v>1098</v>
      </c>
      <c r="N378" s="4"/>
      <c r="O378" s="2" t="s">
        <v>1798</v>
      </c>
      <c r="P378" s="2" t="s">
        <v>1798</v>
      </c>
      <c r="Q378" s="4">
        <v>0</v>
      </c>
      <c r="R378" s="2" t="s">
        <v>370</v>
      </c>
      <c r="S378" s="2" t="s">
        <v>843</v>
      </c>
      <c r="T378" s="2" t="s">
        <v>702</v>
      </c>
      <c r="U378" s="2" t="s">
        <v>651</v>
      </c>
      <c r="V378" s="2" t="s">
        <v>129</v>
      </c>
      <c r="W378" s="4">
        <v>1</v>
      </c>
      <c r="X378" s="2" t="s">
        <v>365</v>
      </c>
      <c r="Y378" s="4">
        <v>0</v>
      </c>
      <c r="Z378" s="4" t="s">
        <v>39</v>
      </c>
      <c r="AA378" s="2" t="s">
        <v>185</v>
      </c>
      <c r="AB378" s="2" t="s">
        <v>444</v>
      </c>
      <c r="AC378" s="2" t="s">
        <v>153</v>
      </c>
      <c r="AD378" s="4">
        <v>65</v>
      </c>
      <c r="AE378" s="2" t="s">
        <v>200</v>
      </c>
      <c r="AF378" s="2" t="s">
        <v>24</v>
      </c>
      <c r="AG378" s="2" t="s">
        <v>562</v>
      </c>
      <c r="AH378" s="2" t="s">
        <v>185</v>
      </c>
      <c r="AI378" s="2" t="s">
        <v>1461</v>
      </c>
      <c r="AJ378" s="4"/>
      <c r="AK378" s="2" t="s">
        <v>1799</v>
      </c>
      <c r="AL378" s="4"/>
      <c r="AN378" s="4"/>
      <c r="AP378" s="4"/>
      <c r="AQ378" s="4"/>
      <c r="AS378" s="4">
        <v>1</v>
      </c>
      <c r="AT378" s="4">
        <v>0</v>
      </c>
      <c r="AU378" s="4">
        <v>1</v>
      </c>
      <c r="AV378" s="4">
        <v>0</v>
      </c>
      <c r="AW378" s="4">
        <v>0</v>
      </c>
      <c r="AX378" s="4">
        <v>1</v>
      </c>
      <c r="AZ378" s="2" t="s">
        <v>60</v>
      </c>
    </row>
    <row r="379" spans="2:52" x14ac:dyDescent="0.15">
      <c r="B379" s="2" t="s">
        <v>1800</v>
      </c>
      <c r="C379" s="2" t="s">
        <v>1755</v>
      </c>
      <c r="D379" s="2" t="s">
        <v>31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31</v>
      </c>
      <c r="H379" s="4" t="str">
        <f>VLOOKUP(G379,corpsSet!$B$5:$C$46,2,0)</f>
        <v>孙坚</v>
      </c>
      <c r="I379" s="4" t="s">
        <v>204</v>
      </c>
      <c r="J379" s="4" t="str">
        <f>VLOOKUP(I379,citySet!$B$5:$C$46,2,0)</f>
        <v>柴桑</v>
      </c>
      <c r="K379" s="2" t="s">
        <v>1756</v>
      </c>
      <c r="L379" s="2" t="s">
        <v>1802</v>
      </c>
      <c r="M379" s="2" t="s">
        <v>1803</v>
      </c>
      <c r="N379" s="4"/>
      <c r="O379" s="2" t="s">
        <v>1800</v>
      </c>
      <c r="P379" s="2" t="s">
        <v>1800</v>
      </c>
      <c r="Q379" s="4">
        <v>0</v>
      </c>
      <c r="R379" s="2" t="s">
        <v>370</v>
      </c>
      <c r="S379" s="2" t="s">
        <v>505</v>
      </c>
      <c r="T379" s="2" t="s">
        <v>438</v>
      </c>
      <c r="U379" s="2" t="s">
        <v>1136</v>
      </c>
      <c r="V379" s="2" t="s">
        <v>469</v>
      </c>
      <c r="W379" s="4">
        <v>1</v>
      </c>
      <c r="X379" s="2" t="s">
        <v>365</v>
      </c>
      <c r="Y379" s="4">
        <v>0</v>
      </c>
      <c r="Z379" s="4" t="s">
        <v>39</v>
      </c>
      <c r="AA379" s="2" t="s">
        <v>134</v>
      </c>
      <c r="AB379" s="2" t="s">
        <v>329</v>
      </c>
      <c r="AC379" s="2" t="s">
        <v>88</v>
      </c>
      <c r="AD379" s="4">
        <v>75</v>
      </c>
      <c r="AE379" s="2" t="s">
        <v>454</v>
      </c>
      <c r="AF379" s="2" t="s">
        <v>367</v>
      </c>
      <c r="AG379" s="2" t="s">
        <v>654</v>
      </c>
      <c r="AH379" s="2" t="s">
        <v>185</v>
      </c>
      <c r="AI379" s="2" t="s">
        <v>831</v>
      </c>
      <c r="AJ379" s="4"/>
      <c r="AK379" s="2" t="s">
        <v>1801</v>
      </c>
      <c r="AL379" s="4"/>
      <c r="AN379" s="4"/>
      <c r="AP379" s="4"/>
      <c r="AQ379" s="4"/>
      <c r="AS379" s="4">
        <v>1</v>
      </c>
      <c r="AT379" s="4">
        <v>2</v>
      </c>
      <c r="AU379" s="4">
        <v>0</v>
      </c>
      <c r="AV379" s="4">
        <v>2</v>
      </c>
      <c r="AW379" s="4">
        <v>0</v>
      </c>
      <c r="AX379" s="4">
        <v>3</v>
      </c>
      <c r="AZ379" s="2" t="s">
        <v>60</v>
      </c>
    </row>
    <row r="380" spans="2:52" x14ac:dyDescent="0.15">
      <c r="B380" s="2" t="s">
        <v>1671</v>
      </c>
      <c r="C380" s="2" t="s">
        <v>1804</v>
      </c>
      <c r="D380" s="2" t="s">
        <v>31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31</v>
      </c>
      <c r="H380" s="4" t="str">
        <f>VLOOKUP(G380,corpsSet!$B$5:$C$46,2,0)</f>
        <v>孙坚</v>
      </c>
      <c r="I380" s="4" t="s">
        <v>204</v>
      </c>
      <c r="J380" s="4" t="str">
        <f>VLOOKUP(I380,citySet!$B$5:$C$46,2,0)</f>
        <v>柴桑</v>
      </c>
      <c r="K380" s="2" t="s">
        <v>1756</v>
      </c>
      <c r="L380" s="2" t="s">
        <v>1806</v>
      </c>
      <c r="N380" s="4"/>
      <c r="O380" s="2" t="s">
        <v>1805</v>
      </c>
      <c r="P380" s="2" t="s">
        <v>1805</v>
      </c>
      <c r="Q380" s="4">
        <v>1</v>
      </c>
      <c r="R380" s="2" t="s">
        <v>577</v>
      </c>
      <c r="S380" s="2" t="s">
        <v>505</v>
      </c>
      <c r="T380" s="2" t="s">
        <v>467</v>
      </c>
      <c r="U380" s="2" t="s">
        <v>512</v>
      </c>
      <c r="V380" s="2" t="s">
        <v>521</v>
      </c>
      <c r="W380" s="4">
        <v>1</v>
      </c>
      <c r="X380" s="2" t="s">
        <v>365</v>
      </c>
      <c r="Y380" s="4">
        <v>0</v>
      </c>
      <c r="Z380" s="4" t="s">
        <v>39</v>
      </c>
      <c r="AA380" s="2" t="s">
        <v>134</v>
      </c>
      <c r="AB380" s="2" t="s">
        <v>374</v>
      </c>
      <c r="AC380" s="2" t="s">
        <v>258</v>
      </c>
      <c r="AD380" s="4">
        <v>67</v>
      </c>
      <c r="AE380" s="2" t="s">
        <v>382</v>
      </c>
      <c r="AF380" s="2" t="s">
        <v>258</v>
      </c>
      <c r="AG380" s="2" t="s">
        <v>1798</v>
      </c>
      <c r="AH380" s="2" t="s">
        <v>185</v>
      </c>
      <c r="AI380" s="2" t="s">
        <v>1461</v>
      </c>
      <c r="AJ380" s="4" t="s">
        <v>876</v>
      </c>
      <c r="AK380" s="2" t="s">
        <v>12</v>
      </c>
      <c r="AL380" s="4" t="s">
        <v>479</v>
      </c>
      <c r="AM380" s="2" t="s">
        <v>1266</v>
      </c>
      <c r="AN380" s="4"/>
      <c r="AP380" s="4"/>
      <c r="AQ380" s="4"/>
      <c r="AS380" s="4">
        <v>2</v>
      </c>
      <c r="AT380" s="4">
        <v>1</v>
      </c>
      <c r="AU380" s="4">
        <v>3</v>
      </c>
      <c r="AV380" s="4">
        <v>1</v>
      </c>
      <c r="AW380" s="4">
        <v>0</v>
      </c>
      <c r="AX380" s="4">
        <v>3</v>
      </c>
      <c r="AZ380" s="2" t="s">
        <v>60</v>
      </c>
    </row>
    <row r="381" spans="2:52" x14ac:dyDescent="0.15">
      <c r="B381" s="2" t="s">
        <v>654</v>
      </c>
      <c r="C381" s="2" t="s">
        <v>1807</v>
      </c>
      <c r="D381" s="2" t="s">
        <v>31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31</v>
      </c>
      <c r="H381" s="4" t="str">
        <f>VLOOKUP(G381,corpsSet!$B$5:$C$46,2,0)</f>
        <v>孙坚</v>
      </c>
      <c r="I381" s="4" t="s">
        <v>204</v>
      </c>
      <c r="J381" s="4" t="str">
        <f>VLOOKUP(I381,citySet!$B$5:$C$46,2,0)</f>
        <v>柴桑</v>
      </c>
      <c r="K381" s="2" t="s">
        <v>1756</v>
      </c>
      <c r="L381" s="2" t="s">
        <v>1809</v>
      </c>
      <c r="N381" s="4"/>
      <c r="O381" s="2" t="s">
        <v>1808</v>
      </c>
      <c r="P381" s="2" t="s">
        <v>1808</v>
      </c>
      <c r="Q381" s="4">
        <v>0</v>
      </c>
      <c r="R381" s="2" t="s">
        <v>370</v>
      </c>
      <c r="S381" s="2" t="s">
        <v>548</v>
      </c>
      <c r="T381" s="2" t="s">
        <v>609</v>
      </c>
      <c r="U381" s="2" t="s">
        <v>610</v>
      </c>
      <c r="V381" s="2" t="s">
        <v>521</v>
      </c>
      <c r="W381" s="4">
        <v>1</v>
      </c>
      <c r="X381" s="2" t="s">
        <v>365</v>
      </c>
      <c r="Y381" s="4">
        <v>0</v>
      </c>
      <c r="Z381" s="4" t="s">
        <v>39</v>
      </c>
      <c r="AA381" s="2" t="s">
        <v>134</v>
      </c>
      <c r="AB381" s="2" t="s">
        <v>445</v>
      </c>
      <c r="AC381" s="2" t="s">
        <v>153</v>
      </c>
      <c r="AD381" s="4">
        <v>48</v>
      </c>
      <c r="AE381" s="2" t="s">
        <v>100</v>
      </c>
      <c r="AF381" s="2" t="s">
        <v>3</v>
      </c>
      <c r="AG381" s="2" t="s">
        <v>941</v>
      </c>
      <c r="AH381" s="2" t="s">
        <v>185</v>
      </c>
      <c r="AI381" s="2" t="s">
        <v>1461</v>
      </c>
      <c r="AJ381" s="4"/>
      <c r="AK381" s="2" t="s">
        <v>1774</v>
      </c>
      <c r="AL381" s="4"/>
      <c r="AN381" s="4"/>
      <c r="AP381" s="4"/>
      <c r="AQ381" s="4"/>
      <c r="AS381" s="4">
        <v>1</v>
      </c>
      <c r="AT381" s="4">
        <v>2</v>
      </c>
      <c r="AU381" s="4">
        <v>0</v>
      </c>
      <c r="AV381" s="4">
        <v>0</v>
      </c>
      <c r="AW381" s="4">
        <v>1</v>
      </c>
      <c r="AX381" s="4">
        <v>0</v>
      </c>
      <c r="AZ381" s="2" t="s">
        <v>60</v>
      </c>
    </row>
    <row r="382" spans="2:52" x14ac:dyDescent="0.15">
      <c r="B382" s="2" t="s">
        <v>1374</v>
      </c>
      <c r="C382" s="2" t="s">
        <v>1786</v>
      </c>
      <c r="D382" s="2" t="s">
        <v>31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31</v>
      </c>
      <c r="H382" s="4" t="str">
        <f>VLOOKUP(G382,corpsSet!$B$5:$C$46,2,0)</f>
        <v>孙坚</v>
      </c>
      <c r="I382" s="4" t="s">
        <v>204</v>
      </c>
      <c r="J382" s="4" t="str">
        <f>VLOOKUP(I382,citySet!$B$5:$C$46,2,0)</f>
        <v>柴桑</v>
      </c>
      <c r="K382" s="2" t="s">
        <v>1756</v>
      </c>
      <c r="L382" s="2" t="s">
        <v>1810</v>
      </c>
      <c r="M382" s="2" t="s">
        <v>1811</v>
      </c>
      <c r="N382" s="4"/>
      <c r="O382" s="2" t="s">
        <v>1671</v>
      </c>
      <c r="P382" s="2" t="s">
        <v>1671</v>
      </c>
      <c r="Q382" s="4">
        <v>0</v>
      </c>
      <c r="R382" s="2" t="s">
        <v>370</v>
      </c>
      <c r="S382" s="2" t="s">
        <v>435</v>
      </c>
      <c r="T382" s="2" t="s">
        <v>933</v>
      </c>
      <c r="U382" s="2" t="s">
        <v>326</v>
      </c>
      <c r="V382" s="2" t="s">
        <v>335</v>
      </c>
      <c r="W382" s="4">
        <v>1</v>
      </c>
      <c r="X382" s="2" t="s">
        <v>365</v>
      </c>
      <c r="Y382" s="4">
        <v>6</v>
      </c>
      <c r="Z382" s="4" t="s">
        <v>614</v>
      </c>
      <c r="AA382" s="2" t="s">
        <v>134</v>
      </c>
      <c r="AB382" s="2" t="s">
        <v>404</v>
      </c>
      <c r="AC382" s="2" t="s">
        <v>19</v>
      </c>
      <c r="AD382" s="4">
        <v>72</v>
      </c>
      <c r="AE382" s="2" t="s">
        <v>515</v>
      </c>
      <c r="AF382" s="2" t="s">
        <v>374</v>
      </c>
      <c r="AG382" s="2" t="s">
        <v>980</v>
      </c>
      <c r="AH382" s="2" t="s">
        <v>185</v>
      </c>
      <c r="AI382" s="2" t="s">
        <v>1461</v>
      </c>
      <c r="AJ382" s="4"/>
      <c r="AK382" s="2" t="s">
        <v>1776</v>
      </c>
      <c r="AL382" s="4"/>
      <c r="AN382" s="4"/>
      <c r="AP382" s="4"/>
      <c r="AQ382" s="4"/>
      <c r="AS382" s="4">
        <v>0</v>
      </c>
      <c r="AT382" s="4">
        <v>0</v>
      </c>
      <c r="AU382" s="4">
        <v>1</v>
      </c>
      <c r="AV382" s="4">
        <v>0</v>
      </c>
      <c r="AW382" s="4">
        <v>1</v>
      </c>
      <c r="AX382" s="4">
        <v>2</v>
      </c>
      <c r="AZ382" s="2" t="s">
        <v>60</v>
      </c>
    </row>
    <row r="383" spans="2:52" x14ac:dyDescent="0.15">
      <c r="B383" s="2" t="s">
        <v>1814</v>
      </c>
      <c r="C383" s="2" t="s">
        <v>1812</v>
      </c>
      <c r="D383" s="2" t="s">
        <v>25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25</v>
      </c>
      <c r="H383" s="4" t="str">
        <f>VLOOKUP(G383,corpsSet!$B$5:$C$46,2,0)</f>
        <v>张角</v>
      </c>
      <c r="I383" s="4" t="s">
        <v>20</v>
      </c>
      <c r="J383" s="4" t="str">
        <f>VLOOKUP(I383,citySet!$B$5:$C$46,2,0)</f>
        <v>濮阳</v>
      </c>
      <c r="K383" s="2" t="s">
        <v>1756</v>
      </c>
      <c r="L383" s="2" t="s">
        <v>1813</v>
      </c>
      <c r="N383" s="4"/>
      <c r="O383" s="2" t="s">
        <v>323</v>
      </c>
      <c r="P383" s="2" t="s">
        <v>323</v>
      </c>
      <c r="Q383" s="4">
        <v>0</v>
      </c>
      <c r="R383" s="2" t="s">
        <v>370</v>
      </c>
      <c r="S383" s="2" t="s">
        <v>435</v>
      </c>
      <c r="T383" s="2" t="s">
        <v>535</v>
      </c>
      <c r="U383" s="2" t="s">
        <v>435</v>
      </c>
      <c r="V383" s="2" t="s">
        <v>34</v>
      </c>
      <c r="W383" s="4">
        <v>1</v>
      </c>
      <c r="X383" s="2" t="s">
        <v>365</v>
      </c>
      <c r="Y383" s="4">
        <v>0</v>
      </c>
      <c r="Z383" s="4" t="s">
        <v>39</v>
      </c>
      <c r="AA383" s="2" t="s">
        <v>228</v>
      </c>
      <c r="AB383" s="2" t="s">
        <v>423</v>
      </c>
      <c r="AC383" s="2" t="s">
        <v>515</v>
      </c>
      <c r="AD383" s="4">
        <v>36</v>
      </c>
      <c r="AE383" s="2" t="s">
        <v>30</v>
      </c>
      <c r="AF383" s="2" t="s">
        <v>17</v>
      </c>
      <c r="AG383" s="2" t="s">
        <v>564</v>
      </c>
      <c r="AH383" s="2" t="s">
        <v>185</v>
      </c>
      <c r="AI383" s="2" t="s">
        <v>1374</v>
      </c>
      <c r="AJ383" s="4"/>
      <c r="AL383" s="4"/>
      <c r="AN383" s="4"/>
      <c r="AP383" s="4"/>
      <c r="AQ383" s="4"/>
      <c r="AS383" s="4">
        <v>1</v>
      </c>
      <c r="AT383" s="4">
        <v>0</v>
      </c>
      <c r="AU383" s="4">
        <v>0</v>
      </c>
      <c r="AV383" s="4">
        <v>1</v>
      </c>
      <c r="AW383" s="4">
        <v>0</v>
      </c>
      <c r="AX383" s="4">
        <v>0</v>
      </c>
      <c r="AZ383" s="2" t="s">
        <v>60</v>
      </c>
    </row>
    <row r="384" spans="2:52" x14ac:dyDescent="0.15">
      <c r="B384" s="2" t="s">
        <v>805</v>
      </c>
      <c r="C384" s="2" t="s">
        <v>1815</v>
      </c>
      <c r="D384" s="2" t="s">
        <v>31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31</v>
      </c>
      <c r="H384" s="4" t="str">
        <f>VLOOKUP(G384,corpsSet!$B$5:$C$46,2,0)</f>
        <v>孙坚</v>
      </c>
      <c r="I384" s="4" t="s">
        <v>204</v>
      </c>
      <c r="J384" s="4" t="str">
        <f>VLOOKUP(I384,citySet!$B$5:$C$46,2,0)</f>
        <v>柴桑</v>
      </c>
      <c r="K384" s="2" t="s">
        <v>1756</v>
      </c>
      <c r="L384" s="2" t="s">
        <v>816</v>
      </c>
      <c r="M384" s="2" t="s">
        <v>1494</v>
      </c>
      <c r="N384" s="4"/>
      <c r="O384" s="2" t="s">
        <v>1374</v>
      </c>
      <c r="P384" s="2" t="s">
        <v>1374</v>
      </c>
      <c r="Q384" s="4">
        <v>0</v>
      </c>
      <c r="R384" s="2" t="s">
        <v>370</v>
      </c>
      <c r="S384" s="2" t="s">
        <v>487</v>
      </c>
      <c r="T384" s="2" t="s">
        <v>556</v>
      </c>
      <c r="U384" s="2" t="s">
        <v>447</v>
      </c>
      <c r="V384" s="2" t="s">
        <v>129</v>
      </c>
      <c r="W384" s="4">
        <v>1</v>
      </c>
      <c r="X384" s="2" t="s">
        <v>365</v>
      </c>
      <c r="Y384" s="4">
        <v>0</v>
      </c>
      <c r="Z384" s="4" t="s">
        <v>39</v>
      </c>
      <c r="AA384" s="2" t="s">
        <v>185</v>
      </c>
      <c r="AB384" s="2" t="s">
        <v>196</v>
      </c>
      <c r="AC384" s="2" t="s">
        <v>21</v>
      </c>
      <c r="AD384" s="4">
        <v>65</v>
      </c>
      <c r="AE384" s="2" t="s">
        <v>103</v>
      </c>
      <c r="AF384" s="2" t="s">
        <v>34</v>
      </c>
      <c r="AG384" s="2" t="s">
        <v>995</v>
      </c>
      <c r="AH384" s="2" t="s">
        <v>185</v>
      </c>
      <c r="AI384" s="2" t="s">
        <v>1461</v>
      </c>
      <c r="AJ384" s="4"/>
      <c r="AK384" s="2" t="s">
        <v>1816</v>
      </c>
      <c r="AL384" s="4"/>
      <c r="AN384" s="4"/>
      <c r="AP384" s="4"/>
      <c r="AQ384" s="4"/>
      <c r="AS384" s="4">
        <v>1</v>
      </c>
      <c r="AT384" s="4">
        <v>0</v>
      </c>
      <c r="AU384" s="4">
        <v>0</v>
      </c>
      <c r="AV384" s="4">
        <v>0</v>
      </c>
      <c r="AW384" s="4">
        <v>0</v>
      </c>
      <c r="AX384" s="4">
        <v>1</v>
      </c>
      <c r="AZ384" s="2" t="s">
        <v>60</v>
      </c>
    </row>
    <row r="385" spans="2:52" x14ac:dyDescent="0.15">
      <c r="B385" s="2" t="s">
        <v>589</v>
      </c>
      <c r="C385" s="2" t="s">
        <v>1817</v>
      </c>
      <c r="D385" s="2" t="s">
        <v>31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31</v>
      </c>
      <c r="H385" s="4" t="str">
        <f>VLOOKUP(G385,corpsSet!$B$5:$C$46,2,0)</f>
        <v>孙坚</v>
      </c>
      <c r="I385" s="4" t="s">
        <v>204</v>
      </c>
      <c r="J385" s="4" t="str">
        <f>VLOOKUP(I385,citySet!$B$5:$C$46,2,0)</f>
        <v>柴桑</v>
      </c>
      <c r="K385" s="2" t="s">
        <v>1756</v>
      </c>
      <c r="L385" s="2" t="s">
        <v>1819</v>
      </c>
      <c r="M385" s="2" t="s">
        <v>1820</v>
      </c>
      <c r="N385" s="4"/>
      <c r="O385" s="2" t="s">
        <v>446</v>
      </c>
      <c r="P385" s="2" t="s">
        <v>446</v>
      </c>
      <c r="Q385" s="4">
        <v>0</v>
      </c>
      <c r="R385" s="2" t="s">
        <v>370</v>
      </c>
      <c r="S385" s="2" t="s">
        <v>489</v>
      </c>
      <c r="T385" s="2" t="s">
        <v>490</v>
      </c>
      <c r="U385" s="2" t="s">
        <v>1136</v>
      </c>
      <c r="V385" s="2" t="s">
        <v>521</v>
      </c>
      <c r="W385" s="4">
        <v>1</v>
      </c>
      <c r="X385" s="2" t="s">
        <v>365</v>
      </c>
      <c r="Y385" s="4">
        <v>0</v>
      </c>
      <c r="Z385" s="4" t="s">
        <v>39</v>
      </c>
      <c r="AA385" s="2" t="s">
        <v>134</v>
      </c>
      <c r="AB385" s="2" t="s">
        <v>423</v>
      </c>
      <c r="AC385" s="2" t="s">
        <v>226</v>
      </c>
      <c r="AD385" s="4">
        <v>79</v>
      </c>
      <c r="AE385" s="2" t="s">
        <v>329</v>
      </c>
      <c r="AF385" s="2" t="s">
        <v>837</v>
      </c>
      <c r="AG385" s="2" t="s">
        <v>1412</v>
      </c>
      <c r="AH385" s="2" t="s">
        <v>185</v>
      </c>
      <c r="AI385" s="2" t="s">
        <v>1461</v>
      </c>
      <c r="AJ385" s="4" t="s">
        <v>1698</v>
      </c>
      <c r="AK385" s="2" t="s">
        <v>1758</v>
      </c>
      <c r="AL385" s="4"/>
      <c r="AN385" s="4"/>
      <c r="AP385" s="4"/>
      <c r="AQ385" s="4"/>
      <c r="AS385" s="4">
        <v>1</v>
      </c>
      <c r="AT385" s="4">
        <v>1</v>
      </c>
      <c r="AU385" s="4">
        <v>2</v>
      </c>
      <c r="AV385" s="4">
        <v>0</v>
      </c>
      <c r="AW385" s="4">
        <v>2</v>
      </c>
      <c r="AX385" s="4">
        <v>2</v>
      </c>
      <c r="AZ385" s="2" t="s">
        <v>60</v>
      </c>
    </row>
    <row r="386" spans="2:52" x14ac:dyDescent="0.15">
      <c r="B386" s="2" t="s">
        <v>1111</v>
      </c>
      <c r="C386" s="2" t="s">
        <v>1821</v>
      </c>
      <c r="D386" s="2" t="s">
        <v>31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31</v>
      </c>
      <c r="H386" s="4" t="str">
        <f>VLOOKUP(G386,corpsSet!$B$5:$C$46,2,0)</f>
        <v>孙坚</v>
      </c>
      <c r="I386" s="4" t="s">
        <v>204</v>
      </c>
      <c r="J386" s="4" t="str">
        <f>VLOOKUP(I386,citySet!$B$5:$C$46,2,0)</f>
        <v>柴桑</v>
      </c>
      <c r="K386" s="2" t="s">
        <v>1756</v>
      </c>
      <c r="L386" s="2" t="s">
        <v>1414</v>
      </c>
      <c r="M386" s="2" t="s">
        <v>1822</v>
      </c>
      <c r="N386" s="4"/>
      <c r="O386" s="2" t="s">
        <v>1814</v>
      </c>
      <c r="P386" s="2" t="s">
        <v>1814</v>
      </c>
      <c r="Q386" s="4">
        <v>0</v>
      </c>
      <c r="R386" s="2" t="s">
        <v>370</v>
      </c>
      <c r="S386" s="2" t="s">
        <v>564</v>
      </c>
      <c r="T386" s="2" t="s">
        <v>565</v>
      </c>
      <c r="U386" s="2" t="s">
        <v>332</v>
      </c>
      <c r="V386" s="2" t="s">
        <v>521</v>
      </c>
      <c r="W386" s="4">
        <v>1</v>
      </c>
      <c r="X386" s="2" t="s">
        <v>365</v>
      </c>
      <c r="Y386" s="4">
        <v>0</v>
      </c>
      <c r="Z386" s="4" t="s">
        <v>39</v>
      </c>
      <c r="AA386" s="2" t="s">
        <v>134</v>
      </c>
      <c r="AB386" s="2" t="s">
        <v>422</v>
      </c>
      <c r="AC386" s="2" t="s">
        <v>153</v>
      </c>
      <c r="AD386" s="4">
        <v>68</v>
      </c>
      <c r="AE386" s="2" t="s">
        <v>454</v>
      </c>
      <c r="AF386" s="2" t="s">
        <v>431</v>
      </c>
      <c r="AG386" s="2" t="s">
        <v>271</v>
      </c>
      <c r="AH386" s="2" t="s">
        <v>185</v>
      </c>
      <c r="AI386" s="2" t="s">
        <v>1461</v>
      </c>
      <c r="AJ386" s="4" t="s">
        <v>1374</v>
      </c>
      <c r="AK386" s="2" t="s">
        <v>1786</v>
      </c>
      <c r="AL386" s="4"/>
      <c r="AN386" s="4"/>
      <c r="AP386" s="4"/>
      <c r="AQ386" s="4"/>
      <c r="AS386" s="4">
        <v>2</v>
      </c>
      <c r="AT386" s="4">
        <v>1</v>
      </c>
      <c r="AU386" s="4">
        <v>2</v>
      </c>
      <c r="AV386" s="4">
        <v>1</v>
      </c>
      <c r="AW386" s="4">
        <v>2</v>
      </c>
      <c r="AX386" s="4">
        <v>3</v>
      </c>
      <c r="AZ386" s="2" t="s">
        <v>60</v>
      </c>
    </row>
    <row r="387" spans="2:52" x14ac:dyDescent="0.15">
      <c r="B387" s="2" t="s">
        <v>534</v>
      </c>
      <c r="C387" s="2" t="s">
        <v>1823</v>
      </c>
      <c r="D387" s="2" t="s">
        <v>31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31</v>
      </c>
      <c r="H387" s="4" t="str">
        <f>VLOOKUP(G387,corpsSet!$B$5:$C$46,2,0)</f>
        <v>孙坚</v>
      </c>
      <c r="I387" s="4" t="s">
        <v>204</v>
      </c>
      <c r="J387" s="4" t="str">
        <f>VLOOKUP(I387,citySet!$B$5:$C$46,2,0)</f>
        <v>柴桑</v>
      </c>
      <c r="K387" s="2" t="s">
        <v>1756</v>
      </c>
      <c r="L387" s="2" t="s">
        <v>1824</v>
      </c>
      <c r="M387" s="2" t="s">
        <v>1825</v>
      </c>
      <c r="N387" s="4"/>
      <c r="O387" s="2" t="s">
        <v>332</v>
      </c>
      <c r="P387" s="2" t="s">
        <v>332</v>
      </c>
      <c r="Q387" s="4">
        <v>0</v>
      </c>
      <c r="R387" s="2" t="s">
        <v>370</v>
      </c>
      <c r="S387" s="2" t="s">
        <v>94</v>
      </c>
      <c r="T387" s="2" t="s">
        <v>435</v>
      </c>
      <c r="U387" s="2" t="s">
        <v>380</v>
      </c>
      <c r="V387" s="2" t="s">
        <v>521</v>
      </c>
      <c r="W387" s="4">
        <v>1</v>
      </c>
      <c r="X387" s="2" t="s">
        <v>365</v>
      </c>
      <c r="Y387" s="4">
        <v>0</v>
      </c>
      <c r="Z387" s="4" t="s">
        <v>39</v>
      </c>
      <c r="AA387" s="2" t="s">
        <v>134</v>
      </c>
      <c r="AB387" s="2" t="s">
        <v>445</v>
      </c>
      <c r="AC387" s="2" t="s">
        <v>431</v>
      </c>
      <c r="AD387" s="4">
        <v>27</v>
      </c>
      <c r="AE387" s="2" t="s">
        <v>18</v>
      </c>
      <c r="AF387" s="2" t="s">
        <v>101</v>
      </c>
      <c r="AG387" s="2" t="s">
        <v>762</v>
      </c>
      <c r="AH387" s="2" t="s">
        <v>185</v>
      </c>
      <c r="AI387" s="2" t="s">
        <v>1461</v>
      </c>
      <c r="AJ387" s="4" t="s">
        <v>876</v>
      </c>
      <c r="AK387" s="2" t="s">
        <v>12</v>
      </c>
      <c r="AL387" s="4" t="s">
        <v>479</v>
      </c>
      <c r="AM387" s="2" t="s">
        <v>1266</v>
      </c>
      <c r="AN387" s="4" t="s">
        <v>1282</v>
      </c>
      <c r="AO387" s="2" t="s">
        <v>1557</v>
      </c>
      <c r="AP387" s="4"/>
      <c r="AQ387" s="4"/>
      <c r="AS387" s="4">
        <v>2</v>
      </c>
      <c r="AT387" s="4">
        <v>0</v>
      </c>
      <c r="AU387" s="4">
        <v>0</v>
      </c>
      <c r="AV387" s="4">
        <v>2</v>
      </c>
      <c r="AW387" s="4">
        <v>0</v>
      </c>
      <c r="AX387" s="4">
        <v>2</v>
      </c>
      <c r="AZ387" s="2" t="s">
        <v>60</v>
      </c>
    </row>
    <row r="388" spans="2:52" x14ac:dyDescent="0.15">
      <c r="B388" s="2" t="s">
        <v>1565</v>
      </c>
      <c r="C388" s="2" t="s">
        <v>1826</v>
      </c>
      <c r="D388" s="2" t="s">
        <v>31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31</v>
      </c>
      <c r="H388" s="4" t="str">
        <f>VLOOKUP(G388,corpsSet!$B$5:$C$46,2,0)</f>
        <v>孙坚</v>
      </c>
      <c r="I388" s="4" t="s">
        <v>204</v>
      </c>
      <c r="J388" s="4" t="str">
        <f>VLOOKUP(I388,citySet!$B$5:$C$46,2,0)</f>
        <v>柴桑</v>
      </c>
      <c r="K388" s="2" t="s">
        <v>1756</v>
      </c>
      <c r="L388" s="2" t="s">
        <v>1551</v>
      </c>
      <c r="M388" s="2" t="s">
        <v>1827</v>
      </c>
      <c r="N388" s="4"/>
      <c r="O388" s="2" t="s">
        <v>340</v>
      </c>
      <c r="P388" s="2" t="s">
        <v>340</v>
      </c>
      <c r="Q388" s="4">
        <v>0</v>
      </c>
      <c r="R388" s="2" t="s">
        <v>370</v>
      </c>
      <c r="S388" s="2" t="s">
        <v>548</v>
      </c>
      <c r="T388" s="2" t="s">
        <v>198</v>
      </c>
      <c r="U388" s="2" t="s">
        <v>408</v>
      </c>
      <c r="V388" s="2" t="s">
        <v>521</v>
      </c>
      <c r="W388" s="4">
        <v>1</v>
      </c>
      <c r="X388" s="2" t="s">
        <v>365</v>
      </c>
      <c r="Y388" s="4">
        <v>0</v>
      </c>
      <c r="Z388" s="4" t="s">
        <v>39</v>
      </c>
      <c r="AA388" s="2" t="s">
        <v>134</v>
      </c>
      <c r="AB388" s="2" t="s">
        <v>107</v>
      </c>
      <c r="AC388" s="2" t="s">
        <v>34</v>
      </c>
      <c r="AD388" s="4">
        <v>70</v>
      </c>
      <c r="AE388" s="2" t="s">
        <v>434</v>
      </c>
      <c r="AF388" s="2" t="s">
        <v>153</v>
      </c>
      <c r="AG388" s="2" t="s">
        <v>717</v>
      </c>
      <c r="AH388" s="2" t="s">
        <v>185</v>
      </c>
      <c r="AI388" s="2" t="s">
        <v>1461</v>
      </c>
      <c r="AJ388" s="4" t="s">
        <v>1698</v>
      </c>
      <c r="AK388" s="2" t="s">
        <v>1758</v>
      </c>
      <c r="AL388" s="4"/>
      <c r="AN388" s="4"/>
      <c r="AP388" s="4"/>
      <c r="AQ388" s="4"/>
      <c r="AS388" s="4">
        <v>0</v>
      </c>
      <c r="AT388" s="4">
        <v>0</v>
      </c>
      <c r="AU388" s="4">
        <v>1</v>
      </c>
      <c r="AV388" s="4">
        <v>0</v>
      </c>
      <c r="AW388" s="4">
        <v>0</v>
      </c>
      <c r="AX388" s="4">
        <v>1</v>
      </c>
      <c r="AZ388" s="2" t="s">
        <v>60</v>
      </c>
    </row>
    <row r="389" spans="2:52" x14ac:dyDescent="0.15">
      <c r="B389" s="2" t="s">
        <v>1831</v>
      </c>
      <c r="C389" s="2" t="s">
        <v>1828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31</v>
      </c>
      <c r="J389" s="4" t="str">
        <f>VLOOKUP(I389,citySet!$B$5:$C$46,2,0)</f>
        <v>蓟</v>
      </c>
      <c r="K389" s="2" t="s">
        <v>1756</v>
      </c>
      <c r="L389" s="2" t="s">
        <v>1829</v>
      </c>
      <c r="M389" s="2" t="s">
        <v>1830</v>
      </c>
      <c r="N389" s="4"/>
      <c r="O389" s="2" t="s">
        <v>805</v>
      </c>
      <c r="P389" s="2" t="s">
        <v>805</v>
      </c>
      <c r="Q389" s="4">
        <v>0</v>
      </c>
      <c r="R389" s="2" t="s">
        <v>370</v>
      </c>
      <c r="S389" s="2" t="s">
        <v>380</v>
      </c>
      <c r="T389" s="2" t="s">
        <v>96</v>
      </c>
      <c r="U389" s="2" t="s">
        <v>487</v>
      </c>
      <c r="V389" s="2" t="s">
        <v>106</v>
      </c>
      <c r="W389" s="4">
        <v>2</v>
      </c>
      <c r="X389" s="2" t="s">
        <v>2983</v>
      </c>
      <c r="Y389" s="4">
        <v>0</v>
      </c>
      <c r="Z389" s="4" t="s">
        <v>39</v>
      </c>
      <c r="AA389" s="2" t="s">
        <v>60</v>
      </c>
      <c r="AB389" s="2" t="s">
        <v>431</v>
      </c>
      <c r="AC389" s="2" t="s">
        <v>235</v>
      </c>
      <c r="AD389" s="4">
        <v>62</v>
      </c>
      <c r="AE389" s="2" t="s">
        <v>261</v>
      </c>
      <c r="AF389" s="2" t="s">
        <v>367</v>
      </c>
      <c r="AG389" s="2" t="s">
        <v>1698</v>
      </c>
      <c r="AH389" s="2" t="s">
        <v>185</v>
      </c>
      <c r="AI389" s="2" t="s">
        <v>1565</v>
      </c>
      <c r="AJ389" s="4"/>
      <c r="AL389" s="4"/>
      <c r="AN389" s="4"/>
      <c r="AP389" s="4"/>
      <c r="AQ389" s="4"/>
      <c r="AS389" s="4">
        <v>1</v>
      </c>
      <c r="AT389" s="4">
        <v>2</v>
      </c>
      <c r="AU389" s="4">
        <v>0</v>
      </c>
      <c r="AV389" s="4">
        <v>2</v>
      </c>
      <c r="AW389" s="4">
        <v>1</v>
      </c>
      <c r="AX389" s="4">
        <v>0</v>
      </c>
      <c r="AZ389" s="2" t="s">
        <v>60</v>
      </c>
    </row>
    <row r="390" spans="2:52" x14ac:dyDescent="0.15">
      <c r="B390" s="2" t="s">
        <v>1834</v>
      </c>
      <c r="C390" s="2" t="s">
        <v>1832</v>
      </c>
      <c r="D390" s="2" t="s">
        <v>31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31</v>
      </c>
      <c r="H390" s="4" t="str">
        <f>VLOOKUP(G390,corpsSet!$B$5:$C$46,2,0)</f>
        <v>孙坚</v>
      </c>
      <c r="I390" s="4" t="s">
        <v>204</v>
      </c>
      <c r="J390" s="4" t="str">
        <f>VLOOKUP(I390,citySet!$B$5:$C$46,2,0)</f>
        <v>柴桑</v>
      </c>
      <c r="K390" s="2" t="s">
        <v>1756</v>
      </c>
      <c r="L390" s="2" t="s">
        <v>721</v>
      </c>
      <c r="M390" s="2" t="s">
        <v>1833</v>
      </c>
      <c r="N390" s="4"/>
      <c r="O390" s="2" t="s">
        <v>589</v>
      </c>
      <c r="P390" s="2" t="s">
        <v>589</v>
      </c>
      <c r="Q390" s="4">
        <v>0</v>
      </c>
      <c r="R390" s="2" t="s">
        <v>370</v>
      </c>
      <c r="S390" s="2" t="s">
        <v>772</v>
      </c>
      <c r="T390" s="2" t="s">
        <v>544</v>
      </c>
      <c r="U390" s="2" t="s">
        <v>395</v>
      </c>
      <c r="V390" s="2" t="s">
        <v>521</v>
      </c>
      <c r="W390" s="4">
        <v>1</v>
      </c>
      <c r="X390" s="2" t="s">
        <v>365</v>
      </c>
      <c r="Y390" s="4">
        <v>0</v>
      </c>
      <c r="Z390" s="4" t="s">
        <v>39</v>
      </c>
      <c r="AA390" s="2" t="s">
        <v>134</v>
      </c>
      <c r="AB390" s="2" t="s">
        <v>219</v>
      </c>
      <c r="AC390" s="2" t="s">
        <v>99</v>
      </c>
      <c r="AD390" s="4">
        <v>30</v>
      </c>
      <c r="AE390" s="2" t="s">
        <v>126</v>
      </c>
      <c r="AF390" s="2" t="s">
        <v>101</v>
      </c>
      <c r="AG390" s="2" t="s">
        <v>585</v>
      </c>
      <c r="AH390" s="2" t="s">
        <v>185</v>
      </c>
      <c r="AI390" s="2" t="s">
        <v>1461</v>
      </c>
      <c r="AJ390" s="4" t="s">
        <v>876</v>
      </c>
      <c r="AK390" s="2" t="s">
        <v>12</v>
      </c>
      <c r="AL390" s="4" t="s">
        <v>479</v>
      </c>
      <c r="AM390" s="2" t="s">
        <v>1266</v>
      </c>
      <c r="AN390" s="4"/>
      <c r="AP390" s="4"/>
      <c r="AQ390" s="4"/>
      <c r="AS390" s="4">
        <v>0</v>
      </c>
      <c r="AT390" s="4">
        <v>0</v>
      </c>
      <c r="AU390" s="4">
        <v>1</v>
      </c>
      <c r="AV390" s="4">
        <v>0</v>
      </c>
      <c r="AW390" s="4">
        <v>1</v>
      </c>
      <c r="AX390" s="4">
        <v>1</v>
      </c>
      <c r="AZ390" s="2" t="s">
        <v>60</v>
      </c>
    </row>
    <row r="391" spans="2:52" x14ac:dyDescent="0.15">
      <c r="B391" s="2" t="s">
        <v>234</v>
      </c>
      <c r="C391" s="2" t="s">
        <v>1835</v>
      </c>
      <c r="D391" s="2" t="s">
        <v>31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31</v>
      </c>
      <c r="H391" s="4" t="str">
        <f>VLOOKUP(G391,corpsSet!$B$5:$C$46,2,0)</f>
        <v>孙坚</v>
      </c>
      <c r="I391" s="4" t="s">
        <v>204</v>
      </c>
      <c r="J391" s="4" t="str">
        <f>VLOOKUP(I391,citySet!$B$5:$C$46,2,0)</f>
        <v>柴桑</v>
      </c>
      <c r="K391" s="2" t="s">
        <v>1756</v>
      </c>
      <c r="L391" s="2" t="s">
        <v>1837</v>
      </c>
      <c r="M391" s="2" t="s">
        <v>1838</v>
      </c>
      <c r="N391" s="4"/>
      <c r="O391" s="2" t="s">
        <v>1836</v>
      </c>
      <c r="P391" s="2" t="s">
        <v>1836</v>
      </c>
      <c r="Q391" s="4">
        <v>1</v>
      </c>
      <c r="R391" s="2" t="s">
        <v>577</v>
      </c>
      <c r="S391" s="2" t="s">
        <v>340</v>
      </c>
      <c r="T391" s="2" t="s">
        <v>536</v>
      </c>
      <c r="U391" s="2" t="s">
        <v>487</v>
      </c>
      <c r="V391" s="2" t="s">
        <v>521</v>
      </c>
      <c r="W391" s="4">
        <v>1</v>
      </c>
      <c r="X391" s="2" t="s">
        <v>365</v>
      </c>
      <c r="Y391" s="4">
        <v>0</v>
      </c>
      <c r="Z391" s="4" t="s">
        <v>39</v>
      </c>
      <c r="AA391" s="2" t="s">
        <v>185</v>
      </c>
      <c r="AB391" s="2" t="s">
        <v>200</v>
      </c>
      <c r="AC391" s="2" t="s">
        <v>25</v>
      </c>
      <c r="AD391" s="4">
        <v>72</v>
      </c>
      <c r="AE391" s="2" t="s">
        <v>444</v>
      </c>
      <c r="AF391" s="2" t="s">
        <v>321</v>
      </c>
      <c r="AG391" s="2" t="s">
        <v>447</v>
      </c>
      <c r="AH391" s="2" t="s">
        <v>185</v>
      </c>
      <c r="AI391" s="2" t="s">
        <v>1461</v>
      </c>
      <c r="AJ391" s="4" t="s">
        <v>1698</v>
      </c>
      <c r="AK391" s="2" t="s">
        <v>1758</v>
      </c>
      <c r="AL391" s="4"/>
      <c r="AN391" s="4"/>
      <c r="AP391" s="4"/>
      <c r="AQ391" s="4"/>
      <c r="AS391" s="4">
        <v>0</v>
      </c>
      <c r="AT391" s="4">
        <v>1</v>
      </c>
      <c r="AU391" s="4">
        <v>0</v>
      </c>
      <c r="AV391" s="4">
        <v>0</v>
      </c>
      <c r="AW391" s="4">
        <v>0</v>
      </c>
      <c r="AX391" s="4">
        <v>2</v>
      </c>
      <c r="AZ391" s="2" t="s">
        <v>60</v>
      </c>
    </row>
    <row r="392" spans="2:52" x14ac:dyDescent="0.15">
      <c r="B392" s="2" t="s">
        <v>871</v>
      </c>
      <c r="C392" s="2" t="s">
        <v>1839</v>
      </c>
      <c r="D392" s="2" t="s">
        <v>31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31</v>
      </c>
      <c r="H392" s="4" t="str">
        <f>VLOOKUP(G392,corpsSet!$B$5:$C$46,2,0)</f>
        <v>孙坚</v>
      </c>
      <c r="I392" s="4" t="s">
        <v>204</v>
      </c>
      <c r="J392" s="4" t="str">
        <f>VLOOKUP(I392,citySet!$B$5:$C$46,2,0)</f>
        <v>柴桑</v>
      </c>
      <c r="K392" s="2" t="s">
        <v>1841</v>
      </c>
      <c r="L392" s="2" t="s">
        <v>1490</v>
      </c>
      <c r="N392" s="4"/>
      <c r="O392" s="2" t="s">
        <v>1840</v>
      </c>
      <c r="P392" s="2" t="s">
        <v>1840</v>
      </c>
      <c r="Q392" s="4">
        <v>1</v>
      </c>
      <c r="R392" s="2" t="s">
        <v>577</v>
      </c>
      <c r="S392" s="2" t="s">
        <v>407</v>
      </c>
      <c r="T392" s="2" t="s">
        <v>565</v>
      </c>
      <c r="U392" s="2" t="s">
        <v>685</v>
      </c>
      <c r="V392" s="2" t="s">
        <v>521</v>
      </c>
      <c r="W392" s="4">
        <v>1</v>
      </c>
      <c r="X392" s="2" t="s">
        <v>365</v>
      </c>
      <c r="Y392" s="4">
        <v>0</v>
      </c>
      <c r="Z392" s="4" t="s">
        <v>39</v>
      </c>
      <c r="AA392" s="2" t="s">
        <v>134</v>
      </c>
      <c r="AB392" s="2" t="s">
        <v>103</v>
      </c>
      <c r="AC392" s="2" t="s">
        <v>24</v>
      </c>
      <c r="AD392" s="4">
        <v>72</v>
      </c>
      <c r="AE392" s="2" t="s">
        <v>431</v>
      </c>
      <c r="AF392" s="2" t="s">
        <v>150</v>
      </c>
      <c r="AG392" s="2" t="s">
        <v>418</v>
      </c>
      <c r="AH392" s="2" t="s">
        <v>185</v>
      </c>
      <c r="AI392" s="2" t="s">
        <v>1077</v>
      </c>
      <c r="AJ392" s="4" t="s">
        <v>531</v>
      </c>
      <c r="AK392" s="2" t="s">
        <v>1488</v>
      </c>
      <c r="AL392" s="4"/>
      <c r="AN392" s="4" t="s">
        <v>677</v>
      </c>
      <c r="AO392" s="2" t="s">
        <v>1789</v>
      </c>
      <c r="AP392" s="4"/>
      <c r="AQ392" s="4"/>
      <c r="AS392" s="4">
        <v>0</v>
      </c>
      <c r="AT392" s="4">
        <v>0</v>
      </c>
      <c r="AU392" s="4">
        <v>1</v>
      </c>
      <c r="AV392" s="4">
        <v>0</v>
      </c>
      <c r="AW392" s="4">
        <v>0</v>
      </c>
      <c r="AX392" s="4">
        <v>2</v>
      </c>
      <c r="AZ392" s="2" t="s">
        <v>60</v>
      </c>
    </row>
    <row r="393" spans="2:52" x14ac:dyDescent="0.15">
      <c r="B393" s="2" t="s">
        <v>230</v>
      </c>
      <c r="C393" s="2" t="s">
        <v>1842</v>
      </c>
      <c r="D393" s="2" t="s">
        <v>103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103</v>
      </c>
      <c r="H393" s="4" t="str">
        <f>VLOOKUP(G393,corpsSet!$B$5:$C$46,2,0)</f>
        <v>孔融</v>
      </c>
      <c r="I393" s="4" t="s">
        <v>30</v>
      </c>
      <c r="J393" s="4" t="str">
        <f>VLOOKUP(I393,citySet!$B$5:$C$46,2,0)</f>
        <v>北海</v>
      </c>
      <c r="K393" s="2" t="s">
        <v>1845</v>
      </c>
      <c r="L393" s="2" t="s">
        <v>1846</v>
      </c>
      <c r="M393" s="2" t="s">
        <v>1847</v>
      </c>
      <c r="N393" s="4"/>
      <c r="O393" s="2" t="s">
        <v>1843</v>
      </c>
      <c r="P393" s="2" t="s">
        <v>1843</v>
      </c>
      <c r="Q393" s="4">
        <v>0</v>
      </c>
      <c r="R393" s="2" t="s">
        <v>370</v>
      </c>
      <c r="S393" s="2" t="s">
        <v>505</v>
      </c>
      <c r="T393" s="2" t="s">
        <v>393</v>
      </c>
      <c r="U393" s="2" t="s">
        <v>786</v>
      </c>
      <c r="V393" s="2" t="s">
        <v>469</v>
      </c>
      <c r="W393" s="4">
        <v>1</v>
      </c>
      <c r="X393" s="2" t="s">
        <v>365</v>
      </c>
      <c r="Y393" s="4">
        <v>2</v>
      </c>
      <c r="Z393" s="4" t="s">
        <v>443</v>
      </c>
      <c r="AA393" s="2" t="s">
        <v>403</v>
      </c>
      <c r="AB393" s="2" t="s">
        <v>432</v>
      </c>
      <c r="AC393" s="2" t="s">
        <v>404</v>
      </c>
      <c r="AD393" s="4">
        <v>48</v>
      </c>
      <c r="AE393" s="2" t="s">
        <v>486</v>
      </c>
      <c r="AF393" s="2" t="s">
        <v>93</v>
      </c>
      <c r="AG393" s="2" t="s">
        <v>1042</v>
      </c>
      <c r="AH393" s="2" t="s">
        <v>185</v>
      </c>
      <c r="AI393" s="2" t="s">
        <v>230</v>
      </c>
      <c r="AJ393" s="4">
        <v>39</v>
      </c>
      <c r="AK393" s="2" t="s">
        <v>1844</v>
      </c>
      <c r="AL393" s="4"/>
      <c r="AN393" s="4"/>
      <c r="AP393" s="4"/>
      <c r="AQ393" s="4"/>
      <c r="AS393" s="4">
        <v>0</v>
      </c>
      <c r="AT393" s="4">
        <v>1</v>
      </c>
      <c r="AU393" s="4">
        <v>0</v>
      </c>
      <c r="AV393" s="4">
        <v>1</v>
      </c>
      <c r="AW393" s="4">
        <v>0</v>
      </c>
      <c r="AX393" s="4">
        <v>1</v>
      </c>
      <c r="AZ393" s="2" t="s">
        <v>60</v>
      </c>
    </row>
    <row r="394" spans="2:52" x14ac:dyDescent="0.15">
      <c r="B394" s="2" t="s">
        <v>1850</v>
      </c>
      <c r="C394" s="2" t="s">
        <v>1844</v>
      </c>
      <c r="D394" s="2" t="s">
        <v>103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103</v>
      </c>
      <c r="H394" s="4" t="str">
        <f>VLOOKUP(G394,corpsSet!$B$5:$C$46,2,0)</f>
        <v>孔融</v>
      </c>
      <c r="I394" s="4" t="s">
        <v>30</v>
      </c>
      <c r="J394" s="4" t="str">
        <f>VLOOKUP(I394,citySet!$B$5:$C$46,2,0)</f>
        <v>北海</v>
      </c>
      <c r="K394" s="2" t="s">
        <v>1845</v>
      </c>
      <c r="L394" s="2" t="s">
        <v>1848</v>
      </c>
      <c r="M394" s="2" t="s">
        <v>1849</v>
      </c>
      <c r="N394" s="4"/>
      <c r="O394" s="2" t="s">
        <v>10</v>
      </c>
      <c r="P394" s="2" t="s">
        <v>10</v>
      </c>
      <c r="Q394" s="4">
        <v>0</v>
      </c>
      <c r="R394" s="2" t="s">
        <v>370</v>
      </c>
      <c r="S394" s="2" t="s">
        <v>578</v>
      </c>
      <c r="T394" s="2" t="s">
        <v>673</v>
      </c>
      <c r="U394" s="2" t="s">
        <v>490</v>
      </c>
      <c r="V394" s="2" t="s">
        <v>469</v>
      </c>
      <c r="W394" s="4">
        <v>1</v>
      </c>
      <c r="X394" s="2" t="s">
        <v>365</v>
      </c>
      <c r="Y394" s="4">
        <v>4</v>
      </c>
      <c r="Z394" s="4" t="s">
        <v>1091</v>
      </c>
      <c r="AA394" s="2" t="s">
        <v>185</v>
      </c>
      <c r="AB394" s="2" t="s">
        <v>554</v>
      </c>
      <c r="AC394" s="2" t="s">
        <v>130</v>
      </c>
      <c r="AD394" s="4">
        <v>66</v>
      </c>
      <c r="AE394" s="2" t="s">
        <v>485</v>
      </c>
      <c r="AF394" s="2" t="s">
        <v>88</v>
      </c>
      <c r="AG394" s="2" t="s">
        <v>1374</v>
      </c>
      <c r="AH394" s="2" t="s">
        <v>185</v>
      </c>
      <c r="AI394" s="2" t="s">
        <v>230</v>
      </c>
      <c r="AJ394" s="4"/>
      <c r="AL394" s="4"/>
      <c r="AN394" s="4"/>
      <c r="AP394" s="4"/>
      <c r="AQ394" s="4"/>
      <c r="AS394" s="4">
        <v>2</v>
      </c>
      <c r="AT394" s="4">
        <v>3</v>
      </c>
      <c r="AU394" s="4">
        <v>0</v>
      </c>
      <c r="AV394" s="4">
        <v>3</v>
      </c>
      <c r="AW394" s="4">
        <v>0</v>
      </c>
      <c r="AX394" s="4">
        <v>1</v>
      </c>
      <c r="AZ394" s="2" t="s">
        <v>60</v>
      </c>
    </row>
    <row r="395" spans="2:52" x14ac:dyDescent="0.15">
      <c r="B395" s="2" t="s">
        <v>1854</v>
      </c>
      <c r="C395" s="2" t="s">
        <v>1851</v>
      </c>
      <c r="D395" s="2" t="s">
        <v>200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200</v>
      </c>
      <c r="H395" s="4" t="str">
        <f>VLOOKUP(G395,corpsSet!$B$5:$C$46,2,0)</f>
        <v>孟获</v>
      </c>
      <c r="I395" s="4" t="s">
        <v>98</v>
      </c>
      <c r="J395" s="4" t="str">
        <f>VLOOKUP(I395,citySet!$B$5:$C$46,2,0)</f>
        <v>云南</v>
      </c>
      <c r="K395" s="2" t="s">
        <v>1852</v>
      </c>
      <c r="L395" s="2" t="s">
        <v>1853</v>
      </c>
      <c r="N395" s="4"/>
      <c r="O395" s="2" t="s">
        <v>740</v>
      </c>
      <c r="P395" s="2" t="s">
        <v>740</v>
      </c>
      <c r="Q395" s="4">
        <v>0</v>
      </c>
      <c r="R395" s="2" t="s">
        <v>370</v>
      </c>
      <c r="S395" s="2" t="s">
        <v>371</v>
      </c>
      <c r="T395" s="2" t="s">
        <v>83</v>
      </c>
      <c r="U395" s="2" t="s">
        <v>732</v>
      </c>
      <c r="V395" s="2" t="s">
        <v>93</v>
      </c>
      <c r="W395" s="4">
        <v>1</v>
      </c>
      <c r="X395" s="2" t="s">
        <v>365</v>
      </c>
      <c r="Y395" s="4">
        <v>7</v>
      </c>
      <c r="Z395" s="4" t="s">
        <v>3078</v>
      </c>
      <c r="AA395" s="2" t="s">
        <v>134</v>
      </c>
      <c r="AB395" s="2" t="s">
        <v>7</v>
      </c>
      <c r="AC395" s="2" t="s">
        <v>19</v>
      </c>
      <c r="AD395" s="4">
        <v>53</v>
      </c>
      <c r="AE395" s="2" t="s">
        <v>99</v>
      </c>
      <c r="AF395" s="2" t="s">
        <v>423</v>
      </c>
      <c r="AG395" s="2" t="s">
        <v>877</v>
      </c>
      <c r="AH395" s="2" t="s">
        <v>185</v>
      </c>
      <c r="AI395" s="2" t="s">
        <v>646</v>
      </c>
      <c r="AJ395" s="4"/>
      <c r="AK395" s="2" t="s">
        <v>1423</v>
      </c>
      <c r="AL395" s="4"/>
      <c r="AN395" s="4"/>
      <c r="AP395" s="4"/>
      <c r="AQ395" s="4"/>
      <c r="AS395" s="4">
        <v>0</v>
      </c>
      <c r="AT395" s="4">
        <v>1</v>
      </c>
      <c r="AU395" s="4">
        <v>1</v>
      </c>
      <c r="AV395" s="4">
        <v>0</v>
      </c>
      <c r="AW395" s="4">
        <v>0</v>
      </c>
      <c r="AX395" s="4">
        <v>0</v>
      </c>
      <c r="AZ395" s="2" t="s">
        <v>60</v>
      </c>
    </row>
    <row r="396" spans="2:52" x14ac:dyDescent="0.15">
      <c r="B396" s="2" t="s">
        <v>1358</v>
      </c>
      <c r="C396" s="2" t="s">
        <v>1855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106</v>
      </c>
      <c r="J396" s="4" t="str">
        <f>VLOOKUP(I396,citySet!$B$5:$C$46,2,0)</f>
        <v>安定</v>
      </c>
      <c r="K396" s="2" t="s">
        <v>1856</v>
      </c>
      <c r="L396" s="2" t="s">
        <v>1857</v>
      </c>
      <c r="N396" s="4"/>
      <c r="O396" s="2" t="s">
        <v>525</v>
      </c>
      <c r="P396" s="2" t="s">
        <v>525</v>
      </c>
      <c r="Q396" s="4">
        <v>0</v>
      </c>
      <c r="R396" s="2" t="s">
        <v>370</v>
      </c>
      <c r="S396" s="2" t="s">
        <v>379</v>
      </c>
      <c r="T396" s="2" t="s">
        <v>479</v>
      </c>
      <c r="U396" s="2" t="s">
        <v>447</v>
      </c>
      <c r="V396" s="2" t="s">
        <v>25</v>
      </c>
      <c r="W396" s="4">
        <v>2</v>
      </c>
      <c r="X396" s="2" t="s">
        <v>2983</v>
      </c>
      <c r="Y396" s="4">
        <v>0</v>
      </c>
      <c r="Z396" s="4" t="s">
        <v>39</v>
      </c>
      <c r="AA396" s="2" t="s">
        <v>60</v>
      </c>
      <c r="AB396" s="2" t="s">
        <v>153</v>
      </c>
      <c r="AC396" s="2" t="s">
        <v>481</v>
      </c>
      <c r="AD396" s="4">
        <v>39</v>
      </c>
      <c r="AE396" s="2" t="s">
        <v>414</v>
      </c>
      <c r="AF396" s="2" t="s">
        <v>4</v>
      </c>
      <c r="AG396" s="2" t="s">
        <v>650</v>
      </c>
      <c r="AH396" s="2" t="s">
        <v>185</v>
      </c>
      <c r="AI396" s="2" t="s">
        <v>1854</v>
      </c>
      <c r="AJ396" s="4"/>
      <c r="AL396" s="4"/>
      <c r="AN396" s="4"/>
      <c r="AP396" s="4"/>
      <c r="AQ396" s="4"/>
      <c r="AS396" s="4">
        <v>1</v>
      </c>
      <c r="AT396" s="4">
        <v>0</v>
      </c>
      <c r="AU396" s="4">
        <v>0</v>
      </c>
      <c r="AV396" s="4">
        <v>2</v>
      </c>
      <c r="AW396" s="4">
        <v>0</v>
      </c>
      <c r="AX396" s="4">
        <v>0</v>
      </c>
      <c r="AZ396" s="2" t="s">
        <v>60</v>
      </c>
    </row>
    <row r="397" spans="2:52" x14ac:dyDescent="0.15">
      <c r="B397" s="2" t="s">
        <v>1861</v>
      </c>
      <c r="C397" s="2" t="s">
        <v>1858</v>
      </c>
      <c r="D397" s="2" t="s">
        <v>200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200</v>
      </c>
      <c r="H397" s="4" t="str">
        <f>VLOOKUP(G397,corpsSet!$B$5:$C$46,2,0)</f>
        <v>孟获</v>
      </c>
      <c r="I397" s="4" t="s">
        <v>98</v>
      </c>
      <c r="J397" s="4" t="str">
        <f>VLOOKUP(I397,citySet!$B$5:$C$46,2,0)</f>
        <v>云南</v>
      </c>
      <c r="K397" s="2" t="s">
        <v>1859</v>
      </c>
      <c r="L397" s="2" t="s">
        <v>1860</v>
      </c>
      <c r="N397" s="4"/>
      <c r="O397" s="2" t="s">
        <v>664</v>
      </c>
      <c r="P397" s="2" t="s">
        <v>664</v>
      </c>
      <c r="Q397" s="4">
        <v>0</v>
      </c>
      <c r="R397" s="2" t="s">
        <v>370</v>
      </c>
      <c r="S397" s="2" t="s">
        <v>371</v>
      </c>
      <c r="T397" s="2" t="s">
        <v>707</v>
      </c>
      <c r="U397" s="2" t="s">
        <v>373</v>
      </c>
      <c r="V397" s="2" t="s">
        <v>93</v>
      </c>
      <c r="W397" s="4">
        <v>1</v>
      </c>
      <c r="X397" s="2" t="s">
        <v>365</v>
      </c>
      <c r="Y397" s="4">
        <v>8</v>
      </c>
      <c r="Z397" s="4" t="s">
        <v>3079</v>
      </c>
      <c r="AA397" s="2" t="s">
        <v>185</v>
      </c>
      <c r="AB397" s="2" t="s">
        <v>423</v>
      </c>
      <c r="AC397" s="2" t="s">
        <v>486</v>
      </c>
      <c r="AD397" s="4">
        <v>70</v>
      </c>
      <c r="AE397" s="2" t="s">
        <v>3</v>
      </c>
      <c r="AF397" s="2" t="s">
        <v>191</v>
      </c>
      <c r="AG397" s="2" t="s">
        <v>1282</v>
      </c>
      <c r="AH397" s="2" t="s">
        <v>185</v>
      </c>
      <c r="AI397" s="2" t="s">
        <v>1358</v>
      </c>
      <c r="AJ397" s="4"/>
      <c r="AL397" s="4"/>
      <c r="AN397" s="4"/>
      <c r="AP397" s="4"/>
      <c r="AQ397" s="4"/>
      <c r="AS397" s="4">
        <v>0</v>
      </c>
      <c r="AT397" s="4">
        <v>1</v>
      </c>
      <c r="AU397" s="4">
        <v>2</v>
      </c>
      <c r="AV397" s="4">
        <v>0</v>
      </c>
      <c r="AW397" s="4">
        <v>0</v>
      </c>
      <c r="AX397" s="4">
        <v>0</v>
      </c>
      <c r="AZ397" s="2" t="s">
        <v>60</v>
      </c>
    </row>
    <row r="398" spans="2:52" x14ac:dyDescent="0.15">
      <c r="B398" s="2" t="s">
        <v>1863</v>
      </c>
      <c r="C398" s="2" t="s">
        <v>1862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95</v>
      </c>
      <c r="J398" s="4" t="str">
        <f>VLOOKUP(I398,citySet!$B$5:$C$46,2,0)</f>
        <v>武陵</v>
      </c>
      <c r="K398" s="2" t="s">
        <v>551</v>
      </c>
      <c r="L398" s="2" t="s">
        <v>915</v>
      </c>
      <c r="N398" s="4"/>
      <c r="O398" s="2" t="s">
        <v>424</v>
      </c>
      <c r="P398" s="2" t="s">
        <v>424</v>
      </c>
      <c r="Q398" s="4">
        <v>0</v>
      </c>
      <c r="R398" s="2" t="s">
        <v>370</v>
      </c>
      <c r="S398" s="2" t="s">
        <v>505</v>
      </c>
      <c r="T398" s="2" t="s">
        <v>438</v>
      </c>
      <c r="U398" s="2" t="s">
        <v>437</v>
      </c>
      <c r="V398" s="2" t="s">
        <v>1035</v>
      </c>
      <c r="W398" s="4">
        <v>2</v>
      </c>
      <c r="X398" s="2" t="s">
        <v>2983</v>
      </c>
      <c r="Y398" s="4">
        <v>0</v>
      </c>
      <c r="Z398" s="4" t="s">
        <v>39</v>
      </c>
      <c r="AA398" s="2" t="s">
        <v>60</v>
      </c>
      <c r="AB398" s="2" t="s">
        <v>485</v>
      </c>
      <c r="AC398" s="2" t="s">
        <v>261</v>
      </c>
      <c r="AD398" s="4">
        <v>14</v>
      </c>
      <c r="AE398" s="2" t="s">
        <v>106</v>
      </c>
      <c r="AF398" s="2" t="s">
        <v>226</v>
      </c>
      <c r="AG398" s="2" t="s">
        <v>536</v>
      </c>
      <c r="AH398" s="2" t="s">
        <v>185</v>
      </c>
      <c r="AI398" s="2" t="s">
        <v>1861</v>
      </c>
      <c r="AJ398" s="4"/>
      <c r="AL398" s="4"/>
      <c r="AN398" s="4"/>
      <c r="AP398" s="4"/>
      <c r="AQ398" s="4"/>
      <c r="AS398" s="4">
        <v>2</v>
      </c>
      <c r="AT398" s="4">
        <v>0</v>
      </c>
      <c r="AU398" s="4">
        <v>0</v>
      </c>
      <c r="AV398" s="4">
        <v>1</v>
      </c>
      <c r="AW398" s="4">
        <v>0</v>
      </c>
      <c r="AX398" s="4">
        <v>1</v>
      </c>
      <c r="AZ398" s="2" t="s">
        <v>60</v>
      </c>
    </row>
    <row r="399" spans="2:52" x14ac:dyDescent="0.15">
      <c r="B399" s="2" t="s">
        <v>1866</v>
      </c>
      <c r="C399" s="2" t="s">
        <v>1864</v>
      </c>
      <c r="D399" s="2" t="s">
        <v>34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34</v>
      </c>
      <c r="H399" s="4" t="str">
        <f>VLOOKUP(G399,corpsSet!$B$5:$C$46,2,0)</f>
        <v>刘表</v>
      </c>
      <c r="I399" s="4" t="s">
        <v>119</v>
      </c>
      <c r="J399" s="4" t="str">
        <f>VLOOKUP(I399,citySet!$B$5:$C$46,2,0)</f>
        <v>襄阳</v>
      </c>
      <c r="K399" s="2" t="s">
        <v>1865</v>
      </c>
      <c r="L399" s="2" t="s">
        <v>587</v>
      </c>
      <c r="N399" s="4"/>
      <c r="O399" s="2" t="s">
        <v>1042</v>
      </c>
      <c r="P399" s="2" t="s">
        <v>1042</v>
      </c>
      <c r="Q399" s="4">
        <v>0</v>
      </c>
      <c r="R399" s="2" t="s">
        <v>370</v>
      </c>
      <c r="S399" s="2" t="s">
        <v>544</v>
      </c>
      <c r="T399" s="2" t="s">
        <v>478</v>
      </c>
      <c r="U399" s="2" t="s">
        <v>406</v>
      </c>
      <c r="V399" s="2" t="s">
        <v>15</v>
      </c>
      <c r="W399" s="4">
        <v>1</v>
      </c>
      <c r="X399" s="2" t="s">
        <v>365</v>
      </c>
      <c r="Y399" s="4">
        <v>2</v>
      </c>
      <c r="Z399" s="4" t="s">
        <v>443</v>
      </c>
      <c r="AA399" s="2" t="s">
        <v>185</v>
      </c>
      <c r="AB399" s="2" t="s">
        <v>374</v>
      </c>
      <c r="AC399" s="2" t="s">
        <v>445</v>
      </c>
      <c r="AD399" s="4">
        <v>42</v>
      </c>
      <c r="AE399" s="2" t="s">
        <v>201</v>
      </c>
      <c r="AF399" s="2" t="s">
        <v>414</v>
      </c>
      <c r="AG399" s="2" t="s">
        <v>496</v>
      </c>
      <c r="AH399" s="2" t="s">
        <v>185</v>
      </c>
      <c r="AI399" s="2" t="s">
        <v>1863</v>
      </c>
      <c r="AJ399" s="4"/>
      <c r="AL399" s="4"/>
      <c r="AN399" s="4"/>
      <c r="AP399" s="4"/>
      <c r="AQ399" s="4"/>
      <c r="AS399" s="4">
        <v>0</v>
      </c>
      <c r="AT399" s="4">
        <v>0</v>
      </c>
      <c r="AU399" s="4">
        <v>2</v>
      </c>
      <c r="AV399" s="4">
        <v>0</v>
      </c>
      <c r="AW399" s="4">
        <v>0</v>
      </c>
      <c r="AX399" s="4">
        <v>3</v>
      </c>
      <c r="AZ399" s="2" t="s">
        <v>60</v>
      </c>
    </row>
    <row r="400" spans="2:52" x14ac:dyDescent="0.15">
      <c r="B400" s="2" t="s">
        <v>1871</v>
      </c>
      <c r="C400" s="2" t="s">
        <v>3101</v>
      </c>
      <c r="D400" s="2" t="s">
        <v>35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35</v>
      </c>
      <c r="H400" s="4" t="str">
        <f>VLOOKUP(G400,corpsSet!$B$5:$C$46,2,0)</f>
        <v>刘备</v>
      </c>
      <c r="I400" s="4" t="s">
        <v>213</v>
      </c>
      <c r="J400" s="4" t="str">
        <f>VLOOKUP(I400,citySet!$B$5:$C$46,2,0)</f>
        <v>江陵</v>
      </c>
      <c r="K400" s="2" t="s">
        <v>1868</v>
      </c>
      <c r="L400" s="2" t="s">
        <v>1869</v>
      </c>
      <c r="M400" s="2" t="s">
        <v>1870</v>
      </c>
      <c r="N400" s="4"/>
      <c r="O400" s="2" t="s">
        <v>29</v>
      </c>
      <c r="P400" s="2" t="s">
        <v>29</v>
      </c>
      <c r="Q400" s="4">
        <v>0</v>
      </c>
      <c r="R400" s="2" t="s">
        <v>370</v>
      </c>
      <c r="S400" s="2" t="s">
        <v>544</v>
      </c>
      <c r="T400" s="2" t="s">
        <v>518</v>
      </c>
      <c r="U400" s="2" t="s">
        <v>806</v>
      </c>
      <c r="V400" s="2" t="s">
        <v>481</v>
      </c>
      <c r="W400" s="4">
        <v>1</v>
      </c>
      <c r="X400" s="2" t="s">
        <v>365</v>
      </c>
      <c r="Y400" s="4">
        <v>2</v>
      </c>
      <c r="Z400" s="4" t="s">
        <v>443</v>
      </c>
      <c r="AA400" s="2" t="s">
        <v>466</v>
      </c>
      <c r="AB400" s="2" t="s">
        <v>148</v>
      </c>
      <c r="AC400" s="2" t="s">
        <v>195</v>
      </c>
      <c r="AD400" s="4">
        <v>76</v>
      </c>
      <c r="AE400" s="2" t="s">
        <v>257</v>
      </c>
      <c r="AF400" s="2" t="s">
        <v>235</v>
      </c>
      <c r="AG400" s="2" t="s">
        <v>1867</v>
      </c>
      <c r="AH400" s="2" t="s">
        <v>185</v>
      </c>
      <c r="AI400" s="2" t="s">
        <v>1866</v>
      </c>
      <c r="AJ400" s="4"/>
      <c r="AL400" s="4"/>
      <c r="AN400" s="4"/>
      <c r="AP400" s="4"/>
      <c r="AQ400" s="4"/>
      <c r="AS400" s="4">
        <v>3</v>
      </c>
      <c r="AT400" s="4">
        <v>1</v>
      </c>
      <c r="AU400" s="4">
        <v>3</v>
      </c>
      <c r="AV400" s="4">
        <v>3</v>
      </c>
      <c r="AW400" s="4">
        <v>0</v>
      </c>
      <c r="AX400" s="4">
        <v>1</v>
      </c>
      <c r="AZ400" s="2" t="s">
        <v>60</v>
      </c>
    </row>
    <row r="401" spans="2:52" x14ac:dyDescent="0.15">
      <c r="B401" s="2" t="s">
        <v>1875</v>
      </c>
      <c r="C401" s="2" t="s">
        <v>1872</v>
      </c>
      <c r="D401" s="2" t="s">
        <v>3339</v>
      </c>
      <c r="E401" s="4" t="str">
        <f>VLOOKUP(D401,forceSet!$B$5:$D$46,3,0)</f>
        <v>张鲁</v>
      </c>
      <c r="F401" s="4" t="str">
        <f>VLOOKUP(I401,citySet!$B$5:$E$46,4,0)</f>
        <v>张鲁</v>
      </c>
      <c r="G401" s="2" t="s">
        <v>3339</v>
      </c>
      <c r="H401" s="4" t="str">
        <f>VLOOKUP(G401,corpsSet!$B$5:$C$46,2,0)</f>
        <v>张鲁</v>
      </c>
      <c r="I401" s="4" t="s">
        <v>226</v>
      </c>
      <c r="J401" s="4" t="str">
        <f>VLOOKUP(I401,citySet!$B$5:$C$46,2,0)</f>
        <v>汉中</v>
      </c>
      <c r="K401" s="2" t="s">
        <v>1865</v>
      </c>
      <c r="L401" s="2" t="s">
        <v>460</v>
      </c>
      <c r="N401" s="4"/>
      <c r="O401" s="2" t="s">
        <v>534</v>
      </c>
      <c r="P401" s="2" t="s">
        <v>534</v>
      </c>
      <c r="Q401" s="4">
        <v>0</v>
      </c>
      <c r="R401" s="2" t="s">
        <v>370</v>
      </c>
      <c r="S401" s="2" t="s">
        <v>564</v>
      </c>
      <c r="T401" s="2" t="s">
        <v>712</v>
      </c>
      <c r="U401" s="2" t="s">
        <v>332</v>
      </c>
      <c r="V401" s="2" t="s">
        <v>8</v>
      </c>
      <c r="W401" s="4">
        <v>1</v>
      </c>
      <c r="X401" s="2" t="s">
        <v>365</v>
      </c>
      <c r="Y401" s="4">
        <v>4</v>
      </c>
      <c r="Z401" s="4" t="s">
        <v>1091</v>
      </c>
      <c r="AA401" s="2" t="s">
        <v>134</v>
      </c>
      <c r="AB401" s="2" t="s">
        <v>367</v>
      </c>
      <c r="AC401" s="2" t="s">
        <v>404</v>
      </c>
      <c r="AD401" s="4">
        <v>45</v>
      </c>
      <c r="AE401" s="2" t="s">
        <v>100</v>
      </c>
      <c r="AF401" s="2" t="s">
        <v>269</v>
      </c>
      <c r="AG401" s="2" t="s">
        <v>1042</v>
      </c>
      <c r="AH401" s="2" t="s">
        <v>185</v>
      </c>
      <c r="AI401" s="2" t="s">
        <v>1873</v>
      </c>
      <c r="AJ401" s="4"/>
      <c r="AK401" s="2" t="s">
        <v>1874</v>
      </c>
      <c r="AL401" s="4"/>
      <c r="AN401" s="4"/>
      <c r="AP401" s="4"/>
      <c r="AQ401" s="4"/>
      <c r="AS401" s="4">
        <v>0</v>
      </c>
      <c r="AT401" s="4">
        <v>2</v>
      </c>
      <c r="AU401" s="4">
        <v>1</v>
      </c>
      <c r="AV401" s="4">
        <v>0</v>
      </c>
      <c r="AW401" s="4">
        <v>0</v>
      </c>
      <c r="AX401" s="4">
        <v>0</v>
      </c>
      <c r="AZ401" s="2" t="s">
        <v>60</v>
      </c>
    </row>
    <row r="402" spans="2:52" x14ac:dyDescent="0.15">
      <c r="B402" s="2" t="s">
        <v>838</v>
      </c>
      <c r="C402" s="2" t="s">
        <v>1876</v>
      </c>
      <c r="D402" s="2" t="s">
        <v>193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193</v>
      </c>
      <c r="H402" s="4" t="str">
        <f>VLOOKUP(G402,corpsSet!$B$5:$C$46,2,0)</f>
        <v>刘繇</v>
      </c>
      <c r="I402" s="4" t="s">
        <v>189</v>
      </c>
      <c r="J402" s="4" t="str">
        <f>VLOOKUP(I402,citySet!$B$5:$C$46,2,0)</f>
        <v>建业</v>
      </c>
      <c r="K402" s="2" t="s">
        <v>1865</v>
      </c>
      <c r="L402" s="2" t="s">
        <v>1877</v>
      </c>
      <c r="N402" s="4"/>
      <c r="O402" s="2" t="s">
        <v>1831</v>
      </c>
      <c r="P402" s="2" t="s">
        <v>1831</v>
      </c>
      <c r="Q402" s="4">
        <v>0</v>
      </c>
      <c r="R402" s="2" t="s">
        <v>370</v>
      </c>
      <c r="S402" s="2" t="s">
        <v>435</v>
      </c>
      <c r="T402" s="2" t="s">
        <v>535</v>
      </c>
      <c r="U402" s="2" t="s">
        <v>83</v>
      </c>
      <c r="V402" s="2" t="s">
        <v>24</v>
      </c>
      <c r="W402" s="4">
        <v>1</v>
      </c>
      <c r="X402" s="2" t="s">
        <v>365</v>
      </c>
      <c r="Y402" s="4">
        <v>4</v>
      </c>
      <c r="Z402" s="4" t="s">
        <v>1091</v>
      </c>
      <c r="AA402" s="2" t="s">
        <v>403</v>
      </c>
      <c r="AB402" s="2" t="s">
        <v>481</v>
      </c>
      <c r="AC402" s="2" t="s">
        <v>367</v>
      </c>
      <c r="AD402" s="4">
        <v>41</v>
      </c>
      <c r="AE402" s="2" t="s">
        <v>219</v>
      </c>
      <c r="AF402" s="2" t="s">
        <v>233</v>
      </c>
      <c r="AG402" s="2" t="s">
        <v>381</v>
      </c>
      <c r="AH402" s="2" t="s">
        <v>185</v>
      </c>
      <c r="AI402" s="2" t="s">
        <v>1875</v>
      </c>
      <c r="AJ402" s="4"/>
      <c r="AL402" s="4"/>
      <c r="AN402" s="4"/>
      <c r="AP402" s="4"/>
      <c r="AQ402" s="4"/>
      <c r="AS402" s="4">
        <v>2</v>
      </c>
      <c r="AT402" s="4">
        <v>1</v>
      </c>
      <c r="AU402" s="4">
        <v>1</v>
      </c>
      <c r="AV402" s="4">
        <v>0</v>
      </c>
      <c r="AW402" s="4">
        <v>0</v>
      </c>
      <c r="AX402" s="4">
        <v>0</v>
      </c>
      <c r="AZ402" s="2" t="s">
        <v>60</v>
      </c>
    </row>
    <row r="403" spans="2:52" x14ac:dyDescent="0.15">
      <c r="B403" s="2" t="s">
        <v>1879</v>
      </c>
      <c r="C403" s="2" t="s">
        <v>1767</v>
      </c>
      <c r="D403" s="2" t="s">
        <v>25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25</v>
      </c>
      <c r="H403" s="4" t="str">
        <f>VLOOKUP(G403,corpsSet!$B$5:$C$46,2,0)</f>
        <v>张角</v>
      </c>
      <c r="I403" s="4" t="s">
        <v>20</v>
      </c>
      <c r="J403" s="4" t="str">
        <f>VLOOKUP(I403,citySet!$B$5:$C$46,2,0)</f>
        <v>濮阳</v>
      </c>
      <c r="K403" s="2" t="s">
        <v>1865</v>
      </c>
      <c r="L403" s="2" t="s">
        <v>1878</v>
      </c>
      <c r="N403" s="4"/>
      <c r="O403" s="2" t="s">
        <v>1565</v>
      </c>
      <c r="P403" s="2" t="s">
        <v>1565</v>
      </c>
      <c r="Q403" s="4">
        <v>0</v>
      </c>
      <c r="R403" s="2" t="s">
        <v>370</v>
      </c>
      <c r="S403" s="2" t="s">
        <v>435</v>
      </c>
      <c r="T403" s="2" t="s">
        <v>995</v>
      </c>
      <c r="U403" s="2" t="s">
        <v>685</v>
      </c>
      <c r="V403" s="2" t="s">
        <v>30</v>
      </c>
      <c r="W403" s="4">
        <v>1</v>
      </c>
      <c r="X403" s="2" t="s">
        <v>365</v>
      </c>
      <c r="Y403" s="4">
        <v>0</v>
      </c>
      <c r="Z403" s="4" t="s">
        <v>39</v>
      </c>
      <c r="AA403" s="2" t="s">
        <v>403</v>
      </c>
      <c r="AB403" s="2" t="s">
        <v>554</v>
      </c>
      <c r="AC403" s="2" t="s">
        <v>235</v>
      </c>
      <c r="AD403" s="4">
        <v>53</v>
      </c>
      <c r="AE403" s="2" t="s">
        <v>414</v>
      </c>
      <c r="AF403" s="2" t="s">
        <v>382</v>
      </c>
      <c r="AG403" s="2" t="s">
        <v>944</v>
      </c>
      <c r="AH403" s="2" t="s">
        <v>185</v>
      </c>
      <c r="AI403" s="2" t="s">
        <v>838</v>
      </c>
      <c r="AJ403" s="4"/>
      <c r="AL403" s="4"/>
      <c r="AN403" s="4"/>
      <c r="AP403" s="4"/>
      <c r="AQ403" s="4"/>
      <c r="AS403" s="4">
        <v>1</v>
      </c>
      <c r="AT403" s="4">
        <v>1</v>
      </c>
      <c r="AU403" s="4">
        <v>0</v>
      </c>
      <c r="AV403" s="4">
        <v>3</v>
      </c>
      <c r="AW403" s="4">
        <v>2</v>
      </c>
      <c r="AX403" s="4">
        <v>0</v>
      </c>
      <c r="AZ403" s="2" t="s">
        <v>60</v>
      </c>
    </row>
    <row r="404" spans="2:52" x14ac:dyDescent="0.15">
      <c r="B404" s="2" t="s">
        <v>120</v>
      </c>
      <c r="C404" s="2" t="s">
        <v>1880</v>
      </c>
      <c r="D404" s="2" t="s">
        <v>107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107</v>
      </c>
      <c r="H404" s="4" t="str">
        <f>VLOOKUP(G404,corpsSet!$B$5:$C$46,2,0)</f>
        <v>韩遂</v>
      </c>
      <c r="I404" s="4" t="s">
        <v>107</v>
      </c>
      <c r="J404" s="4" t="str">
        <f>VLOOKUP(I404,citySet!$B$5:$C$46,2,0)</f>
        <v>天水</v>
      </c>
      <c r="K404" s="2" t="s">
        <v>1865</v>
      </c>
      <c r="L404" s="2" t="s">
        <v>1881</v>
      </c>
      <c r="N404" s="4"/>
      <c r="O404" s="2" t="s">
        <v>1834</v>
      </c>
      <c r="P404" s="2" t="s">
        <v>1834</v>
      </c>
      <c r="Q404" s="4">
        <v>0</v>
      </c>
      <c r="R404" s="2" t="s">
        <v>370</v>
      </c>
      <c r="S404" s="2" t="s">
        <v>425</v>
      </c>
      <c r="T404" s="2" t="s">
        <v>725</v>
      </c>
      <c r="U404" s="2" t="s">
        <v>417</v>
      </c>
      <c r="V404" s="2" t="s">
        <v>414</v>
      </c>
      <c r="W404" s="4">
        <v>1</v>
      </c>
      <c r="X404" s="2" t="s">
        <v>365</v>
      </c>
      <c r="Y404" s="4">
        <v>0</v>
      </c>
      <c r="Z404" s="4" t="s">
        <v>39</v>
      </c>
      <c r="AA404" s="2" t="s">
        <v>403</v>
      </c>
      <c r="AB404" s="2" t="s">
        <v>486</v>
      </c>
      <c r="AC404" s="2" t="s">
        <v>153</v>
      </c>
      <c r="AD404" s="4">
        <v>23</v>
      </c>
      <c r="AE404" s="2" t="s">
        <v>193</v>
      </c>
      <c r="AF404" s="2" t="s">
        <v>233</v>
      </c>
      <c r="AG404" s="2" t="s">
        <v>373</v>
      </c>
      <c r="AH404" s="2" t="s">
        <v>185</v>
      </c>
      <c r="AI404" s="2" t="s">
        <v>1879</v>
      </c>
      <c r="AJ404" s="4"/>
      <c r="AL404" s="4"/>
      <c r="AN404" s="4"/>
      <c r="AP404" s="4"/>
      <c r="AQ404" s="4"/>
      <c r="AS404" s="4">
        <v>0</v>
      </c>
      <c r="AT404" s="4">
        <v>0</v>
      </c>
      <c r="AU404" s="4">
        <v>0</v>
      </c>
      <c r="AV404" s="4">
        <v>2</v>
      </c>
      <c r="AW404" s="4">
        <v>0</v>
      </c>
      <c r="AX404" s="4">
        <v>0</v>
      </c>
      <c r="AZ404" s="2" t="s">
        <v>60</v>
      </c>
    </row>
    <row r="405" spans="2:52" x14ac:dyDescent="0.15">
      <c r="B405" s="2" t="s">
        <v>1884</v>
      </c>
      <c r="C405" s="2" t="s">
        <v>1882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193</v>
      </c>
      <c r="J405" s="4" t="str">
        <f>VLOOKUP(I405,citySet!$B$5:$C$46,2,0)</f>
        <v>吴</v>
      </c>
      <c r="K405" s="2" t="s">
        <v>1865</v>
      </c>
      <c r="L405" s="2" t="s">
        <v>727</v>
      </c>
      <c r="M405" s="2" t="s">
        <v>1883</v>
      </c>
      <c r="N405" s="4"/>
      <c r="O405" s="2" t="s">
        <v>234</v>
      </c>
      <c r="P405" s="2" t="s">
        <v>234</v>
      </c>
      <c r="Q405" s="4">
        <v>0</v>
      </c>
      <c r="R405" s="2" t="s">
        <v>370</v>
      </c>
      <c r="S405" s="2" t="s">
        <v>685</v>
      </c>
      <c r="T405" s="2" t="s">
        <v>467</v>
      </c>
      <c r="U405" s="2" t="s">
        <v>556</v>
      </c>
      <c r="V405" s="2" t="s">
        <v>137</v>
      </c>
      <c r="W405" s="4">
        <v>2</v>
      </c>
      <c r="X405" s="2" t="s">
        <v>2983</v>
      </c>
      <c r="Y405" s="4">
        <v>0</v>
      </c>
      <c r="Z405" s="4" t="s">
        <v>39</v>
      </c>
      <c r="AA405" s="2" t="s">
        <v>60</v>
      </c>
      <c r="AB405" s="2" t="s">
        <v>103</v>
      </c>
      <c r="AC405" s="2" t="s">
        <v>32</v>
      </c>
      <c r="AD405" s="4">
        <v>71</v>
      </c>
      <c r="AE405" s="2" t="s">
        <v>431</v>
      </c>
      <c r="AF405" s="2" t="s">
        <v>153</v>
      </c>
      <c r="AG405" s="2" t="s">
        <v>786</v>
      </c>
      <c r="AH405" s="2" t="s">
        <v>185</v>
      </c>
      <c r="AI405" s="2" t="s">
        <v>120</v>
      </c>
      <c r="AJ405" s="4"/>
      <c r="AL405" s="4"/>
      <c r="AN405" s="4"/>
      <c r="AP405" s="4"/>
      <c r="AQ405" s="4"/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1</v>
      </c>
      <c r="AZ405" s="2" t="s">
        <v>60</v>
      </c>
    </row>
    <row r="406" spans="2:52" x14ac:dyDescent="0.15">
      <c r="B406" s="2" t="s">
        <v>1561</v>
      </c>
      <c r="C406" s="2" t="s">
        <v>1885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31</v>
      </c>
      <c r="J406" s="4" t="str">
        <f>VLOOKUP(I406,citySet!$B$5:$C$46,2,0)</f>
        <v>蓟</v>
      </c>
      <c r="K406" s="2" t="s">
        <v>1865</v>
      </c>
      <c r="L406" s="2" t="s">
        <v>750</v>
      </c>
      <c r="M406" s="2" t="s">
        <v>1887</v>
      </c>
      <c r="N406" s="4"/>
      <c r="O406" s="2" t="s">
        <v>1886</v>
      </c>
      <c r="P406" s="2" t="s">
        <v>1886</v>
      </c>
      <c r="Q406" s="4">
        <v>0</v>
      </c>
      <c r="R406" s="2" t="s">
        <v>370</v>
      </c>
      <c r="S406" s="2" t="s">
        <v>215</v>
      </c>
      <c r="T406" s="2" t="s">
        <v>991</v>
      </c>
      <c r="U406" s="2" t="s">
        <v>158</v>
      </c>
      <c r="V406" s="2" t="s">
        <v>213</v>
      </c>
      <c r="W406" s="4">
        <v>2</v>
      </c>
      <c r="X406" s="2" t="s">
        <v>2983</v>
      </c>
      <c r="Y406" s="4">
        <v>0</v>
      </c>
      <c r="Z406" s="4" t="s">
        <v>39</v>
      </c>
      <c r="AA406" s="2" t="s">
        <v>60</v>
      </c>
      <c r="AB406" s="2" t="s">
        <v>15</v>
      </c>
      <c r="AC406" s="2" t="s">
        <v>204</v>
      </c>
      <c r="AD406" s="4">
        <v>78</v>
      </c>
      <c r="AE406" s="2" t="s">
        <v>88</v>
      </c>
      <c r="AF406" s="2" t="s">
        <v>444</v>
      </c>
      <c r="AG406" s="2" t="s">
        <v>893</v>
      </c>
      <c r="AH406" s="2" t="s">
        <v>185</v>
      </c>
      <c r="AI406" s="2" t="s">
        <v>1884</v>
      </c>
      <c r="AJ406" s="4"/>
      <c r="AL406" s="4"/>
      <c r="AN406" s="4"/>
      <c r="AP406" s="4"/>
      <c r="AQ406" s="4"/>
      <c r="AS406" s="4">
        <v>0</v>
      </c>
      <c r="AT406" s="4">
        <v>0</v>
      </c>
      <c r="AU406" s="4">
        <v>0</v>
      </c>
      <c r="AV406" s="4">
        <v>0</v>
      </c>
      <c r="AW406" s="4">
        <v>1</v>
      </c>
      <c r="AX406" s="4">
        <v>0</v>
      </c>
      <c r="AZ406" s="2" t="s">
        <v>60</v>
      </c>
    </row>
    <row r="407" spans="2:52" x14ac:dyDescent="0.15">
      <c r="B407" s="2" t="s">
        <v>1889</v>
      </c>
      <c r="C407" s="2" t="s">
        <v>3102</v>
      </c>
      <c r="D407" s="2" t="s">
        <v>105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105</v>
      </c>
      <c r="H407" s="4" t="str">
        <f>VLOOKUP(G407,corpsSet!$B$5:$C$46,2,0)</f>
        <v>陶谦</v>
      </c>
      <c r="I407" s="4" t="s">
        <v>32</v>
      </c>
      <c r="J407" s="4" t="str">
        <f>VLOOKUP(I407,citySet!$B$5:$C$46,2,0)</f>
        <v>小沛</v>
      </c>
      <c r="K407" s="2" t="s">
        <v>1865</v>
      </c>
      <c r="L407" s="2" t="s">
        <v>1888</v>
      </c>
      <c r="N407" s="4"/>
      <c r="O407" s="2" t="s">
        <v>871</v>
      </c>
      <c r="P407" s="2" t="s">
        <v>871</v>
      </c>
      <c r="Q407" s="4">
        <v>0</v>
      </c>
      <c r="R407" s="2" t="s">
        <v>370</v>
      </c>
      <c r="S407" s="2" t="s">
        <v>435</v>
      </c>
      <c r="T407" s="2" t="s">
        <v>524</v>
      </c>
      <c r="U407" s="2" t="s">
        <v>536</v>
      </c>
      <c r="V407" s="2" t="s">
        <v>34</v>
      </c>
      <c r="W407" s="4">
        <v>1</v>
      </c>
      <c r="X407" s="2" t="s">
        <v>365</v>
      </c>
      <c r="Y407" s="4">
        <v>0</v>
      </c>
      <c r="Z407" s="4" t="s">
        <v>39</v>
      </c>
      <c r="AA407" s="2" t="s">
        <v>79</v>
      </c>
      <c r="AB407" s="2" t="s">
        <v>219</v>
      </c>
      <c r="AC407" s="2" t="s">
        <v>404</v>
      </c>
      <c r="AD407" s="4">
        <v>8</v>
      </c>
      <c r="AE407" s="2" t="s">
        <v>27</v>
      </c>
      <c r="AF407" s="2" t="s">
        <v>32</v>
      </c>
      <c r="AG407" s="2" t="s">
        <v>141</v>
      </c>
      <c r="AH407" s="2" t="s">
        <v>185</v>
      </c>
      <c r="AI407" s="2" t="s">
        <v>1561</v>
      </c>
      <c r="AJ407" s="4"/>
      <c r="AL407" s="4"/>
      <c r="AN407" s="4"/>
      <c r="AP407" s="4"/>
      <c r="AQ407" s="4"/>
      <c r="AS407" s="4">
        <v>1</v>
      </c>
      <c r="AT407" s="4">
        <v>1</v>
      </c>
      <c r="AU407" s="4">
        <v>0</v>
      </c>
      <c r="AV407" s="4">
        <v>0</v>
      </c>
      <c r="AW407" s="4">
        <v>0</v>
      </c>
      <c r="AX407" s="4">
        <v>0</v>
      </c>
      <c r="AZ407" s="2" t="s">
        <v>60</v>
      </c>
    </row>
    <row r="408" spans="2:52" x14ac:dyDescent="0.15">
      <c r="B408" s="2" t="s">
        <v>1893</v>
      </c>
      <c r="C408" s="2" t="s">
        <v>28</v>
      </c>
      <c r="D408" s="2" t="s">
        <v>25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25</v>
      </c>
      <c r="H408" s="4" t="str">
        <f>VLOOKUP(G408,corpsSet!$B$5:$C$46,2,0)</f>
        <v>张角</v>
      </c>
      <c r="I408" s="4" t="s">
        <v>20</v>
      </c>
      <c r="J408" s="4" t="str">
        <f>VLOOKUP(I408,citySet!$B$5:$C$46,2,0)</f>
        <v>濮阳</v>
      </c>
      <c r="K408" s="2" t="s">
        <v>1865</v>
      </c>
      <c r="L408" s="2" t="s">
        <v>1892</v>
      </c>
      <c r="N408" s="4"/>
      <c r="O408" s="2" t="s">
        <v>692</v>
      </c>
      <c r="P408" s="2" t="s">
        <v>692</v>
      </c>
      <c r="Q408" s="4">
        <v>0</v>
      </c>
      <c r="R408" s="2" t="s">
        <v>370</v>
      </c>
      <c r="S408" s="2" t="s">
        <v>435</v>
      </c>
      <c r="T408" s="2" t="s">
        <v>458</v>
      </c>
      <c r="U408" s="2" t="s">
        <v>435</v>
      </c>
      <c r="V408" s="2" t="s">
        <v>34</v>
      </c>
      <c r="W408" s="4">
        <v>3</v>
      </c>
      <c r="X408" s="2" t="s">
        <v>2</v>
      </c>
      <c r="Y408" s="4">
        <v>0</v>
      </c>
      <c r="Z408" s="4" t="s">
        <v>39</v>
      </c>
      <c r="AA408" s="2" t="s">
        <v>185</v>
      </c>
      <c r="AB408" s="2" t="s">
        <v>258</v>
      </c>
      <c r="AC408" s="2" t="s">
        <v>196</v>
      </c>
      <c r="AD408" s="4">
        <v>86</v>
      </c>
      <c r="AE408" s="2" t="s">
        <v>329</v>
      </c>
      <c r="AF408" s="2" t="s">
        <v>228</v>
      </c>
      <c r="AG408" s="2" t="s">
        <v>1800</v>
      </c>
      <c r="AH408" s="2" t="s">
        <v>185</v>
      </c>
      <c r="AI408" s="2" t="s">
        <v>1889</v>
      </c>
      <c r="AJ408" s="4"/>
      <c r="AK408" s="2" t="s">
        <v>1890</v>
      </c>
      <c r="AL408" s="4"/>
      <c r="AN408" s="4"/>
      <c r="AP408" s="4"/>
      <c r="AQ408" s="4"/>
      <c r="AS408" s="4">
        <v>2</v>
      </c>
      <c r="AT408" s="4">
        <v>3</v>
      </c>
      <c r="AU408" s="4">
        <v>2</v>
      </c>
      <c r="AV408" s="4">
        <v>0</v>
      </c>
      <c r="AW408" s="4">
        <v>2</v>
      </c>
      <c r="AX408" s="4">
        <v>0</v>
      </c>
      <c r="AZ408" s="2" t="s">
        <v>60</v>
      </c>
    </row>
    <row r="409" spans="2:52" x14ac:dyDescent="0.15">
      <c r="B409" s="2" t="s">
        <v>1897</v>
      </c>
      <c r="C409" s="2" t="s">
        <v>1894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104</v>
      </c>
      <c r="J409" s="4" t="str">
        <f>VLOOKUP(I409,citySet!$B$5:$C$46,2,0)</f>
        <v>长安</v>
      </c>
      <c r="K409" s="2" t="s">
        <v>1865</v>
      </c>
      <c r="L409" s="2" t="s">
        <v>1895</v>
      </c>
      <c r="M409" s="2" t="s">
        <v>1896</v>
      </c>
      <c r="N409" s="4"/>
      <c r="O409" s="2" t="s">
        <v>1854</v>
      </c>
      <c r="P409" s="2" t="s">
        <v>1854</v>
      </c>
      <c r="Q409" s="4">
        <v>0</v>
      </c>
      <c r="R409" s="2" t="s">
        <v>370</v>
      </c>
      <c r="S409" s="2" t="s">
        <v>393</v>
      </c>
      <c r="T409" s="2" t="s">
        <v>555</v>
      </c>
      <c r="U409" s="2" t="s">
        <v>489</v>
      </c>
      <c r="V409" s="2" t="s">
        <v>107</v>
      </c>
      <c r="W409" s="4">
        <v>2</v>
      </c>
      <c r="X409" s="2" t="s">
        <v>2983</v>
      </c>
      <c r="Y409" s="4">
        <v>0</v>
      </c>
      <c r="Z409" s="4" t="s">
        <v>39</v>
      </c>
      <c r="AA409" s="2" t="s">
        <v>60</v>
      </c>
      <c r="AB409" s="2" t="s">
        <v>367</v>
      </c>
      <c r="AC409" s="2" t="s">
        <v>220</v>
      </c>
      <c r="AD409" s="4">
        <v>75</v>
      </c>
      <c r="AE409" s="2" t="s">
        <v>123</v>
      </c>
      <c r="AF409" s="2" t="s">
        <v>235</v>
      </c>
      <c r="AG409" s="2" t="s">
        <v>336</v>
      </c>
      <c r="AH409" s="2" t="s">
        <v>185</v>
      </c>
      <c r="AI409" s="2" t="s">
        <v>1893</v>
      </c>
      <c r="AJ409" s="4"/>
      <c r="AL409" s="4"/>
      <c r="AN409" s="4"/>
      <c r="AP409" s="4"/>
      <c r="AQ409" s="4"/>
      <c r="AS409" s="4">
        <v>0</v>
      </c>
      <c r="AT409" s="4">
        <v>1</v>
      </c>
      <c r="AU409" s="4">
        <v>1</v>
      </c>
      <c r="AV409" s="4">
        <v>2</v>
      </c>
      <c r="AW409" s="4">
        <v>3</v>
      </c>
      <c r="AX409" s="4">
        <v>0</v>
      </c>
      <c r="AZ409" s="2" t="s">
        <v>60</v>
      </c>
    </row>
    <row r="410" spans="2:52" x14ac:dyDescent="0.15">
      <c r="B410" s="2" t="s">
        <v>945</v>
      </c>
      <c r="C410" s="2" t="s">
        <v>1898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29</v>
      </c>
      <c r="J410" s="4" t="str">
        <f>VLOOKUP(I410,citySet!$B$5:$C$46,2,0)</f>
        <v>下邳</v>
      </c>
      <c r="K410" s="2" t="s">
        <v>1865</v>
      </c>
      <c r="L410" s="2" t="s">
        <v>1682</v>
      </c>
      <c r="M410" s="2" t="s">
        <v>1901</v>
      </c>
      <c r="N410" s="4"/>
      <c r="O410" s="2" t="s">
        <v>381</v>
      </c>
      <c r="P410" s="2" t="s">
        <v>381</v>
      </c>
      <c r="Q410" s="4">
        <v>0</v>
      </c>
      <c r="R410" s="2" t="s">
        <v>370</v>
      </c>
      <c r="S410" s="2" t="s">
        <v>512</v>
      </c>
      <c r="T410" s="2" t="s">
        <v>380</v>
      </c>
      <c r="U410" s="2" t="s">
        <v>717</v>
      </c>
      <c r="V410" s="2" t="s">
        <v>134</v>
      </c>
      <c r="W410" s="4">
        <v>2</v>
      </c>
      <c r="X410" s="2" t="s">
        <v>2983</v>
      </c>
      <c r="Y410" s="4">
        <v>0</v>
      </c>
      <c r="Z410" s="4" t="s">
        <v>39</v>
      </c>
      <c r="AA410" s="2" t="s">
        <v>60</v>
      </c>
      <c r="AB410" s="2" t="s">
        <v>19</v>
      </c>
      <c r="AC410" s="2" t="s">
        <v>204</v>
      </c>
      <c r="AD410" s="4">
        <v>74</v>
      </c>
      <c r="AE410" s="2" t="s">
        <v>422</v>
      </c>
      <c r="AF410" s="2" t="s">
        <v>261</v>
      </c>
      <c r="AG410" s="2" t="s">
        <v>68</v>
      </c>
      <c r="AH410" s="2" t="s">
        <v>185</v>
      </c>
      <c r="AI410" s="2" t="s">
        <v>1899</v>
      </c>
      <c r="AJ410" s="4">
        <v>42</v>
      </c>
      <c r="AK410" s="2" t="s">
        <v>1900</v>
      </c>
      <c r="AL410" s="4"/>
      <c r="AN410" s="4"/>
      <c r="AP410" s="4"/>
      <c r="AQ410" s="4"/>
      <c r="AS410" s="4">
        <v>0</v>
      </c>
      <c r="AT410" s="4">
        <v>0</v>
      </c>
      <c r="AU410" s="4">
        <v>1</v>
      </c>
      <c r="AV410" s="4">
        <v>0</v>
      </c>
      <c r="AW410" s="4">
        <v>1</v>
      </c>
      <c r="AX410" s="4">
        <v>1</v>
      </c>
      <c r="AZ410" s="2" t="s">
        <v>60</v>
      </c>
    </row>
    <row r="411" spans="2:52" x14ac:dyDescent="0.15">
      <c r="B411" s="2" t="s">
        <v>1781</v>
      </c>
      <c r="C411" s="2" t="s">
        <v>1902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24</v>
      </c>
      <c r="J411" s="4" t="str">
        <f>VLOOKUP(I411,citySet!$B$5:$C$46,2,0)</f>
        <v>寿春</v>
      </c>
      <c r="K411" s="2" t="s">
        <v>1865</v>
      </c>
      <c r="L411" s="2" t="s">
        <v>1904</v>
      </c>
      <c r="N411" s="4"/>
      <c r="O411" s="2" t="s">
        <v>1903</v>
      </c>
      <c r="P411" s="2" t="s">
        <v>1903</v>
      </c>
      <c r="Q411" s="4">
        <v>0</v>
      </c>
      <c r="R411" s="2" t="s">
        <v>370</v>
      </c>
      <c r="S411" s="2" t="s">
        <v>456</v>
      </c>
      <c r="T411" s="2" t="s">
        <v>772</v>
      </c>
      <c r="U411" s="2" t="s">
        <v>919</v>
      </c>
      <c r="V411" s="2" t="s">
        <v>208</v>
      </c>
      <c r="W411" s="4">
        <v>2</v>
      </c>
      <c r="X411" s="2" t="s">
        <v>2983</v>
      </c>
      <c r="Y411" s="4">
        <v>0</v>
      </c>
      <c r="Z411" s="4" t="s">
        <v>39</v>
      </c>
      <c r="AA411" s="2" t="s">
        <v>60</v>
      </c>
      <c r="AB411" s="2" t="s">
        <v>454</v>
      </c>
      <c r="AC411" s="2" t="s">
        <v>374</v>
      </c>
      <c r="AD411" s="4">
        <v>44</v>
      </c>
      <c r="AE411" s="2" t="s">
        <v>119</v>
      </c>
      <c r="AF411" s="2" t="s">
        <v>102</v>
      </c>
      <c r="AG411" s="2" t="s">
        <v>590</v>
      </c>
      <c r="AH411" s="2" t="s">
        <v>185</v>
      </c>
      <c r="AI411" s="2" t="s">
        <v>945</v>
      </c>
      <c r="AJ411" s="4"/>
      <c r="AL411" s="4"/>
      <c r="AN411" s="4"/>
      <c r="AP411" s="4"/>
      <c r="AQ411" s="4"/>
      <c r="AS411" s="4">
        <v>0</v>
      </c>
      <c r="AT411" s="4">
        <v>0</v>
      </c>
      <c r="AU411" s="4">
        <v>0</v>
      </c>
      <c r="AV411" s="4">
        <v>2</v>
      </c>
      <c r="AW411" s="4">
        <v>1</v>
      </c>
      <c r="AX411" s="4">
        <v>0</v>
      </c>
      <c r="AZ411" s="2" t="s">
        <v>60</v>
      </c>
    </row>
    <row r="412" spans="2:52" x14ac:dyDescent="0.15">
      <c r="B412" s="2" t="s">
        <v>1907</v>
      </c>
      <c r="C412" s="2" t="s">
        <v>316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126</v>
      </c>
      <c r="J412" s="4" t="str">
        <f>VLOOKUP(I412,citySet!$B$5:$C$46,2,0)</f>
        <v>成都</v>
      </c>
      <c r="K412" s="2" t="s">
        <v>1865</v>
      </c>
      <c r="L412" s="2" t="s">
        <v>1905</v>
      </c>
      <c r="M412" s="2" t="s">
        <v>1906</v>
      </c>
      <c r="N412" s="4"/>
      <c r="O412" s="2" t="s">
        <v>371</v>
      </c>
      <c r="P412" s="2" t="s">
        <v>371</v>
      </c>
      <c r="Q412" s="4">
        <v>0</v>
      </c>
      <c r="R412" s="2" t="s">
        <v>370</v>
      </c>
      <c r="S412" s="2" t="s">
        <v>490</v>
      </c>
      <c r="T412" s="2" t="s">
        <v>372</v>
      </c>
      <c r="U412" s="2" t="s">
        <v>621</v>
      </c>
      <c r="V412" s="2" t="s">
        <v>321</v>
      </c>
      <c r="W412" s="4">
        <v>2</v>
      </c>
      <c r="X412" s="2" t="s">
        <v>2983</v>
      </c>
      <c r="Y412" s="4">
        <v>0</v>
      </c>
      <c r="Z412" s="4" t="s">
        <v>39</v>
      </c>
      <c r="AA412" s="2" t="s">
        <v>60</v>
      </c>
      <c r="AB412" s="2" t="s">
        <v>88</v>
      </c>
      <c r="AC412" s="2" t="s">
        <v>374</v>
      </c>
      <c r="AD412" s="4">
        <v>74</v>
      </c>
      <c r="AE412" s="2" t="s">
        <v>422</v>
      </c>
      <c r="AF412" s="2" t="s">
        <v>434</v>
      </c>
      <c r="AG412" s="2" t="s">
        <v>1374</v>
      </c>
      <c r="AH412" s="2" t="s">
        <v>185</v>
      </c>
      <c r="AI412" s="2" t="s">
        <v>1781</v>
      </c>
      <c r="AJ412" s="4"/>
      <c r="AL412" s="4"/>
      <c r="AN412" s="4"/>
      <c r="AP412" s="4"/>
      <c r="AQ412" s="4"/>
      <c r="AS412" s="4">
        <v>2</v>
      </c>
      <c r="AT412" s="4">
        <v>2</v>
      </c>
      <c r="AU412" s="4">
        <v>2</v>
      </c>
      <c r="AV412" s="4">
        <v>0</v>
      </c>
      <c r="AW412" s="4">
        <v>2</v>
      </c>
      <c r="AX412" s="4">
        <v>0</v>
      </c>
      <c r="AZ412" s="2" t="s">
        <v>60</v>
      </c>
    </row>
    <row r="413" spans="2:52" x14ac:dyDescent="0.15">
      <c r="B413" s="2" t="s">
        <v>1867</v>
      </c>
      <c r="C413" s="2" t="s">
        <v>1908</v>
      </c>
      <c r="D413" s="2" t="s">
        <v>29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29</v>
      </c>
      <c r="H413" s="4" t="str">
        <f>VLOOKUP(G413,corpsSet!$B$5:$C$46,2,0)</f>
        <v>袁术</v>
      </c>
      <c r="I413" s="4" t="s">
        <v>200</v>
      </c>
      <c r="J413" s="4" t="str">
        <f>VLOOKUP(I413,citySet!$B$5:$C$46,2,0)</f>
        <v>庐江</v>
      </c>
      <c r="K413" s="2" t="s">
        <v>1865</v>
      </c>
      <c r="L413" s="2" t="s">
        <v>1909</v>
      </c>
      <c r="N413" s="4"/>
      <c r="O413" s="2" t="s">
        <v>230</v>
      </c>
      <c r="P413" s="2" t="s">
        <v>230</v>
      </c>
      <c r="Q413" s="4">
        <v>0</v>
      </c>
      <c r="R413" s="2" t="s">
        <v>370</v>
      </c>
      <c r="S413" s="2" t="s">
        <v>435</v>
      </c>
      <c r="T413" s="2" t="s">
        <v>824</v>
      </c>
      <c r="U413" s="2" t="s">
        <v>326</v>
      </c>
      <c r="V413" s="2" t="s">
        <v>697</v>
      </c>
      <c r="W413" s="4">
        <v>1</v>
      </c>
      <c r="X413" s="2" t="s">
        <v>365</v>
      </c>
      <c r="Y413" s="4">
        <v>3</v>
      </c>
      <c r="Z413" s="4" t="s">
        <v>696</v>
      </c>
      <c r="AA413" s="2" t="s">
        <v>228</v>
      </c>
      <c r="AB413" s="2" t="s">
        <v>374</v>
      </c>
      <c r="AC413" s="2" t="s">
        <v>321</v>
      </c>
      <c r="AD413" s="4">
        <v>41</v>
      </c>
      <c r="AE413" s="2" t="s">
        <v>21</v>
      </c>
      <c r="AF413" s="2" t="s">
        <v>486</v>
      </c>
      <c r="AG413" s="2" t="s">
        <v>907</v>
      </c>
      <c r="AH413" s="2" t="s">
        <v>185</v>
      </c>
      <c r="AI413" s="2" t="s">
        <v>1907</v>
      </c>
      <c r="AJ413" s="4"/>
      <c r="AL413" s="4"/>
      <c r="AN413" s="4"/>
      <c r="AP413" s="4"/>
      <c r="AQ413" s="4"/>
      <c r="AS413" s="4">
        <v>1</v>
      </c>
      <c r="AT413" s="4">
        <v>2</v>
      </c>
      <c r="AU413" s="4">
        <v>0</v>
      </c>
      <c r="AV413" s="4">
        <v>0</v>
      </c>
      <c r="AW413" s="4">
        <v>0</v>
      </c>
      <c r="AX413" s="4">
        <v>1</v>
      </c>
      <c r="AZ413" s="2" t="s">
        <v>60</v>
      </c>
    </row>
    <row r="414" spans="2:52" x14ac:dyDescent="0.15">
      <c r="B414" s="2" t="s">
        <v>1914</v>
      </c>
      <c r="C414" s="2" t="s">
        <v>1910</v>
      </c>
      <c r="D414" s="2" t="s">
        <v>24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24</v>
      </c>
      <c r="H414" s="4" t="str">
        <f>VLOOKUP(G414,corpsSet!$B$5:$C$46,2,0)</f>
        <v>吕布</v>
      </c>
      <c r="I414" s="4" t="s">
        <v>29</v>
      </c>
      <c r="J414" s="4" t="str">
        <f>VLOOKUP(I414,citySet!$B$5:$C$46,2,0)</f>
        <v>下邳</v>
      </c>
      <c r="K414" s="2" t="s">
        <v>1865</v>
      </c>
      <c r="L414" s="2" t="s">
        <v>1913</v>
      </c>
      <c r="N414" s="4"/>
      <c r="O414" s="2" t="s">
        <v>1850</v>
      </c>
      <c r="P414" s="2" t="s">
        <v>1850</v>
      </c>
      <c r="Q414" s="4">
        <v>0</v>
      </c>
      <c r="R414" s="2" t="s">
        <v>370</v>
      </c>
      <c r="S414" s="2" t="s">
        <v>490</v>
      </c>
      <c r="T414" s="2" t="s">
        <v>83</v>
      </c>
      <c r="U414" s="2" t="s">
        <v>977</v>
      </c>
      <c r="V414" s="2" t="s">
        <v>189</v>
      </c>
      <c r="W414" s="4">
        <v>1</v>
      </c>
      <c r="X414" s="2" t="s">
        <v>365</v>
      </c>
      <c r="Y414" s="4">
        <v>0</v>
      </c>
      <c r="Z414" s="4" t="s">
        <v>39</v>
      </c>
      <c r="AA414" s="2" t="s">
        <v>228</v>
      </c>
      <c r="AB414" s="2" t="s">
        <v>481</v>
      </c>
      <c r="AC414" s="2" t="s">
        <v>367</v>
      </c>
      <c r="AD414" s="4">
        <v>41</v>
      </c>
      <c r="AE414" s="2" t="s">
        <v>100</v>
      </c>
      <c r="AF414" s="2" t="s">
        <v>269</v>
      </c>
      <c r="AG414" s="2" t="s">
        <v>813</v>
      </c>
      <c r="AH414" s="2" t="s">
        <v>185</v>
      </c>
      <c r="AI414" s="2" t="s">
        <v>1911</v>
      </c>
      <c r="AJ414" s="4">
        <v>44</v>
      </c>
      <c r="AK414" s="2" t="s">
        <v>1912</v>
      </c>
      <c r="AL414" s="4"/>
      <c r="AN414" s="4"/>
      <c r="AP414" s="4"/>
      <c r="AQ414" s="4"/>
      <c r="AS414" s="4">
        <v>1</v>
      </c>
      <c r="AT414" s="4">
        <v>2</v>
      </c>
      <c r="AU414" s="4">
        <v>1</v>
      </c>
      <c r="AV414" s="4">
        <v>2</v>
      </c>
      <c r="AW414" s="4">
        <v>1</v>
      </c>
      <c r="AX414" s="4">
        <v>0</v>
      </c>
      <c r="AZ414" s="2" t="s">
        <v>60</v>
      </c>
    </row>
    <row r="415" spans="2:52" x14ac:dyDescent="0.15">
      <c r="B415" s="2" t="s">
        <v>1917</v>
      </c>
      <c r="C415" s="2" t="s">
        <v>3103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29</v>
      </c>
      <c r="J415" s="4" t="str">
        <f>VLOOKUP(I415,citySet!$B$5:$C$46,2,0)</f>
        <v>下邳</v>
      </c>
      <c r="K415" s="2" t="s">
        <v>1865</v>
      </c>
      <c r="L415" s="2" t="s">
        <v>1915</v>
      </c>
      <c r="M415" s="2" t="s">
        <v>1916</v>
      </c>
      <c r="N415" s="4"/>
      <c r="O415" s="2" t="s">
        <v>390</v>
      </c>
      <c r="P415" s="2" t="s">
        <v>390</v>
      </c>
      <c r="Q415" s="4">
        <v>0</v>
      </c>
      <c r="R415" s="2" t="s">
        <v>370</v>
      </c>
      <c r="S415" s="2" t="s">
        <v>407</v>
      </c>
      <c r="T415" s="2" t="s">
        <v>995</v>
      </c>
      <c r="U415" s="2" t="s">
        <v>689</v>
      </c>
      <c r="V415" s="2" t="s">
        <v>1012</v>
      </c>
      <c r="W415" s="4">
        <v>2</v>
      </c>
      <c r="X415" s="2" t="s">
        <v>2983</v>
      </c>
      <c r="Y415" s="4">
        <v>0</v>
      </c>
      <c r="Z415" s="4" t="s">
        <v>39</v>
      </c>
      <c r="AA415" s="2" t="s">
        <v>60</v>
      </c>
      <c r="AB415" s="2" t="s">
        <v>193</v>
      </c>
      <c r="AC415" s="2" t="s">
        <v>10</v>
      </c>
      <c r="AD415" s="4">
        <v>86</v>
      </c>
      <c r="AE415" s="2" t="s">
        <v>79</v>
      </c>
      <c r="AF415" s="2" t="s">
        <v>554</v>
      </c>
      <c r="AG415" s="2" t="s">
        <v>503</v>
      </c>
      <c r="AH415" s="2" t="s">
        <v>185</v>
      </c>
      <c r="AI415" s="2" t="s">
        <v>1914</v>
      </c>
      <c r="AJ415" s="4"/>
      <c r="AL415" s="4"/>
      <c r="AN415" s="4"/>
      <c r="AP415" s="4"/>
      <c r="AQ415" s="4"/>
      <c r="AS415" s="4">
        <v>0</v>
      </c>
      <c r="AT415" s="4">
        <v>0</v>
      </c>
      <c r="AU415" s="4">
        <v>0</v>
      </c>
      <c r="AV415" s="4">
        <v>0</v>
      </c>
      <c r="AW415" s="4">
        <v>2</v>
      </c>
      <c r="AX415" s="4">
        <v>1</v>
      </c>
      <c r="AZ415" s="2" t="s">
        <v>60</v>
      </c>
    </row>
    <row r="416" spans="2:52" x14ac:dyDescent="0.15">
      <c r="B416" s="2" t="s">
        <v>1921</v>
      </c>
      <c r="C416" s="2" t="s">
        <v>3104</v>
      </c>
      <c r="D416" s="2" t="s">
        <v>8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8</v>
      </c>
      <c r="H416" s="4" t="str">
        <f>VLOOKUP(G416,corpsSet!$B$5:$C$46,2,0)</f>
        <v>韩馥</v>
      </c>
      <c r="I416" s="4" t="s">
        <v>34</v>
      </c>
      <c r="J416" s="4" t="str">
        <f>VLOOKUP(I416,citySet!$B$5:$C$46,2,0)</f>
        <v>邺</v>
      </c>
      <c r="K416" s="2" t="s">
        <v>1865</v>
      </c>
      <c r="L416" s="2" t="s">
        <v>1919</v>
      </c>
      <c r="M416" s="2" t="s">
        <v>1920</v>
      </c>
      <c r="N416" s="4"/>
      <c r="O416" s="2" t="s">
        <v>690</v>
      </c>
      <c r="P416" s="2" t="s">
        <v>690</v>
      </c>
      <c r="Q416" s="4">
        <v>0</v>
      </c>
      <c r="R416" s="2" t="s">
        <v>370</v>
      </c>
      <c r="S416" s="2" t="s">
        <v>435</v>
      </c>
      <c r="T416" s="2" t="s">
        <v>779</v>
      </c>
      <c r="U416" s="2" t="s">
        <v>556</v>
      </c>
      <c r="V416" s="2" t="s">
        <v>204</v>
      </c>
      <c r="W416" s="4">
        <v>1</v>
      </c>
      <c r="X416" s="2" t="s">
        <v>365</v>
      </c>
      <c r="Y416" s="4">
        <v>4</v>
      </c>
      <c r="Z416" s="4" t="s">
        <v>1091</v>
      </c>
      <c r="AA416" s="2" t="s">
        <v>403</v>
      </c>
      <c r="AB416" s="2" t="s">
        <v>176</v>
      </c>
      <c r="AC416" s="2" t="s">
        <v>78</v>
      </c>
      <c r="AD416" s="4">
        <v>69</v>
      </c>
      <c r="AE416" s="2" t="s">
        <v>432</v>
      </c>
      <c r="AF416" s="2" t="s">
        <v>515</v>
      </c>
      <c r="AG416" s="2" t="s">
        <v>1671</v>
      </c>
      <c r="AH416" s="2" t="s">
        <v>185</v>
      </c>
      <c r="AI416" s="2" t="s">
        <v>1917</v>
      </c>
      <c r="AJ416" s="4"/>
      <c r="AL416" s="4"/>
      <c r="AN416" s="4"/>
      <c r="AP416" s="4"/>
      <c r="AQ416" s="4"/>
      <c r="AS416" s="4">
        <v>2</v>
      </c>
      <c r="AT416" s="4">
        <v>1</v>
      </c>
      <c r="AU416" s="4">
        <v>0</v>
      </c>
      <c r="AV416" s="4">
        <v>3</v>
      </c>
      <c r="AW416" s="4">
        <v>2</v>
      </c>
      <c r="AX416" s="4">
        <v>0</v>
      </c>
      <c r="AZ416" s="2" t="s">
        <v>60</v>
      </c>
    </row>
    <row r="417" spans="2:52" x14ac:dyDescent="0.15">
      <c r="B417" s="2" t="s">
        <v>1924</v>
      </c>
      <c r="C417" s="2" t="s">
        <v>1922</v>
      </c>
      <c r="D417" s="2" t="s">
        <v>35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35</v>
      </c>
      <c r="H417" s="4" t="str">
        <f>VLOOKUP(G417,corpsSet!$B$5:$C$46,2,0)</f>
        <v>刘备</v>
      </c>
      <c r="I417" s="4" t="s">
        <v>213</v>
      </c>
      <c r="J417" s="4" t="str">
        <f>VLOOKUP(I417,citySet!$B$5:$C$46,2,0)</f>
        <v>江陵</v>
      </c>
      <c r="K417" s="2" t="s">
        <v>1868</v>
      </c>
      <c r="L417" s="2" t="s">
        <v>1923</v>
      </c>
      <c r="N417" s="4"/>
      <c r="O417" s="2" t="s">
        <v>1136</v>
      </c>
      <c r="P417" s="2" t="s">
        <v>1136</v>
      </c>
      <c r="Q417" s="4">
        <v>0</v>
      </c>
      <c r="R417" s="2" t="s">
        <v>370</v>
      </c>
      <c r="S417" s="2" t="s">
        <v>633</v>
      </c>
      <c r="T417" s="2" t="s">
        <v>685</v>
      </c>
      <c r="U417" s="2" t="s">
        <v>919</v>
      </c>
      <c r="V417" s="2" t="s">
        <v>481</v>
      </c>
      <c r="W417" s="4">
        <v>1</v>
      </c>
      <c r="X417" s="2" t="s">
        <v>365</v>
      </c>
      <c r="Y417" s="4">
        <v>0</v>
      </c>
      <c r="Z417" s="4" t="s">
        <v>39</v>
      </c>
      <c r="AA417" s="2" t="s">
        <v>185</v>
      </c>
      <c r="AB417" s="2" t="s">
        <v>445</v>
      </c>
      <c r="AC417" s="2" t="s">
        <v>515</v>
      </c>
      <c r="AD417" s="4">
        <v>53</v>
      </c>
      <c r="AE417" s="2" t="s">
        <v>19</v>
      </c>
      <c r="AF417" s="2" t="s">
        <v>423</v>
      </c>
      <c r="AG417" s="2" t="s">
        <v>640</v>
      </c>
      <c r="AH417" s="2" t="s">
        <v>185</v>
      </c>
      <c r="AI417" s="2" t="s">
        <v>1866</v>
      </c>
      <c r="AJ417" s="4" t="s">
        <v>1871</v>
      </c>
      <c r="AK417" s="2" t="s">
        <v>3101</v>
      </c>
      <c r="AL417" s="4"/>
      <c r="AN417" s="4"/>
      <c r="AP417" s="4"/>
      <c r="AQ417" s="4"/>
      <c r="AS417" s="4">
        <v>0</v>
      </c>
      <c r="AT417" s="4">
        <v>1</v>
      </c>
      <c r="AU417" s="4">
        <v>1</v>
      </c>
      <c r="AV417" s="4">
        <v>2</v>
      </c>
      <c r="AW417" s="4">
        <v>1</v>
      </c>
      <c r="AX417" s="4">
        <v>0</v>
      </c>
      <c r="AZ417" s="2" t="s">
        <v>60</v>
      </c>
    </row>
    <row r="418" spans="2:52" x14ac:dyDescent="0.15">
      <c r="B418" s="2" t="s">
        <v>758</v>
      </c>
      <c r="C418" s="2" t="s">
        <v>1925</v>
      </c>
      <c r="D418" s="2" t="s">
        <v>25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25</v>
      </c>
      <c r="H418" s="4" t="str">
        <f>VLOOKUP(G418,corpsSet!$B$5:$C$46,2,0)</f>
        <v>张角</v>
      </c>
      <c r="I418" s="4" t="s">
        <v>20</v>
      </c>
      <c r="J418" s="4" t="str">
        <f>VLOOKUP(I418,citySet!$B$5:$C$46,2,0)</f>
        <v>濮阳</v>
      </c>
      <c r="K418" s="2" t="s">
        <v>1868</v>
      </c>
      <c r="L418" s="2" t="s">
        <v>1131</v>
      </c>
      <c r="N418" s="4"/>
      <c r="O418" s="2" t="s">
        <v>1926</v>
      </c>
      <c r="P418" s="2" t="s">
        <v>1926</v>
      </c>
      <c r="Q418" s="4">
        <v>0</v>
      </c>
      <c r="R418" s="2" t="s">
        <v>370</v>
      </c>
      <c r="S418" s="2" t="s">
        <v>435</v>
      </c>
      <c r="T418" s="2" t="s">
        <v>824</v>
      </c>
      <c r="U418" s="2" t="s">
        <v>435</v>
      </c>
      <c r="V418" s="2" t="s">
        <v>34</v>
      </c>
      <c r="W418" s="4">
        <v>1</v>
      </c>
      <c r="X418" s="2" t="s">
        <v>365</v>
      </c>
      <c r="Y418" s="4">
        <v>0</v>
      </c>
      <c r="Z418" s="4" t="s">
        <v>39</v>
      </c>
      <c r="AA418" s="2" t="s">
        <v>228</v>
      </c>
      <c r="AB418" s="2" t="s">
        <v>404</v>
      </c>
      <c r="AC418" s="2" t="s">
        <v>374</v>
      </c>
      <c r="AD418" s="4">
        <v>28</v>
      </c>
      <c r="AE418" s="2" t="s">
        <v>10</v>
      </c>
      <c r="AF418" s="2" t="s">
        <v>105</v>
      </c>
      <c r="AG418" s="2" t="s">
        <v>505</v>
      </c>
      <c r="AH418" s="2" t="s">
        <v>185</v>
      </c>
      <c r="AI418" s="2" t="s">
        <v>1924</v>
      </c>
      <c r="AJ418" s="4"/>
      <c r="AL418" s="4"/>
      <c r="AN418" s="4"/>
      <c r="AP418" s="4"/>
      <c r="AQ418" s="4"/>
      <c r="AS418" s="4">
        <v>1</v>
      </c>
      <c r="AT418" s="4">
        <v>0</v>
      </c>
      <c r="AU418" s="4">
        <v>0</v>
      </c>
      <c r="AV418" s="4">
        <v>1</v>
      </c>
      <c r="AW418" s="4">
        <v>0</v>
      </c>
      <c r="AX418" s="4">
        <v>0</v>
      </c>
      <c r="AZ418" s="2" t="s">
        <v>60</v>
      </c>
    </row>
    <row r="419" spans="2:52" x14ac:dyDescent="0.15">
      <c r="B419" s="2" t="s">
        <v>1790</v>
      </c>
      <c r="C419" s="2" t="s">
        <v>1927</v>
      </c>
      <c r="D419" s="2" t="s">
        <v>196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196</v>
      </c>
      <c r="H419" s="4" t="str">
        <f>VLOOKUP(G419,corpsSet!$B$5:$C$46,2,0)</f>
        <v>张绣</v>
      </c>
      <c r="I419" s="4" t="s">
        <v>103</v>
      </c>
      <c r="J419" s="4" t="str">
        <f>VLOOKUP(I419,citySet!$B$5:$C$46,2,0)</f>
        <v>宛</v>
      </c>
      <c r="K419" s="2" t="s">
        <v>1865</v>
      </c>
      <c r="L419" s="2" t="s">
        <v>1271</v>
      </c>
      <c r="N419" s="4"/>
      <c r="O419" s="2" t="s">
        <v>1358</v>
      </c>
      <c r="P419" s="2" t="s">
        <v>1358</v>
      </c>
      <c r="Q419" s="4">
        <v>0</v>
      </c>
      <c r="R419" s="2" t="s">
        <v>370</v>
      </c>
      <c r="S419" s="2" t="s">
        <v>435</v>
      </c>
      <c r="T419" s="2" t="s">
        <v>888</v>
      </c>
      <c r="U419" s="2" t="s">
        <v>327</v>
      </c>
      <c r="V419" s="2" t="s">
        <v>616</v>
      </c>
      <c r="W419" s="4">
        <v>1</v>
      </c>
      <c r="X419" s="2" t="s">
        <v>365</v>
      </c>
      <c r="Y419" s="4">
        <v>4</v>
      </c>
      <c r="Z419" s="4" t="s">
        <v>1091</v>
      </c>
      <c r="AA419" s="2" t="s">
        <v>134</v>
      </c>
      <c r="AB419" s="2" t="s">
        <v>153</v>
      </c>
      <c r="AC419" s="2" t="s">
        <v>404</v>
      </c>
      <c r="AD419" s="4">
        <v>52</v>
      </c>
      <c r="AE419" s="2" t="s">
        <v>19</v>
      </c>
      <c r="AF419" s="2" t="s">
        <v>254</v>
      </c>
      <c r="AG419" s="2" t="s">
        <v>1571</v>
      </c>
      <c r="AH419" s="2" t="s">
        <v>185</v>
      </c>
      <c r="AI419" s="2" t="s">
        <v>1790</v>
      </c>
      <c r="AJ419" s="4"/>
      <c r="AK419" s="2" t="s">
        <v>338</v>
      </c>
      <c r="AL419" s="4"/>
      <c r="AN419" s="4" t="s">
        <v>800</v>
      </c>
      <c r="AO419" s="2" t="s">
        <v>1620</v>
      </c>
      <c r="AP419" s="4"/>
      <c r="AQ419" s="4"/>
      <c r="AS419" s="4">
        <v>0</v>
      </c>
      <c r="AT419" s="4">
        <v>0</v>
      </c>
      <c r="AU419" s="4">
        <v>0</v>
      </c>
      <c r="AV419" s="4">
        <v>2</v>
      </c>
      <c r="AW419" s="4">
        <v>0</v>
      </c>
      <c r="AX419" s="4">
        <v>0</v>
      </c>
      <c r="AZ419" s="2" t="s">
        <v>60</v>
      </c>
    </row>
    <row r="420" spans="2:52" x14ac:dyDescent="0.15">
      <c r="B420" s="2" t="s">
        <v>1062</v>
      </c>
      <c r="C420" s="2" t="s">
        <v>1928</v>
      </c>
      <c r="D420" s="2" t="s">
        <v>196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196</v>
      </c>
      <c r="H420" s="4" t="str">
        <f>VLOOKUP(G420,corpsSet!$B$5:$C$46,2,0)</f>
        <v>张绣</v>
      </c>
      <c r="I420" s="4" t="s">
        <v>103</v>
      </c>
      <c r="J420" s="4" t="str">
        <f>VLOOKUP(I420,citySet!$B$5:$C$46,2,0)</f>
        <v>宛</v>
      </c>
      <c r="K420" s="2" t="s">
        <v>1865</v>
      </c>
      <c r="L420" s="2" t="s">
        <v>1930</v>
      </c>
      <c r="N420" s="4"/>
      <c r="O420" s="2" t="s">
        <v>933</v>
      </c>
      <c r="P420" s="2" t="s">
        <v>933</v>
      </c>
      <c r="Q420" s="4">
        <v>0</v>
      </c>
      <c r="R420" s="2" t="s">
        <v>370</v>
      </c>
      <c r="S420" s="2" t="s">
        <v>435</v>
      </c>
      <c r="T420" s="2" t="s">
        <v>535</v>
      </c>
      <c r="U420" s="2" t="s">
        <v>505</v>
      </c>
      <c r="V420" s="2" t="s">
        <v>616</v>
      </c>
      <c r="W420" s="4">
        <v>3</v>
      </c>
      <c r="X420" s="2" t="s">
        <v>2</v>
      </c>
      <c r="Y420" s="4">
        <v>0</v>
      </c>
      <c r="Z420" s="4" t="s">
        <v>39</v>
      </c>
      <c r="AA420" s="2" t="s">
        <v>185</v>
      </c>
      <c r="AB420" s="2" t="s">
        <v>329</v>
      </c>
      <c r="AC420" s="2" t="s">
        <v>261</v>
      </c>
      <c r="AD420" s="4">
        <v>60</v>
      </c>
      <c r="AE420" s="2" t="s">
        <v>101</v>
      </c>
      <c r="AF420" s="2" t="s">
        <v>486</v>
      </c>
      <c r="AG420" s="2" t="s">
        <v>738</v>
      </c>
      <c r="AH420" s="2" t="s">
        <v>185</v>
      </c>
      <c r="AI420" s="2" t="s">
        <v>1790</v>
      </c>
      <c r="AJ420" s="4"/>
      <c r="AK420" s="2" t="s">
        <v>1929</v>
      </c>
      <c r="AL420" s="4"/>
      <c r="AN420" s="4"/>
      <c r="AP420" s="4"/>
      <c r="AQ420" s="4"/>
      <c r="AS420" s="4">
        <v>0</v>
      </c>
      <c r="AT420" s="4">
        <v>0</v>
      </c>
      <c r="AU420" s="4">
        <v>1</v>
      </c>
      <c r="AV420" s="4">
        <v>3</v>
      </c>
      <c r="AW420" s="4">
        <v>1</v>
      </c>
      <c r="AX420" s="4">
        <v>0</v>
      </c>
      <c r="AZ420" s="2" t="s">
        <v>60</v>
      </c>
    </row>
    <row r="421" spans="2:52" x14ac:dyDescent="0.15">
      <c r="B421" s="2" t="s">
        <v>1308</v>
      </c>
      <c r="C421" s="2" t="s">
        <v>1931</v>
      </c>
      <c r="D421" s="2" t="s">
        <v>226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226</v>
      </c>
      <c r="H421" s="4" t="str">
        <f>VLOOKUP(G421,corpsSet!$B$5:$C$46,2,0)</f>
        <v>毌丘俭</v>
      </c>
      <c r="I421" s="4" t="s">
        <v>24</v>
      </c>
      <c r="J421" s="4" t="str">
        <f>VLOOKUP(I421,citySet!$B$5:$C$46,2,0)</f>
        <v>寿春</v>
      </c>
      <c r="K421" s="2" t="s">
        <v>1865</v>
      </c>
      <c r="L421" s="2" t="s">
        <v>1933</v>
      </c>
      <c r="M421" s="2" t="s">
        <v>1934</v>
      </c>
      <c r="N421" s="4"/>
      <c r="O421" s="2" t="s">
        <v>1932</v>
      </c>
      <c r="P421" s="2" t="s">
        <v>1932</v>
      </c>
      <c r="Q421" s="4">
        <v>0</v>
      </c>
      <c r="R421" s="2" t="s">
        <v>370</v>
      </c>
      <c r="S421" s="2" t="s">
        <v>332</v>
      </c>
      <c r="T421" s="2" t="s">
        <v>327</v>
      </c>
      <c r="U421" s="2" t="s">
        <v>621</v>
      </c>
      <c r="V421" s="2" t="s">
        <v>106</v>
      </c>
      <c r="W421" s="4">
        <v>1</v>
      </c>
      <c r="X421" s="2" t="s">
        <v>365</v>
      </c>
      <c r="Y421" s="4">
        <v>7</v>
      </c>
      <c r="Z421" s="4" t="s">
        <v>3078</v>
      </c>
      <c r="AA421" s="2" t="s">
        <v>228</v>
      </c>
      <c r="AB421" s="2" t="s">
        <v>213</v>
      </c>
      <c r="AC421" s="2" t="s">
        <v>208</v>
      </c>
      <c r="AD421" s="4">
        <v>70</v>
      </c>
      <c r="AE421" s="2" t="s">
        <v>367</v>
      </c>
      <c r="AF421" s="2" t="s">
        <v>4</v>
      </c>
      <c r="AG421" s="2" t="s">
        <v>621</v>
      </c>
      <c r="AH421" s="2" t="s">
        <v>185</v>
      </c>
      <c r="AI421" s="2" t="s">
        <v>1893</v>
      </c>
      <c r="AJ421" s="4">
        <v>45</v>
      </c>
      <c r="AK421" s="2" t="s">
        <v>1894</v>
      </c>
      <c r="AL421" s="4"/>
      <c r="AN421" s="4"/>
      <c r="AP421" s="4"/>
      <c r="AQ421" s="4"/>
      <c r="AS421" s="4">
        <v>0</v>
      </c>
      <c r="AT421" s="4">
        <v>0</v>
      </c>
      <c r="AU421" s="4">
        <v>1</v>
      </c>
      <c r="AV421" s="4">
        <v>0</v>
      </c>
      <c r="AW421" s="4">
        <v>0</v>
      </c>
      <c r="AX421" s="4">
        <v>0</v>
      </c>
      <c r="AZ421" s="2" t="s">
        <v>60</v>
      </c>
    </row>
    <row r="422" spans="2:52" x14ac:dyDescent="0.15">
      <c r="B422" s="2" t="s">
        <v>1939</v>
      </c>
      <c r="C422" s="2" t="s">
        <v>1935</v>
      </c>
      <c r="D422" s="2" t="s">
        <v>35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35</v>
      </c>
      <c r="H422" s="4" t="str">
        <f>VLOOKUP(G422,corpsSet!$B$5:$C$46,2,0)</f>
        <v>刘备</v>
      </c>
      <c r="I422" s="4" t="s">
        <v>213</v>
      </c>
      <c r="J422" s="4" t="str">
        <f>VLOOKUP(I422,citySet!$B$5:$C$46,2,0)</f>
        <v>江陵</v>
      </c>
      <c r="K422" s="2" t="s">
        <v>1865</v>
      </c>
      <c r="L422" s="2" t="s">
        <v>1285</v>
      </c>
      <c r="N422" s="4"/>
      <c r="O422" s="2" t="s">
        <v>1936</v>
      </c>
      <c r="P422" s="2" t="s">
        <v>1936</v>
      </c>
      <c r="Q422" s="4">
        <v>0</v>
      </c>
      <c r="R422" s="2" t="s">
        <v>370</v>
      </c>
      <c r="S422" s="2" t="s">
        <v>843</v>
      </c>
      <c r="T422" s="2" t="s">
        <v>633</v>
      </c>
      <c r="U422" s="2" t="s">
        <v>919</v>
      </c>
      <c r="V422" s="2" t="s">
        <v>481</v>
      </c>
      <c r="W422" s="4">
        <v>1</v>
      </c>
      <c r="X422" s="2" t="s">
        <v>365</v>
      </c>
      <c r="Y422" s="4">
        <v>0</v>
      </c>
      <c r="Z422" s="4" t="s">
        <v>39</v>
      </c>
      <c r="AA422" s="2" t="s">
        <v>185</v>
      </c>
      <c r="AB422" s="2" t="s">
        <v>382</v>
      </c>
      <c r="AC422" s="2" t="s">
        <v>321</v>
      </c>
      <c r="AD422" s="4">
        <v>66</v>
      </c>
      <c r="AE422" s="2" t="s">
        <v>486</v>
      </c>
      <c r="AF422" s="2" t="s">
        <v>432</v>
      </c>
      <c r="AG422" s="2" t="s">
        <v>850</v>
      </c>
      <c r="AH422" s="2" t="s">
        <v>185</v>
      </c>
      <c r="AI422" s="2" t="s">
        <v>1603</v>
      </c>
      <c r="AJ422" s="4" t="s">
        <v>1981</v>
      </c>
      <c r="AK422" s="2" t="s">
        <v>1937</v>
      </c>
      <c r="AL422" s="4"/>
      <c r="AN422" s="4"/>
      <c r="AP422" s="4"/>
      <c r="AQ422" s="4"/>
      <c r="AS422" s="4">
        <v>1</v>
      </c>
      <c r="AT422" s="4">
        <v>2</v>
      </c>
      <c r="AU422" s="4">
        <v>1</v>
      </c>
      <c r="AV422" s="4">
        <v>0</v>
      </c>
      <c r="AW422" s="4">
        <v>0</v>
      </c>
      <c r="AX422" s="4">
        <v>0</v>
      </c>
      <c r="AZ422" s="2" t="s">
        <v>60</v>
      </c>
    </row>
    <row r="423" spans="2:52" x14ac:dyDescent="0.15">
      <c r="B423" s="2" t="s">
        <v>1899</v>
      </c>
      <c r="C423" s="2" t="s">
        <v>1359</v>
      </c>
      <c r="D423" s="2" t="s">
        <v>18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18</v>
      </c>
      <c r="H423" s="4" t="str">
        <f>VLOOKUP(G423,corpsSet!$B$5:$C$46,2,0)</f>
        <v>司马懿</v>
      </c>
      <c r="I423" s="4" t="s">
        <v>18</v>
      </c>
      <c r="J423" s="4" t="str">
        <f>VLOOKUP(I423,citySet!$B$5:$C$46,2,0)</f>
        <v>洛阳</v>
      </c>
      <c r="K423" s="2" t="s">
        <v>1865</v>
      </c>
      <c r="L423" s="2" t="s">
        <v>1941</v>
      </c>
      <c r="N423" s="4"/>
      <c r="O423" s="2" t="s">
        <v>1940</v>
      </c>
      <c r="P423" s="2" t="s">
        <v>1940</v>
      </c>
      <c r="Q423" s="4">
        <v>1</v>
      </c>
      <c r="R423" s="2" t="s">
        <v>577</v>
      </c>
      <c r="S423" s="2" t="s">
        <v>1257</v>
      </c>
      <c r="T423" s="2" t="s">
        <v>393</v>
      </c>
      <c r="U423" s="2" t="s">
        <v>609</v>
      </c>
      <c r="V423" s="2" t="s">
        <v>213</v>
      </c>
      <c r="W423" s="4">
        <v>1</v>
      </c>
      <c r="X423" s="2" t="s">
        <v>365</v>
      </c>
      <c r="Y423" s="4">
        <v>0</v>
      </c>
      <c r="Z423" s="4" t="s">
        <v>39</v>
      </c>
      <c r="AA423" s="2" t="s">
        <v>466</v>
      </c>
      <c r="AB423" s="2" t="s">
        <v>93</v>
      </c>
      <c r="AC423" s="2" t="s">
        <v>29</v>
      </c>
      <c r="AD423" s="4">
        <v>76</v>
      </c>
      <c r="AE423" s="2" t="s">
        <v>374</v>
      </c>
      <c r="AF423" s="2" t="s">
        <v>321</v>
      </c>
      <c r="AG423" s="2" t="s">
        <v>496</v>
      </c>
      <c r="AH423" s="2" t="s">
        <v>185</v>
      </c>
      <c r="AI423" s="2" t="s">
        <v>1939</v>
      </c>
      <c r="AJ423" s="4"/>
      <c r="AL423" s="4"/>
      <c r="AN423" s="4" t="s">
        <v>395</v>
      </c>
      <c r="AO423" s="2" t="s">
        <v>1349</v>
      </c>
      <c r="AP423" s="4"/>
      <c r="AQ423" s="4"/>
      <c r="AS423" s="4">
        <v>0</v>
      </c>
      <c r="AT423" s="4">
        <v>0</v>
      </c>
      <c r="AU423" s="4">
        <v>0</v>
      </c>
      <c r="AV423" s="4">
        <v>1</v>
      </c>
      <c r="AW423" s="4">
        <v>1</v>
      </c>
      <c r="AX423" s="4">
        <v>0</v>
      </c>
      <c r="AZ423" s="2" t="s">
        <v>60</v>
      </c>
    </row>
    <row r="424" spans="2:52" x14ac:dyDescent="0.15">
      <c r="B424" s="2" t="s">
        <v>1943</v>
      </c>
      <c r="C424" s="2" t="s">
        <v>1900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29</v>
      </c>
      <c r="J424" s="4" t="str">
        <f>VLOOKUP(I424,citySet!$B$5:$C$46,2,0)</f>
        <v>下邳</v>
      </c>
      <c r="K424" s="2" t="s">
        <v>1865</v>
      </c>
      <c r="L424" s="2" t="s">
        <v>387</v>
      </c>
      <c r="M424" s="2" t="s">
        <v>1942</v>
      </c>
      <c r="N424" s="4"/>
      <c r="O424" s="2" t="s">
        <v>366</v>
      </c>
      <c r="P424" s="2" t="s">
        <v>366</v>
      </c>
      <c r="Q424" s="4">
        <v>0</v>
      </c>
      <c r="R424" s="2" t="s">
        <v>370</v>
      </c>
      <c r="S424" s="2" t="s">
        <v>407</v>
      </c>
      <c r="T424" s="2" t="s">
        <v>824</v>
      </c>
      <c r="U424" s="2" t="s">
        <v>562</v>
      </c>
      <c r="V424" s="2" t="s">
        <v>134</v>
      </c>
      <c r="W424" s="4">
        <v>2</v>
      </c>
      <c r="X424" s="2" t="s">
        <v>2983</v>
      </c>
      <c r="Y424" s="4">
        <v>0</v>
      </c>
      <c r="Z424" s="4" t="s">
        <v>39</v>
      </c>
      <c r="AA424" s="2" t="s">
        <v>60</v>
      </c>
      <c r="AB424" s="2" t="s">
        <v>95</v>
      </c>
      <c r="AC424" s="2" t="s">
        <v>31</v>
      </c>
      <c r="AD424" s="4">
        <v>84</v>
      </c>
      <c r="AE424" s="2" t="s">
        <v>413</v>
      </c>
      <c r="AF424" s="2" t="s">
        <v>329</v>
      </c>
      <c r="AG424" s="2" t="s">
        <v>627</v>
      </c>
      <c r="AH424" s="2" t="s">
        <v>185</v>
      </c>
      <c r="AI424" s="2" t="s">
        <v>1899</v>
      </c>
      <c r="AJ424" s="4"/>
      <c r="AL424" s="4"/>
      <c r="AN424" s="4"/>
      <c r="AP424" s="4"/>
      <c r="AQ424" s="4"/>
      <c r="AS424" s="4">
        <v>1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Z424" s="2" t="s">
        <v>60</v>
      </c>
    </row>
    <row r="425" spans="2:52" x14ac:dyDescent="0.15">
      <c r="B425" s="2" t="s">
        <v>1775</v>
      </c>
      <c r="C425" s="2" t="s">
        <v>1944</v>
      </c>
      <c r="D425" s="2" t="s">
        <v>33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33</v>
      </c>
      <c r="H425" s="4" t="str">
        <f>VLOOKUP(G425,corpsSet!$B$5:$C$46,2,0)</f>
        <v>刘焉</v>
      </c>
      <c r="I425" s="4" t="s">
        <v>126</v>
      </c>
      <c r="J425" s="4" t="str">
        <f>VLOOKUP(I425,citySet!$B$5:$C$46,2,0)</f>
        <v>成都</v>
      </c>
      <c r="K425" s="2" t="s">
        <v>1865</v>
      </c>
      <c r="L425" s="2" t="s">
        <v>1945</v>
      </c>
      <c r="M425" s="2" t="s">
        <v>1946</v>
      </c>
      <c r="N425" s="4"/>
      <c r="O425" s="2" t="s">
        <v>4</v>
      </c>
      <c r="P425" s="2" t="s">
        <v>4</v>
      </c>
      <c r="Q425" s="4">
        <v>0</v>
      </c>
      <c r="R425" s="2" t="s">
        <v>370</v>
      </c>
      <c r="S425" s="2" t="s">
        <v>393</v>
      </c>
      <c r="T425" s="2" t="s">
        <v>555</v>
      </c>
      <c r="U425" s="2" t="s">
        <v>689</v>
      </c>
      <c r="V425" s="2" t="s">
        <v>374</v>
      </c>
      <c r="W425" s="4">
        <v>1</v>
      </c>
      <c r="X425" s="2" t="s">
        <v>365</v>
      </c>
      <c r="Y425" s="4">
        <v>7</v>
      </c>
      <c r="Z425" s="4" t="s">
        <v>3078</v>
      </c>
      <c r="AA425" s="2" t="s">
        <v>413</v>
      </c>
      <c r="AB425" s="2" t="s">
        <v>8</v>
      </c>
      <c r="AC425" s="2" t="s">
        <v>36</v>
      </c>
      <c r="AD425" s="4">
        <v>88</v>
      </c>
      <c r="AE425" s="2" t="s">
        <v>554</v>
      </c>
      <c r="AF425" s="2" t="s">
        <v>105</v>
      </c>
      <c r="AG425" s="2" t="s">
        <v>685</v>
      </c>
      <c r="AH425" s="2" t="s">
        <v>185</v>
      </c>
      <c r="AI425" s="2" t="s">
        <v>1943</v>
      </c>
      <c r="AJ425" s="4"/>
      <c r="AL425" s="4"/>
      <c r="AN425" s="4"/>
      <c r="AP425" s="4"/>
      <c r="AQ425" s="4"/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Z425" s="2" t="s">
        <v>60</v>
      </c>
    </row>
    <row r="426" spans="2:52" x14ac:dyDescent="0.15">
      <c r="B426" s="2" t="s">
        <v>276</v>
      </c>
      <c r="C426" s="2" t="s">
        <v>1947</v>
      </c>
      <c r="D426" s="2" t="s">
        <v>35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35</v>
      </c>
      <c r="H426" s="4" t="str">
        <f>VLOOKUP(G426,corpsSet!$B$5:$C$46,2,0)</f>
        <v>刘备</v>
      </c>
      <c r="I426" s="4" t="s">
        <v>213</v>
      </c>
      <c r="J426" s="4" t="str">
        <f>VLOOKUP(I426,citySet!$B$5:$C$46,2,0)</f>
        <v>江陵</v>
      </c>
      <c r="K426" s="2" t="s">
        <v>1865</v>
      </c>
      <c r="L426" s="2" t="s">
        <v>539</v>
      </c>
      <c r="N426" s="4"/>
      <c r="O426" s="2" t="s">
        <v>1861</v>
      </c>
      <c r="P426" s="2" t="s">
        <v>1861</v>
      </c>
      <c r="Q426" s="4">
        <v>0</v>
      </c>
      <c r="R426" s="2" t="s">
        <v>370</v>
      </c>
      <c r="S426" s="2" t="s">
        <v>340</v>
      </c>
      <c r="T426" s="2" t="s">
        <v>536</v>
      </c>
      <c r="U426" s="2" t="s">
        <v>491</v>
      </c>
      <c r="V426" s="2" t="s">
        <v>431</v>
      </c>
      <c r="W426" s="4">
        <v>1</v>
      </c>
      <c r="X426" s="2" t="s">
        <v>365</v>
      </c>
      <c r="Y426" s="4">
        <v>0</v>
      </c>
      <c r="Z426" s="4" t="s">
        <v>39</v>
      </c>
      <c r="AA426" s="2" t="s">
        <v>185</v>
      </c>
      <c r="AB426" s="2" t="s">
        <v>30</v>
      </c>
      <c r="AC426" s="2" t="s">
        <v>20</v>
      </c>
      <c r="AD426" s="4">
        <v>31</v>
      </c>
      <c r="AE426" s="2" t="s">
        <v>486</v>
      </c>
      <c r="AF426" s="2" t="s">
        <v>14</v>
      </c>
      <c r="AG426" s="2" t="s">
        <v>394</v>
      </c>
      <c r="AH426" s="2" t="s">
        <v>185</v>
      </c>
      <c r="AI426" s="2" t="s">
        <v>1603</v>
      </c>
      <c r="AJ426" s="4" t="s">
        <v>1977</v>
      </c>
      <c r="AK426" s="2" t="s">
        <v>695</v>
      </c>
      <c r="AL426" s="4"/>
      <c r="AN426" s="4"/>
      <c r="AP426" s="4"/>
      <c r="AQ426" s="4"/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Z426" s="2" t="s">
        <v>60</v>
      </c>
    </row>
    <row r="427" spans="2:52" x14ac:dyDescent="0.15">
      <c r="B427" s="2" t="s">
        <v>1952</v>
      </c>
      <c r="C427" s="2" t="s">
        <v>1948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29</v>
      </c>
      <c r="J427" s="4" t="str">
        <f>VLOOKUP(I427,citySet!$B$5:$C$46,2,0)</f>
        <v>下邳</v>
      </c>
      <c r="K427" s="2" t="s">
        <v>1865</v>
      </c>
      <c r="L427" s="2" t="s">
        <v>1950</v>
      </c>
      <c r="M427" s="2" t="s">
        <v>1951</v>
      </c>
      <c r="N427" s="4"/>
      <c r="O427" s="2" t="s">
        <v>1949</v>
      </c>
      <c r="P427" s="2" t="s">
        <v>1949</v>
      </c>
      <c r="Q427" s="4">
        <v>0</v>
      </c>
      <c r="R427" s="2" t="s">
        <v>370</v>
      </c>
      <c r="S427" s="2" t="s">
        <v>425</v>
      </c>
      <c r="T427" s="2" t="s">
        <v>725</v>
      </c>
      <c r="U427" s="2" t="s">
        <v>717</v>
      </c>
      <c r="V427" s="2" t="s">
        <v>469</v>
      </c>
      <c r="W427" s="4">
        <v>2</v>
      </c>
      <c r="X427" s="2" t="s">
        <v>2983</v>
      </c>
      <c r="Y427" s="4">
        <v>0</v>
      </c>
      <c r="Z427" s="4" t="s">
        <v>39</v>
      </c>
      <c r="AA427" s="2" t="s">
        <v>60</v>
      </c>
      <c r="AB427" s="2" t="s">
        <v>422</v>
      </c>
      <c r="AC427" s="2" t="s">
        <v>153</v>
      </c>
      <c r="AD427" s="4">
        <v>75</v>
      </c>
      <c r="AE427" s="2" t="s">
        <v>261</v>
      </c>
      <c r="AF427" s="2" t="s">
        <v>367</v>
      </c>
      <c r="AG427" s="2" t="s">
        <v>1480</v>
      </c>
      <c r="AH427" s="2" t="s">
        <v>185</v>
      </c>
      <c r="AI427" s="2" t="s">
        <v>1899</v>
      </c>
      <c r="AJ427" s="4">
        <v>42</v>
      </c>
      <c r="AK427" s="2" t="s">
        <v>1900</v>
      </c>
      <c r="AL427" s="4"/>
      <c r="AN427" s="4"/>
      <c r="AP427" s="4"/>
      <c r="AQ427" s="4"/>
      <c r="AS427" s="4">
        <v>1</v>
      </c>
      <c r="AT427" s="4">
        <v>2</v>
      </c>
      <c r="AU427" s="4">
        <v>2</v>
      </c>
      <c r="AV427" s="4">
        <v>0</v>
      </c>
      <c r="AW427" s="4">
        <v>1</v>
      </c>
      <c r="AX427" s="4">
        <v>2</v>
      </c>
      <c r="AZ427" s="2" t="s">
        <v>60</v>
      </c>
    </row>
    <row r="428" spans="2:52" x14ac:dyDescent="0.15">
      <c r="B428" s="2" t="s">
        <v>1955</v>
      </c>
      <c r="C428" s="2" t="s">
        <v>1953</v>
      </c>
      <c r="D428" s="2" t="s">
        <v>33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33</v>
      </c>
      <c r="H428" s="4" t="str">
        <f>VLOOKUP(G428,corpsSet!$B$5:$C$46,2,0)</f>
        <v>刘焉</v>
      </c>
      <c r="I428" s="4" t="s">
        <v>126</v>
      </c>
      <c r="J428" s="4" t="str">
        <f>VLOOKUP(I428,citySet!$B$5:$C$46,2,0)</f>
        <v>成都</v>
      </c>
      <c r="K428" s="2" t="s">
        <v>1865</v>
      </c>
      <c r="L428" s="2" t="s">
        <v>1954</v>
      </c>
      <c r="N428" s="4"/>
      <c r="O428" s="2" t="s">
        <v>379</v>
      </c>
      <c r="P428" s="2" t="s">
        <v>379</v>
      </c>
      <c r="Q428" s="4">
        <v>0</v>
      </c>
      <c r="R428" s="2" t="s">
        <v>370</v>
      </c>
      <c r="S428" s="2" t="s">
        <v>438</v>
      </c>
      <c r="T428" s="2" t="s">
        <v>477</v>
      </c>
      <c r="U428" s="2" t="s">
        <v>675</v>
      </c>
      <c r="V428" s="2" t="s">
        <v>201</v>
      </c>
      <c r="W428" s="4">
        <v>1</v>
      </c>
      <c r="X428" s="2" t="s">
        <v>365</v>
      </c>
      <c r="Y428" s="4">
        <v>4</v>
      </c>
      <c r="Z428" s="4" t="s">
        <v>1091</v>
      </c>
      <c r="AA428" s="2" t="s">
        <v>185</v>
      </c>
      <c r="AB428" s="2" t="s">
        <v>123</v>
      </c>
      <c r="AC428" s="2" t="s">
        <v>391</v>
      </c>
      <c r="AD428" s="4">
        <v>78</v>
      </c>
      <c r="AE428" s="2" t="s">
        <v>486</v>
      </c>
      <c r="AF428" s="2" t="s">
        <v>434</v>
      </c>
      <c r="AG428" s="2" t="s">
        <v>1831</v>
      </c>
      <c r="AH428" s="2" t="s">
        <v>185</v>
      </c>
      <c r="AI428" s="2" t="s">
        <v>1952</v>
      </c>
      <c r="AJ428" s="4"/>
      <c r="AL428" s="4"/>
      <c r="AN428" s="4"/>
      <c r="AP428" s="4"/>
      <c r="AQ428" s="4"/>
      <c r="AS428" s="4">
        <v>2</v>
      </c>
      <c r="AT428" s="4">
        <v>3</v>
      </c>
      <c r="AU428" s="4">
        <v>3</v>
      </c>
      <c r="AV428" s="4">
        <v>0</v>
      </c>
      <c r="AW428" s="4">
        <v>1</v>
      </c>
      <c r="AX428" s="4">
        <v>0</v>
      </c>
      <c r="AZ428" s="2" t="s">
        <v>60</v>
      </c>
    </row>
    <row r="429" spans="2:52" x14ac:dyDescent="0.15">
      <c r="B429" s="2" t="s">
        <v>691</v>
      </c>
      <c r="C429" s="2" t="s">
        <v>1956</v>
      </c>
      <c r="D429" s="2" t="s">
        <v>24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24</v>
      </c>
      <c r="H429" s="4" t="str">
        <f>VLOOKUP(G429,corpsSet!$B$5:$C$46,2,0)</f>
        <v>吕布</v>
      </c>
      <c r="I429" s="4" t="s">
        <v>29</v>
      </c>
      <c r="J429" s="4" t="str">
        <f>VLOOKUP(I429,citySet!$B$5:$C$46,2,0)</f>
        <v>下邳</v>
      </c>
      <c r="K429" s="2" t="s">
        <v>1958</v>
      </c>
      <c r="L429" s="2" t="s">
        <v>1959</v>
      </c>
      <c r="N429" s="4"/>
      <c r="O429" s="2" t="s">
        <v>1957</v>
      </c>
      <c r="P429" s="2" t="s">
        <v>1957</v>
      </c>
      <c r="Q429" s="4">
        <v>1</v>
      </c>
      <c r="R429" s="2" t="s">
        <v>577</v>
      </c>
      <c r="S429" s="2" t="s">
        <v>407</v>
      </c>
      <c r="T429" s="2" t="s">
        <v>504</v>
      </c>
      <c r="U429" s="2" t="s">
        <v>94</v>
      </c>
      <c r="V429" s="2" t="s">
        <v>415</v>
      </c>
      <c r="W429" s="4">
        <v>1</v>
      </c>
      <c r="X429" s="2" t="s">
        <v>365</v>
      </c>
      <c r="Y429" s="4">
        <v>0</v>
      </c>
      <c r="Z429" s="4" t="s">
        <v>39</v>
      </c>
      <c r="AA429" s="2" t="s">
        <v>466</v>
      </c>
      <c r="AB429" s="2" t="s">
        <v>32</v>
      </c>
      <c r="AC429" s="2" t="s">
        <v>200</v>
      </c>
      <c r="AD429" s="4">
        <v>81</v>
      </c>
      <c r="AE429" s="2" t="s">
        <v>257</v>
      </c>
      <c r="AF429" s="2" t="s">
        <v>175</v>
      </c>
      <c r="AG429" s="2" t="s">
        <v>1092</v>
      </c>
      <c r="AH429" s="2" t="s">
        <v>185</v>
      </c>
      <c r="AI429" s="2" t="s">
        <v>196</v>
      </c>
      <c r="AJ429" s="4" t="s">
        <v>200</v>
      </c>
      <c r="AK429" s="2" t="s">
        <v>582</v>
      </c>
      <c r="AL429" s="4"/>
      <c r="AN429" s="4" t="s">
        <v>2010</v>
      </c>
      <c r="AO429" s="2" t="s">
        <v>13</v>
      </c>
      <c r="AP429" s="4"/>
      <c r="AQ429" s="4"/>
      <c r="AS429" s="4">
        <v>0</v>
      </c>
      <c r="AT429" s="4">
        <v>0</v>
      </c>
      <c r="AU429" s="4">
        <v>1</v>
      </c>
      <c r="AV429" s="4">
        <v>1</v>
      </c>
      <c r="AW429" s="4">
        <v>0</v>
      </c>
      <c r="AX429" s="4">
        <v>1</v>
      </c>
      <c r="AZ429" s="2" t="s">
        <v>60</v>
      </c>
    </row>
    <row r="430" spans="2:52" x14ac:dyDescent="0.15">
      <c r="B430" s="2" t="s">
        <v>1175</v>
      </c>
      <c r="C430" s="2" t="s">
        <v>1960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119</v>
      </c>
      <c r="J430" s="4" t="str">
        <f>VLOOKUP(I430,citySet!$B$5:$C$46,2,0)</f>
        <v>襄阳</v>
      </c>
      <c r="K430" s="2" t="s">
        <v>1865</v>
      </c>
      <c r="L430" s="2" t="s">
        <v>1507</v>
      </c>
      <c r="M430" s="2" t="s">
        <v>1961</v>
      </c>
      <c r="N430" s="4"/>
      <c r="O430" s="2" t="s">
        <v>961</v>
      </c>
      <c r="P430" s="2" t="s">
        <v>961</v>
      </c>
      <c r="Q430" s="4">
        <v>0</v>
      </c>
      <c r="R430" s="2" t="s">
        <v>370</v>
      </c>
      <c r="S430" s="2" t="s">
        <v>548</v>
      </c>
      <c r="T430" s="2" t="s">
        <v>562</v>
      </c>
      <c r="U430" s="2" t="s">
        <v>610</v>
      </c>
      <c r="V430" s="2" t="s">
        <v>335</v>
      </c>
      <c r="W430" s="4">
        <v>2</v>
      </c>
      <c r="X430" s="2" t="s">
        <v>2983</v>
      </c>
      <c r="Y430" s="4">
        <v>0</v>
      </c>
      <c r="Z430" s="4" t="s">
        <v>39</v>
      </c>
      <c r="AA430" s="2" t="s">
        <v>60</v>
      </c>
      <c r="AB430" s="2" t="s">
        <v>445</v>
      </c>
      <c r="AC430" s="2" t="s">
        <v>99</v>
      </c>
      <c r="AD430" s="4">
        <v>80</v>
      </c>
      <c r="AE430" s="2" t="s">
        <v>431</v>
      </c>
      <c r="AF430" s="2" t="s">
        <v>397</v>
      </c>
      <c r="AG430" s="2" t="s">
        <v>799</v>
      </c>
      <c r="AH430" s="2" t="s">
        <v>185</v>
      </c>
      <c r="AI430" s="2" t="s">
        <v>691</v>
      </c>
      <c r="AJ430" s="4"/>
      <c r="AL430" s="4"/>
      <c r="AN430" s="4"/>
      <c r="AP430" s="4"/>
      <c r="AQ430" s="4"/>
      <c r="AS430" s="4">
        <v>2</v>
      </c>
      <c r="AT430" s="4">
        <v>0</v>
      </c>
      <c r="AU430" s="4">
        <v>1</v>
      </c>
      <c r="AV430" s="4">
        <v>0</v>
      </c>
      <c r="AW430" s="4">
        <v>0</v>
      </c>
      <c r="AX430" s="4">
        <v>2</v>
      </c>
      <c r="AZ430" s="2" t="s">
        <v>60</v>
      </c>
    </row>
    <row r="431" spans="2:52" x14ac:dyDescent="0.15">
      <c r="B431" s="2" t="s">
        <v>1963</v>
      </c>
      <c r="C431" s="2" t="s">
        <v>1962</v>
      </c>
      <c r="D431" s="2" t="s">
        <v>35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35</v>
      </c>
      <c r="H431" s="4" t="str">
        <f>VLOOKUP(G431,corpsSet!$B$5:$C$46,2,0)</f>
        <v>刘备</v>
      </c>
      <c r="I431" s="4" t="s">
        <v>213</v>
      </c>
      <c r="J431" s="4" t="str">
        <f>VLOOKUP(I431,citySet!$B$5:$C$46,2,0)</f>
        <v>江陵</v>
      </c>
      <c r="K431" s="2" t="s">
        <v>1868</v>
      </c>
      <c r="L431" s="2" t="s">
        <v>993</v>
      </c>
      <c r="N431" s="4"/>
      <c r="O431" s="2" t="s">
        <v>702</v>
      </c>
      <c r="P431" s="2" t="s">
        <v>702</v>
      </c>
      <c r="Q431" s="4">
        <v>0</v>
      </c>
      <c r="R431" s="2" t="s">
        <v>370</v>
      </c>
      <c r="S431" s="2" t="s">
        <v>489</v>
      </c>
      <c r="T431" s="2" t="s">
        <v>490</v>
      </c>
      <c r="U431" s="2" t="s">
        <v>408</v>
      </c>
      <c r="V431" s="2" t="s">
        <v>481</v>
      </c>
      <c r="W431" s="4">
        <v>1</v>
      </c>
      <c r="X431" s="2" t="s">
        <v>365</v>
      </c>
      <c r="Y431" s="4">
        <v>0</v>
      </c>
      <c r="Z431" s="4" t="s">
        <v>39</v>
      </c>
      <c r="AA431" s="2" t="s">
        <v>185</v>
      </c>
      <c r="AB431" s="2" t="s">
        <v>321</v>
      </c>
      <c r="AC431" s="2" t="s">
        <v>445</v>
      </c>
      <c r="AD431" s="4">
        <v>61</v>
      </c>
      <c r="AE431" s="2" t="s">
        <v>3</v>
      </c>
      <c r="AF431" s="2" t="s">
        <v>485</v>
      </c>
      <c r="AG431" s="2" t="s">
        <v>678</v>
      </c>
      <c r="AH431" s="2" t="s">
        <v>185</v>
      </c>
      <c r="AI431" s="2" t="s">
        <v>1866</v>
      </c>
      <c r="AJ431" s="4" t="s">
        <v>1871</v>
      </c>
      <c r="AK431" s="2" t="s">
        <v>3101</v>
      </c>
      <c r="AL431" s="4"/>
      <c r="AN431" s="4"/>
      <c r="AP431" s="4"/>
      <c r="AQ431" s="4"/>
      <c r="AS431" s="4">
        <v>1</v>
      </c>
      <c r="AT431" s="4">
        <v>0</v>
      </c>
      <c r="AU431" s="4">
        <v>1</v>
      </c>
      <c r="AV431" s="4">
        <v>2</v>
      </c>
      <c r="AW431" s="4">
        <v>0</v>
      </c>
      <c r="AX431" s="4">
        <v>0</v>
      </c>
      <c r="AZ431" s="2" t="s">
        <v>60</v>
      </c>
    </row>
    <row r="432" spans="2:52" x14ac:dyDescent="0.15">
      <c r="B432" s="2" t="s">
        <v>1185</v>
      </c>
      <c r="C432" s="2" t="s">
        <v>1964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31</v>
      </c>
      <c r="J432" s="4" t="str">
        <f>VLOOKUP(I432,citySet!$B$5:$C$46,2,0)</f>
        <v>蓟</v>
      </c>
      <c r="K432" s="2" t="s">
        <v>1865</v>
      </c>
      <c r="L432" s="2" t="s">
        <v>1965</v>
      </c>
      <c r="M432" s="2" t="s">
        <v>1966</v>
      </c>
      <c r="N432" s="4"/>
      <c r="O432" s="2" t="s">
        <v>982</v>
      </c>
      <c r="P432" s="2" t="s">
        <v>982</v>
      </c>
      <c r="Q432" s="4">
        <v>0</v>
      </c>
      <c r="R432" s="2" t="s">
        <v>370</v>
      </c>
      <c r="S432" s="2" t="s">
        <v>667</v>
      </c>
      <c r="T432" s="2" t="s">
        <v>490</v>
      </c>
      <c r="U432" s="2" t="s">
        <v>854</v>
      </c>
      <c r="V432" s="2" t="s">
        <v>21</v>
      </c>
      <c r="W432" s="4">
        <v>2</v>
      </c>
      <c r="X432" s="2" t="s">
        <v>2983</v>
      </c>
      <c r="Y432" s="4">
        <v>0</v>
      </c>
      <c r="Z432" s="4" t="s">
        <v>39</v>
      </c>
      <c r="AA432" s="2" t="s">
        <v>60</v>
      </c>
      <c r="AB432" s="2" t="s">
        <v>261</v>
      </c>
      <c r="AC432" s="2" t="s">
        <v>3</v>
      </c>
      <c r="AD432" s="4">
        <v>75</v>
      </c>
      <c r="AE432" s="2" t="s">
        <v>404</v>
      </c>
      <c r="AF432" s="2" t="s">
        <v>321</v>
      </c>
      <c r="AG432" s="2" t="s">
        <v>520</v>
      </c>
      <c r="AH432" s="2" t="s">
        <v>185</v>
      </c>
      <c r="AI432" s="2" t="s">
        <v>1963</v>
      </c>
      <c r="AJ432" s="4"/>
      <c r="AL432" s="4"/>
      <c r="AN432" s="4"/>
      <c r="AP432" s="4"/>
      <c r="AQ432" s="4"/>
      <c r="AS432" s="4">
        <v>0</v>
      </c>
      <c r="AT432" s="4">
        <v>2</v>
      </c>
      <c r="AU432" s="4">
        <v>1</v>
      </c>
      <c r="AV432" s="4">
        <v>0</v>
      </c>
      <c r="AW432" s="4">
        <v>2</v>
      </c>
      <c r="AX432" s="4">
        <v>0</v>
      </c>
      <c r="AZ432" s="2" t="s">
        <v>60</v>
      </c>
    </row>
    <row r="433" spans="2:52" x14ac:dyDescent="0.15">
      <c r="B433" s="2" t="s">
        <v>1970</v>
      </c>
      <c r="C433" s="2" t="s">
        <v>1967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37</v>
      </c>
      <c r="J433" s="4" t="str">
        <f>VLOOKUP(I433,citySet!$B$5:$C$46,2,0)</f>
        <v>南皮</v>
      </c>
      <c r="K433" s="2" t="s">
        <v>1865</v>
      </c>
      <c r="L433" s="2" t="s">
        <v>1969</v>
      </c>
      <c r="N433" s="4"/>
      <c r="O433" s="2" t="s">
        <v>1968</v>
      </c>
      <c r="P433" s="2" t="s">
        <v>1968</v>
      </c>
      <c r="Q433" s="4">
        <v>0</v>
      </c>
      <c r="R433" s="2" t="s">
        <v>370</v>
      </c>
      <c r="S433" s="2" t="s">
        <v>544</v>
      </c>
      <c r="T433" s="2" t="s">
        <v>518</v>
      </c>
      <c r="U433" s="2" t="s">
        <v>406</v>
      </c>
      <c r="V433" s="2" t="s">
        <v>21</v>
      </c>
      <c r="W433" s="4">
        <v>2</v>
      </c>
      <c r="X433" s="2" t="s">
        <v>2983</v>
      </c>
      <c r="Y433" s="4">
        <v>0</v>
      </c>
      <c r="Z433" s="4" t="s">
        <v>39</v>
      </c>
      <c r="AA433" s="2" t="s">
        <v>60</v>
      </c>
      <c r="AB433" s="2" t="s">
        <v>432</v>
      </c>
      <c r="AC433" s="2" t="s">
        <v>515</v>
      </c>
      <c r="AD433" s="4">
        <v>46</v>
      </c>
      <c r="AE433" s="2" t="s">
        <v>219</v>
      </c>
      <c r="AF433" s="2" t="s">
        <v>219</v>
      </c>
      <c r="AG433" s="2" t="s">
        <v>368</v>
      </c>
      <c r="AH433" s="2" t="s">
        <v>185</v>
      </c>
      <c r="AI433" s="2" t="s">
        <v>1185</v>
      </c>
      <c r="AJ433" s="4"/>
      <c r="AL433" s="4"/>
      <c r="AN433" s="4"/>
      <c r="AP433" s="4"/>
      <c r="AQ433" s="4"/>
      <c r="AS433" s="4">
        <v>0</v>
      </c>
      <c r="AT433" s="4">
        <v>0</v>
      </c>
      <c r="AU433" s="4">
        <v>0</v>
      </c>
      <c r="AV433" s="4">
        <v>2</v>
      </c>
      <c r="AW433" s="4">
        <v>0</v>
      </c>
      <c r="AX433" s="4">
        <v>0</v>
      </c>
      <c r="AZ433" s="2" t="s">
        <v>60</v>
      </c>
    </row>
    <row r="434" spans="2:52" x14ac:dyDescent="0.15">
      <c r="B434" s="2" t="s">
        <v>1972</v>
      </c>
      <c r="C434" s="2" t="s">
        <v>1967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95</v>
      </c>
      <c r="J434" s="4" t="str">
        <f>VLOOKUP(I434,citySet!$B$5:$C$46,2,0)</f>
        <v>武陵</v>
      </c>
      <c r="K434" s="2" t="s">
        <v>1865</v>
      </c>
      <c r="L434" s="2" t="s">
        <v>1969</v>
      </c>
      <c r="M434" s="2" t="s">
        <v>1971</v>
      </c>
      <c r="N434" s="4"/>
      <c r="O434" s="2" t="s">
        <v>1196</v>
      </c>
      <c r="P434" s="2" t="s">
        <v>1196</v>
      </c>
      <c r="Q434" s="4">
        <v>0</v>
      </c>
      <c r="R434" s="2" t="s">
        <v>370</v>
      </c>
      <c r="S434" s="2" t="s">
        <v>490</v>
      </c>
      <c r="T434" s="2" t="s">
        <v>544</v>
      </c>
      <c r="U434" s="2" t="s">
        <v>512</v>
      </c>
      <c r="V434" s="2" t="s">
        <v>367</v>
      </c>
      <c r="W434" s="4">
        <v>2</v>
      </c>
      <c r="X434" s="2" t="s">
        <v>2983</v>
      </c>
      <c r="Y434" s="4">
        <v>0</v>
      </c>
      <c r="Z434" s="4" t="s">
        <v>39</v>
      </c>
      <c r="AA434" s="2" t="s">
        <v>60</v>
      </c>
      <c r="AB434" s="2" t="s">
        <v>153</v>
      </c>
      <c r="AC434" s="2" t="s">
        <v>454</v>
      </c>
      <c r="AD434" s="4">
        <v>37</v>
      </c>
      <c r="AE434" s="2" t="s">
        <v>99</v>
      </c>
      <c r="AF434" s="2" t="s">
        <v>486</v>
      </c>
      <c r="AG434" s="2" t="s">
        <v>570</v>
      </c>
      <c r="AH434" s="2" t="s">
        <v>185</v>
      </c>
      <c r="AI434" s="2" t="s">
        <v>1970</v>
      </c>
      <c r="AJ434" s="4"/>
      <c r="AL434" s="4"/>
      <c r="AN434" s="4"/>
      <c r="AP434" s="4"/>
      <c r="AQ434" s="4"/>
      <c r="AS434" s="4">
        <v>1</v>
      </c>
      <c r="AT434" s="4">
        <v>1</v>
      </c>
      <c r="AU434" s="4">
        <v>0</v>
      </c>
      <c r="AV434" s="4">
        <v>1</v>
      </c>
      <c r="AW434" s="4">
        <v>0</v>
      </c>
      <c r="AX434" s="4">
        <v>0</v>
      </c>
      <c r="AZ434" s="2" t="s">
        <v>60</v>
      </c>
    </row>
    <row r="435" spans="2:52" x14ac:dyDescent="0.15">
      <c r="B435" s="2" t="s">
        <v>1975</v>
      </c>
      <c r="C435" s="2" t="s">
        <v>1973</v>
      </c>
      <c r="D435" s="2" t="s">
        <v>24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24</v>
      </c>
      <c r="H435" s="4" t="str">
        <f>VLOOKUP(G435,corpsSet!$B$5:$C$46,2,0)</f>
        <v>吕布</v>
      </c>
      <c r="I435" s="4" t="s">
        <v>29</v>
      </c>
      <c r="J435" s="4" t="str">
        <f>VLOOKUP(I435,citySet!$B$5:$C$46,2,0)</f>
        <v>下邳</v>
      </c>
      <c r="K435" s="2" t="s">
        <v>1865</v>
      </c>
      <c r="L435" s="2" t="s">
        <v>1036</v>
      </c>
      <c r="M435" s="2" t="s">
        <v>1974</v>
      </c>
      <c r="N435" s="4"/>
      <c r="O435" s="2" t="s">
        <v>645</v>
      </c>
      <c r="P435" s="2" t="s">
        <v>645</v>
      </c>
      <c r="Q435" s="4">
        <v>0</v>
      </c>
      <c r="R435" s="2" t="s">
        <v>370</v>
      </c>
      <c r="S435" s="2" t="s">
        <v>435</v>
      </c>
      <c r="T435" s="2" t="s">
        <v>524</v>
      </c>
      <c r="U435" s="2" t="s">
        <v>83</v>
      </c>
      <c r="V435" s="2" t="s">
        <v>185</v>
      </c>
      <c r="W435" s="4">
        <v>1</v>
      </c>
      <c r="X435" s="2" t="s">
        <v>365</v>
      </c>
      <c r="Y435" s="4">
        <v>7</v>
      </c>
      <c r="Z435" s="4" t="s">
        <v>3078</v>
      </c>
      <c r="AA435" s="2" t="s">
        <v>228</v>
      </c>
      <c r="AB435" s="2" t="s">
        <v>14</v>
      </c>
      <c r="AC435" s="2" t="s">
        <v>19</v>
      </c>
      <c r="AD435" s="4">
        <v>70</v>
      </c>
      <c r="AE435" s="2" t="s">
        <v>367</v>
      </c>
      <c r="AF435" s="2" t="s">
        <v>256</v>
      </c>
      <c r="AG435" s="2" t="s">
        <v>980</v>
      </c>
      <c r="AH435" s="2" t="s">
        <v>185</v>
      </c>
      <c r="AI435" s="2" t="s">
        <v>1972</v>
      </c>
      <c r="AJ435" s="4"/>
      <c r="AL435" s="4"/>
      <c r="AN435" s="4"/>
      <c r="AP435" s="4"/>
      <c r="AQ435" s="4"/>
      <c r="AS435" s="4">
        <v>0</v>
      </c>
      <c r="AT435" s="4">
        <v>1</v>
      </c>
      <c r="AU435" s="4">
        <v>1</v>
      </c>
      <c r="AV435" s="4">
        <v>1</v>
      </c>
      <c r="AW435" s="4">
        <v>0</v>
      </c>
      <c r="AX435" s="4">
        <v>0</v>
      </c>
      <c r="AZ435" s="2" t="s">
        <v>60</v>
      </c>
    </row>
    <row r="436" spans="2:52" x14ac:dyDescent="0.15">
      <c r="B436" s="2" t="s">
        <v>1603</v>
      </c>
      <c r="C436" s="2" t="s">
        <v>3073</v>
      </c>
      <c r="D436" s="2" t="s">
        <v>95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95</v>
      </c>
      <c r="H436" s="4" t="str">
        <f>VLOOKUP(G436,corpsSet!$B$5:$C$46,2,0)</f>
        <v>赵范</v>
      </c>
      <c r="I436" s="4" t="s">
        <v>219</v>
      </c>
      <c r="J436" s="4" t="str">
        <f>VLOOKUP(I436,citySet!$B$5:$C$46,2,0)</f>
        <v>桂阳</v>
      </c>
      <c r="K436" s="2" t="s">
        <v>1868</v>
      </c>
      <c r="L436" s="2" t="s">
        <v>905</v>
      </c>
      <c r="N436" s="4"/>
      <c r="O436" s="2" t="s">
        <v>257</v>
      </c>
      <c r="P436" s="2" t="s">
        <v>257</v>
      </c>
      <c r="Q436" s="4">
        <v>0</v>
      </c>
      <c r="R436" s="2" t="s">
        <v>370</v>
      </c>
      <c r="S436" s="2" t="s">
        <v>544</v>
      </c>
      <c r="T436" s="2" t="s">
        <v>518</v>
      </c>
      <c r="U436" s="2" t="s">
        <v>379</v>
      </c>
      <c r="V436" s="2" t="s">
        <v>397</v>
      </c>
      <c r="W436" s="4">
        <v>3</v>
      </c>
      <c r="X436" s="2" t="s">
        <v>2</v>
      </c>
      <c r="Y436" s="4">
        <v>0</v>
      </c>
      <c r="Z436" s="4" t="s">
        <v>39</v>
      </c>
      <c r="AA436" s="2" t="s">
        <v>185</v>
      </c>
      <c r="AB436" s="2" t="s">
        <v>25</v>
      </c>
      <c r="AC436" s="2" t="s">
        <v>107</v>
      </c>
      <c r="AD436" s="4">
        <v>32</v>
      </c>
      <c r="AE436" s="2" t="s">
        <v>485</v>
      </c>
      <c r="AF436" s="2" t="s">
        <v>201</v>
      </c>
      <c r="AG436" s="2" t="s">
        <v>83</v>
      </c>
      <c r="AH436" s="2" t="s">
        <v>185</v>
      </c>
      <c r="AI436" s="2" t="s">
        <v>1975</v>
      </c>
      <c r="AJ436" s="4"/>
      <c r="AL436" s="4"/>
      <c r="AN436" s="4"/>
      <c r="AP436" s="4"/>
      <c r="AQ436" s="4"/>
      <c r="AS436" s="4">
        <v>0</v>
      </c>
      <c r="AT436" s="4">
        <v>0</v>
      </c>
      <c r="AU436" s="4">
        <v>0</v>
      </c>
      <c r="AV436" s="4">
        <v>1</v>
      </c>
      <c r="AW436" s="4">
        <v>0</v>
      </c>
      <c r="AX436" s="4">
        <v>0</v>
      </c>
      <c r="AZ436" s="2" t="s">
        <v>60</v>
      </c>
    </row>
    <row r="437" spans="2:52" x14ac:dyDescent="0.15">
      <c r="B437" s="2" t="s">
        <v>1977</v>
      </c>
      <c r="C437" s="2" t="s">
        <v>695</v>
      </c>
      <c r="D437" s="2" t="s">
        <v>35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35</v>
      </c>
      <c r="H437" s="4" t="str">
        <f>VLOOKUP(G437,corpsSet!$B$5:$C$46,2,0)</f>
        <v>刘备</v>
      </c>
      <c r="I437" s="4" t="s">
        <v>213</v>
      </c>
      <c r="J437" s="4" t="str">
        <f>VLOOKUP(I437,citySet!$B$5:$C$46,2,0)</f>
        <v>江陵</v>
      </c>
      <c r="K437" s="2" t="s">
        <v>1865</v>
      </c>
      <c r="L437" s="2" t="s">
        <v>1748</v>
      </c>
      <c r="M437" s="2" t="s">
        <v>1976</v>
      </c>
      <c r="N437" s="4"/>
      <c r="O437" s="2" t="s">
        <v>27</v>
      </c>
      <c r="P437" s="2" t="s">
        <v>27</v>
      </c>
      <c r="Q437" s="4">
        <v>0</v>
      </c>
      <c r="R437" s="2" t="s">
        <v>370</v>
      </c>
      <c r="S437" s="2" t="s">
        <v>435</v>
      </c>
      <c r="T437" s="2" t="s">
        <v>779</v>
      </c>
      <c r="U437" s="2" t="s">
        <v>437</v>
      </c>
      <c r="V437" s="2" t="s">
        <v>481</v>
      </c>
      <c r="W437" s="4">
        <v>1</v>
      </c>
      <c r="X437" s="2" t="s">
        <v>365</v>
      </c>
      <c r="Y437" s="4">
        <v>3</v>
      </c>
      <c r="Z437" s="4" t="s">
        <v>696</v>
      </c>
      <c r="AA437" s="2" t="s">
        <v>86</v>
      </c>
      <c r="AB437" s="2" t="s">
        <v>256</v>
      </c>
      <c r="AC437" s="2" t="s">
        <v>228</v>
      </c>
      <c r="AD437" s="4">
        <v>30</v>
      </c>
      <c r="AE437" s="2" t="s">
        <v>10</v>
      </c>
      <c r="AF437" s="2" t="s">
        <v>101</v>
      </c>
      <c r="AG437" s="2" t="s">
        <v>610</v>
      </c>
      <c r="AH437" s="2" t="s">
        <v>185</v>
      </c>
      <c r="AI437" s="2" t="s">
        <v>1603</v>
      </c>
      <c r="AJ437" s="4"/>
      <c r="AL437" s="4"/>
      <c r="AN437" s="4"/>
      <c r="AP437" s="4" t="s">
        <v>999</v>
      </c>
      <c r="AQ437" s="4"/>
      <c r="AS437" s="4">
        <v>3</v>
      </c>
      <c r="AT437" s="4">
        <v>3</v>
      </c>
      <c r="AU437" s="4">
        <v>0</v>
      </c>
      <c r="AV437" s="4">
        <v>2</v>
      </c>
      <c r="AW437" s="4">
        <v>0</v>
      </c>
      <c r="AX437" s="4">
        <v>0</v>
      </c>
      <c r="AZ437" s="2" t="s">
        <v>60</v>
      </c>
    </row>
    <row r="438" spans="2:52" x14ac:dyDescent="0.15">
      <c r="B438" s="2" t="s">
        <v>1980</v>
      </c>
      <c r="C438" s="2" t="s">
        <v>1978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193</v>
      </c>
      <c r="J438" s="4" t="str">
        <f>VLOOKUP(I438,citySet!$B$5:$C$46,2,0)</f>
        <v>吴</v>
      </c>
      <c r="K438" s="2" t="s">
        <v>1865</v>
      </c>
      <c r="L438" s="2" t="s">
        <v>1979</v>
      </c>
      <c r="N438" s="4"/>
      <c r="O438" s="2" t="s">
        <v>1866</v>
      </c>
      <c r="P438" s="2" t="s">
        <v>1866</v>
      </c>
      <c r="Q438" s="4">
        <v>0</v>
      </c>
      <c r="R438" s="2" t="s">
        <v>370</v>
      </c>
      <c r="S438" s="2" t="s">
        <v>717</v>
      </c>
      <c r="T438" s="2" t="s">
        <v>373</v>
      </c>
      <c r="U438" s="2" t="s">
        <v>491</v>
      </c>
      <c r="V438" s="2" t="s">
        <v>122</v>
      </c>
      <c r="W438" s="4">
        <v>2</v>
      </c>
      <c r="X438" s="2" t="s">
        <v>2983</v>
      </c>
      <c r="Y438" s="4">
        <v>0</v>
      </c>
      <c r="Z438" s="4" t="s">
        <v>39</v>
      </c>
      <c r="AA438" s="2" t="s">
        <v>60</v>
      </c>
      <c r="AB438" s="2" t="s">
        <v>213</v>
      </c>
      <c r="AC438" s="2" t="s">
        <v>193</v>
      </c>
      <c r="AD438" s="4">
        <v>71</v>
      </c>
      <c r="AE438" s="2" t="s">
        <v>404</v>
      </c>
      <c r="AF438" s="2" t="s">
        <v>237</v>
      </c>
      <c r="AG438" s="2" t="s">
        <v>762</v>
      </c>
      <c r="AH438" s="2" t="s">
        <v>185</v>
      </c>
      <c r="AI438" s="2" t="s">
        <v>1977</v>
      </c>
      <c r="AJ438" s="4"/>
      <c r="AL438" s="4"/>
      <c r="AN438" s="4"/>
      <c r="AP438" s="4"/>
      <c r="AQ438" s="4"/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1</v>
      </c>
      <c r="AZ438" s="2" t="s">
        <v>60</v>
      </c>
    </row>
    <row r="439" spans="2:52" x14ac:dyDescent="0.15">
      <c r="B439" s="2" t="s">
        <v>1981</v>
      </c>
      <c r="C439" s="2" t="s">
        <v>1937</v>
      </c>
      <c r="D439" s="2" t="s">
        <v>35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35</v>
      </c>
      <c r="H439" s="4" t="str">
        <f>VLOOKUP(G439,corpsSet!$B$5:$C$46,2,0)</f>
        <v>刘备</v>
      </c>
      <c r="I439" s="4" t="s">
        <v>213</v>
      </c>
      <c r="J439" s="4" t="str">
        <f>VLOOKUP(I439,citySet!$B$5:$C$46,2,0)</f>
        <v>江陵</v>
      </c>
      <c r="K439" s="2" t="s">
        <v>1865</v>
      </c>
      <c r="L439" s="2" t="s">
        <v>1637</v>
      </c>
      <c r="N439" s="4"/>
      <c r="O439" s="2" t="s">
        <v>475</v>
      </c>
      <c r="P439" s="2" t="s">
        <v>475</v>
      </c>
      <c r="Q439" s="4">
        <v>0</v>
      </c>
      <c r="R439" s="2" t="s">
        <v>370</v>
      </c>
      <c r="S439" s="2" t="s">
        <v>689</v>
      </c>
      <c r="T439" s="2" t="s">
        <v>94</v>
      </c>
      <c r="U439" s="2" t="s">
        <v>806</v>
      </c>
      <c r="V439" s="2" t="s">
        <v>481</v>
      </c>
      <c r="W439" s="4">
        <v>1</v>
      </c>
      <c r="X439" s="2" t="s">
        <v>365</v>
      </c>
      <c r="Y439" s="4">
        <v>0</v>
      </c>
      <c r="Z439" s="4" t="s">
        <v>39</v>
      </c>
      <c r="AA439" s="2" t="s">
        <v>134</v>
      </c>
      <c r="AB439" s="2" t="s">
        <v>481</v>
      </c>
      <c r="AC439" s="2" t="s">
        <v>837</v>
      </c>
      <c r="AD439" s="4">
        <v>48</v>
      </c>
      <c r="AE439" s="2" t="s">
        <v>102</v>
      </c>
      <c r="AF439" s="2" t="s">
        <v>321</v>
      </c>
      <c r="AG439" s="2" t="s">
        <v>620</v>
      </c>
      <c r="AH439" s="2" t="s">
        <v>185</v>
      </c>
      <c r="AI439" s="2" t="s">
        <v>1603</v>
      </c>
      <c r="AJ439" s="4" t="s">
        <v>1977</v>
      </c>
      <c r="AK439" s="2" t="s">
        <v>695</v>
      </c>
      <c r="AL439" s="4"/>
      <c r="AN439" s="4"/>
      <c r="AP439" s="4" t="s">
        <v>1981</v>
      </c>
      <c r="AQ439" s="4"/>
      <c r="AS439" s="4">
        <v>3</v>
      </c>
      <c r="AT439" s="4">
        <v>2</v>
      </c>
      <c r="AU439" s="4">
        <v>1</v>
      </c>
      <c r="AV439" s="4">
        <v>2</v>
      </c>
      <c r="AW439" s="4">
        <v>0</v>
      </c>
      <c r="AX439" s="4">
        <v>0</v>
      </c>
      <c r="AZ439" s="2" t="s">
        <v>60</v>
      </c>
    </row>
    <row r="440" spans="2:52" x14ac:dyDescent="0.15">
      <c r="B440" s="2" t="s">
        <v>1984</v>
      </c>
      <c r="C440" s="2" t="s">
        <v>1982</v>
      </c>
      <c r="D440" s="2" t="s">
        <v>25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25</v>
      </c>
      <c r="H440" s="4" t="str">
        <f>VLOOKUP(G440,corpsSet!$B$5:$C$46,2,0)</f>
        <v>张角</v>
      </c>
      <c r="I440" s="4" t="s">
        <v>20</v>
      </c>
      <c r="J440" s="4" t="str">
        <f>VLOOKUP(I440,citySet!$B$5:$C$46,2,0)</f>
        <v>濮阳</v>
      </c>
      <c r="K440" s="2" t="s">
        <v>1865</v>
      </c>
      <c r="L440" s="2" t="s">
        <v>1983</v>
      </c>
      <c r="N440" s="4"/>
      <c r="O440" s="2" t="s">
        <v>1201</v>
      </c>
      <c r="P440" s="2" t="s">
        <v>1201</v>
      </c>
      <c r="Q440" s="4">
        <v>0</v>
      </c>
      <c r="R440" s="2" t="s">
        <v>370</v>
      </c>
      <c r="S440" s="2" t="s">
        <v>435</v>
      </c>
      <c r="T440" s="2" t="s">
        <v>616</v>
      </c>
      <c r="U440" s="2" t="s">
        <v>435</v>
      </c>
      <c r="V440" s="2" t="s">
        <v>34</v>
      </c>
      <c r="W440" s="4">
        <v>1</v>
      </c>
      <c r="X440" s="2" t="s">
        <v>365</v>
      </c>
      <c r="Y440" s="4">
        <v>4</v>
      </c>
      <c r="Z440" s="4" t="s">
        <v>1091</v>
      </c>
      <c r="AA440" s="2" t="s">
        <v>134</v>
      </c>
      <c r="AB440" s="2" t="s">
        <v>397</v>
      </c>
      <c r="AC440" s="2" t="s">
        <v>515</v>
      </c>
      <c r="AD440" s="4">
        <v>81</v>
      </c>
      <c r="AE440" s="2" t="s">
        <v>444</v>
      </c>
      <c r="AF440" s="2" t="s">
        <v>554</v>
      </c>
      <c r="AG440" s="2" t="s">
        <v>589</v>
      </c>
      <c r="AH440" s="2" t="s">
        <v>185</v>
      </c>
      <c r="AI440" s="2" t="s">
        <v>1889</v>
      </c>
      <c r="AJ440" s="4"/>
      <c r="AK440" s="2" t="s">
        <v>1890</v>
      </c>
      <c r="AL440" s="4"/>
      <c r="AN440" s="4"/>
      <c r="AP440" s="4"/>
      <c r="AQ440" s="4"/>
      <c r="AS440" s="4">
        <v>3</v>
      </c>
      <c r="AT440" s="4">
        <v>1</v>
      </c>
      <c r="AU440" s="4">
        <v>2</v>
      </c>
      <c r="AV440" s="4">
        <v>1</v>
      </c>
      <c r="AW440" s="4">
        <v>3</v>
      </c>
      <c r="AX440" s="4">
        <v>0</v>
      </c>
      <c r="AZ440" s="2" t="s">
        <v>60</v>
      </c>
    </row>
    <row r="441" spans="2:52" x14ac:dyDescent="0.15">
      <c r="B441" s="2" t="s">
        <v>1350</v>
      </c>
      <c r="C441" s="2" t="s">
        <v>1985</v>
      </c>
      <c r="D441" s="2" t="s">
        <v>25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25</v>
      </c>
      <c r="H441" s="4" t="str">
        <f>VLOOKUP(G441,corpsSet!$B$5:$C$46,2,0)</f>
        <v>张角</v>
      </c>
      <c r="I441" s="4" t="s">
        <v>20</v>
      </c>
      <c r="J441" s="4" t="str">
        <f>VLOOKUP(I441,citySet!$B$5:$C$46,2,0)</f>
        <v>濮阳</v>
      </c>
      <c r="K441" s="2" t="s">
        <v>1865</v>
      </c>
      <c r="L441" s="2" t="s">
        <v>1986</v>
      </c>
      <c r="N441" s="4"/>
      <c r="O441" s="2" t="s">
        <v>450</v>
      </c>
      <c r="P441" s="2" t="s">
        <v>450</v>
      </c>
      <c r="Q441" s="4">
        <v>0</v>
      </c>
      <c r="R441" s="2" t="s">
        <v>370</v>
      </c>
      <c r="S441" s="2" t="s">
        <v>435</v>
      </c>
      <c r="T441" s="2" t="s">
        <v>821</v>
      </c>
      <c r="U441" s="2" t="s">
        <v>435</v>
      </c>
      <c r="V441" s="2" t="s">
        <v>34</v>
      </c>
      <c r="W441" s="4">
        <v>1</v>
      </c>
      <c r="X441" s="2" t="s">
        <v>365</v>
      </c>
      <c r="Y441" s="4">
        <v>2</v>
      </c>
      <c r="Z441" s="4" t="s">
        <v>443</v>
      </c>
      <c r="AA441" s="2" t="s">
        <v>185</v>
      </c>
      <c r="AB441" s="2" t="s">
        <v>261</v>
      </c>
      <c r="AC441" s="2" t="s">
        <v>235</v>
      </c>
      <c r="AD441" s="4">
        <v>45</v>
      </c>
      <c r="AE441" s="2" t="s">
        <v>226</v>
      </c>
      <c r="AF441" s="2" t="s">
        <v>19</v>
      </c>
      <c r="AG441" s="2" t="s">
        <v>325</v>
      </c>
      <c r="AH441" s="2" t="s">
        <v>185</v>
      </c>
      <c r="AI441" s="2" t="s">
        <v>1984</v>
      </c>
      <c r="AJ441" s="4"/>
      <c r="AL441" s="4"/>
      <c r="AN441" s="4"/>
      <c r="AP441" s="4"/>
      <c r="AQ441" s="4"/>
      <c r="AS441" s="4">
        <v>2</v>
      </c>
      <c r="AT441" s="4">
        <v>1</v>
      </c>
      <c r="AU441" s="4">
        <v>0</v>
      </c>
      <c r="AV441" s="4">
        <v>1</v>
      </c>
      <c r="AW441" s="4">
        <v>2</v>
      </c>
      <c r="AX441" s="4">
        <v>0</v>
      </c>
      <c r="AZ441" s="2" t="s">
        <v>60</v>
      </c>
    </row>
    <row r="442" spans="2:52" x14ac:dyDescent="0.15">
      <c r="B442" s="2" t="s">
        <v>1990</v>
      </c>
      <c r="C442" s="2" t="s">
        <v>1987</v>
      </c>
      <c r="D442" s="2" t="s">
        <v>3151</v>
      </c>
      <c r="E442" s="4" t="str">
        <f>VLOOKUP(D442,forceSet!$B$5:$D$46,3,0)</f>
        <v>丁原</v>
      </c>
      <c r="F442" s="4" t="str">
        <f>VLOOKUP(I442,citySet!$B$5:$E$46,4,0)</f>
        <v>丁原</v>
      </c>
      <c r="G442" s="2" t="s">
        <v>3151</v>
      </c>
      <c r="H442" s="4" t="str">
        <f>VLOOKUP(G442,corpsSet!$B$5:$C$46,2,0)</f>
        <v>丁原</v>
      </c>
      <c r="I442" s="4" t="s">
        <v>36</v>
      </c>
      <c r="J442" s="4" t="str">
        <f>VLOOKUP(I442,citySet!$B$5:$C$46,2,0)</f>
        <v>晋阳</v>
      </c>
      <c r="K442" s="2" t="s">
        <v>1865</v>
      </c>
      <c r="L442" s="2" t="s">
        <v>1988</v>
      </c>
      <c r="M442" s="2" t="s">
        <v>1989</v>
      </c>
      <c r="N442" s="4"/>
      <c r="O442" s="2" t="s">
        <v>247</v>
      </c>
      <c r="P442" s="2" t="s">
        <v>247</v>
      </c>
      <c r="Q442" s="4">
        <v>0</v>
      </c>
      <c r="R442" s="2" t="s">
        <v>370</v>
      </c>
      <c r="S442" s="2" t="s">
        <v>435</v>
      </c>
      <c r="T442" s="2" t="s">
        <v>634</v>
      </c>
      <c r="U442" s="2" t="s">
        <v>83</v>
      </c>
      <c r="V442" s="2" t="s">
        <v>415</v>
      </c>
      <c r="W442" s="4">
        <v>1</v>
      </c>
      <c r="X442" s="2" t="s">
        <v>365</v>
      </c>
      <c r="Y442" s="4">
        <v>4</v>
      </c>
      <c r="Z442" s="4" t="s">
        <v>1091</v>
      </c>
      <c r="AA442" s="2" t="s">
        <v>185</v>
      </c>
      <c r="AB442" s="2" t="s">
        <v>374</v>
      </c>
      <c r="AC442" s="2" t="s">
        <v>153</v>
      </c>
      <c r="AD442" s="4">
        <v>62</v>
      </c>
      <c r="AE442" s="2" t="s">
        <v>485</v>
      </c>
      <c r="AF442" s="2" t="s">
        <v>321</v>
      </c>
      <c r="AG442" s="2" t="s">
        <v>1208</v>
      </c>
      <c r="AH442" s="2" t="s">
        <v>185</v>
      </c>
      <c r="AI442" s="2" t="s">
        <v>1350</v>
      </c>
      <c r="AJ442" s="4"/>
      <c r="AL442" s="4"/>
      <c r="AN442" s="4"/>
      <c r="AP442" s="4"/>
      <c r="AQ442" s="4"/>
      <c r="AS442" s="4">
        <v>0</v>
      </c>
      <c r="AT442" s="4">
        <v>0</v>
      </c>
      <c r="AU442" s="4">
        <v>1</v>
      </c>
      <c r="AV442" s="4">
        <v>2</v>
      </c>
      <c r="AW442" s="4">
        <v>0</v>
      </c>
      <c r="AX442" s="4">
        <v>0</v>
      </c>
      <c r="AZ442" s="2" t="s">
        <v>60</v>
      </c>
    </row>
    <row r="443" spans="2:52" x14ac:dyDescent="0.15">
      <c r="B443" s="2" t="s">
        <v>1911</v>
      </c>
      <c r="C443" s="2" t="s">
        <v>1991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126</v>
      </c>
      <c r="J443" s="4" t="str">
        <f>VLOOKUP(I443,citySet!$B$5:$C$46,2,0)</f>
        <v>成都</v>
      </c>
      <c r="K443" s="2" t="s">
        <v>1865</v>
      </c>
      <c r="L443" s="2" t="s">
        <v>1992</v>
      </c>
      <c r="M443" s="2" t="s">
        <v>1993</v>
      </c>
      <c r="N443" s="4"/>
      <c r="O443" s="2" t="s">
        <v>536</v>
      </c>
      <c r="P443" s="2" t="s">
        <v>536</v>
      </c>
      <c r="Q443" s="4">
        <v>0</v>
      </c>
      <c r="R443" s="2" t="s">
        <v>370</v>
      </c>
      <c r="S443" s="2" t="s">
        <v>505</v>
      </c>
      <c r="T443" s="2" t="s">
        <v>438</v>
      </c>
      <c r="U443" s="2" t="s">
        <v>491</v>
      </c>
      <c r="V443" s="2" t="s">
        <v>321</v>
      </c>
      <c r="W443" s="4">
        <v>2</v>
      </c>
      <c r="X443" s="2" t="s">
        <v>2983</v>
      </c>
      <c r="Y443" s="4">
        <v>0</v>
      </c>
      <c r="Z443" s="4" t="s">
        <v>39</v>
      </c>
      <c r="AA443" s="2" t="s">
        <v>60</v>
      </c>
      <c r="AB443" s="2" t="s">
        <v>481</v>
      </c>
      <c r="AC443" s="2" t="s">
        <v>367</v>
      </c>
      <c r="AD443" s="4">
        <v>71</v>
      </c>
      <c r="AE443" s="2" t="s">
        <v>374</v>
      </c>
      <c r="AF443" s="2" t="s">
        <v>153</v>
      </c>
      <c r="AG443" s="2" t="s">
        <v>271</v>
      </c>
      <c r="AH443" s="2" t="s">
        <v>185</v>
      </c>
      <c r="AI443" s="2" t="s">
        <v>1990</v>
      </c>
      <c r="AJ443" s="4"/>
      <c r="AL443" s="4"/>
      <c r="AN443" s="4"/>
      <c r="AP443" s="4"/>
      <c r="AQ443" s="4"/>
      <c r="AS443" s="4">
        <v>1</v>
      </c>
      <c r="AT443" s="4">
        <v>2</v>
      </c>
      <c r="AU443" s="4">
        <v>2</v>
      </c>
      <c r="AV443" s="4">
        <v>0</v>
      </c>
      <c r="AW443" s="4">
        <v>2</v>
      </c>
      <c r="AX443" s="4">
        <v>0</v>
      </c>
      <c r="AZ443" s="2" t="s">
        <v>60</v>
      </c>
    </row>
    <row r="444" spans="2:52" x14ac:dyDescent="0.15">
      <c r="B444" s="2" t="s">
        <v>264</v>
      </c>
      <c r="C444" s="2" t="s">
        <v>1912</v>
      </c>
      <c r="D444" s="2" t="s">
        <v>24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24</v>
      </c>
      <c r="H444" s="4" t="str">
        <f>VLOOKUP(G444,corpsSet!$B$5:$C$46,2,0)</f>
        <v>吕布</v>
      </c>
      <c r="I444" s="4" t="s">
        <v>29</v>
      </c>
      <c r="J444" s="4" t="str">
        <f>VLOOKUP(I444,citySet!$B$5:$C$46,2,0)</f>
        <v>下邳</v>
      </c>
      <c r="K444" s="2" t="s">
        <v>1865</v>
      </c>
      <c r="L444" s="2" t="s">
        <v>1994</v>
      </c>
      <c r="M444" s="2" t="s">
        <v>1995</v>
      </c>
      <c r="N444" s="4"/>
      <c r="O444" s="2" t="s">
        <v>17</v>
      </c>
      <c r="P444" s="2" t="s">
        <v>17</v>
      </c>
      <c r="Q444" s="4">
        <v>0</v>
      </c>
      <c r="R444" s="2" t="s">
        <v>370</v>
      </c>
      <c r="S444" s="2" t="s">
        <v>438</v>
      </c>
      <c r="T444" s="2" t="s">
        <v>477</v>
      </c>
      <c r="U444" s="2" t="s">
        <v>512</v>
      </c>
      <c r="V444" s="2" t="s">
        <v>189</v>
      </c>
      <c r="W444" s="4">
        <v>1</v>
      </c>
      <c r="X444" s="2" t="s">
        <v>365</v>
      </c>
      <c r="Y444" s="4">
        <v>4</v>
      </c>
      <c r="Z444" s="4" t="s">
        <v>1091</v>
      </c>
      <c r="AA444" s="2" t="s">
        <v>185</v>
      </c>
      <c r="AB444" s="2" t="s">
        <v>130</v>
      </c>
      <c r="AC444" s="2" t="s">
        <v>150</v>
      </c>
      <c r="AD444" s="4">
        <v>78</v>
      </c>
      <c r="AE444" s="2" t="s">
        <v>485</v>
      </c>
      <c r="AF444" s="2" t="s">
        <v>431</v>
      </c>
      <c r="AG444" s="2" t="s">
        <v>1879</v>
      </c>
      <c r="AH444" s="2" t="s">
        <v>185</v>
      </c>
      <c r="AI444" s="2" t="s">
        <v>1911</v>
      </c>
      <c r="AJ444" s="4"/>
      <c r="AL444" s="4"/>
      <c r="AN444" s="4"/>
      <c r="AP444" s="4"/>
      <c r="AQ444" s="4"/>
      <c r="AS444" s="4">
        <v>3</v>
      </c>
      <c r="AT444" s="4">
        <v>3</v>
      </c>
      <c r="AU444" s="4">
        <v>1</v>
      </c>
      <c r="AV444" s="4">
        <v>3</v>
      </c>
      <c r="AW444" s="4">
        <v>1</v>
      </c>
      <c r="AX444" s="4">
        <v>0</v>
      </c>
      <c r="AZ444" s="2" t="s">
        <v>60</v>
      </c>
    </row>
    <row r="445" spans="2:52" x14ac:dyDescent="0.15">
      <c r="B445" s="2" t="s">
        <v>1999</v>
      </c>
      <c r="C445" s="2" t="s">
        <v>1996</v>
      </c>
      <c r="D445" s="2" t="s">
        <v>25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25</v>
      </c>
      <c r="H445" s="4" t="str">
        <f>VLOOKUP(G445,corpsSet!$B$5:$C$46,2,0)</f>
        <v>张角</v>
      </c>
      <c r="I445" s="4" t="s">
        <v>20</v>
      </c>
      <c r="J445" s="4" t="str">
        <f>VLOOKUP(I445,citySet!$B$5:$C$46,2,0)</f>
        <v>濮阳</v>
      </c>
      <c r="K445" s="2" t="s">
        <v>1865</v>
      </c>
      <c r="L445" s="2" t="s">
        <v>1998</v>
      </c>
      <c r="N445" s="4"/>
      <c r="O445" s="2" t="s">
        <v>1997</v>
      </c>
      <c r="P445" s="2" t="s">
        <v>1997</v>
      </c>
      <c r="Q445" s="4">
        <v>0</v>
      </c>
      <c r="R445" s="2" t="s">
        <v>370</v>
      </c>
      <c r="S445" s="2" t="s">
        <v>435</v>
      </c>
      <c r="T445" s="2" t="s">
        <v>995</v>
      </c>
      <c r="U445" s="2" t="s">
        <v>435</v>
      </c>
      <c r="V445" s="2" t="s">
        <v>34</v>
      </c>
      <c r="W445" s="4">
        <v>1</v>
      </c>
      <c r="X445" s="2" t="s">
        <v>365</v>
      </c>
      <c r="Y445" s="4">
        <v>3</v>
      </c>
      <c r="Z445" s="4" t="s">
        <v>696</v>
      </c>
      <c r="AA445" s="2" t="s">
        <v>134</v>
      </c>
      <c r="AB445" s="2" t="s">
        <v>431</v>
      </c>
      <c r="AC445" s="2" t="s">
        <v>329</v>
      </c>
      <c r="AD445" s="4">
        <v>68</v>
      </c>
      <c r="AE445" s="2" t="s">
        <v>14</v>
      </c>
      <c r="AF445" s="2" t="s">
        <v>329</v>
      </c>
      <c r="AG445" s="2" t="s">
        <v>956</v>
      </c>
      <c r="AH445" s="2" t="s">
        <v>185</v>
      </c>
      <c r="AI445" s="2" t="s">
        <v>1889</v>
      </c>
      <c r="AJ445" s="4"/>
      <c r="AK445" s="2" t="s">
        <v>1890</v>
      </c>
      <c r="AL445" s="4"/>
      <c r="AN445" s="4"/>
      <c r="AP445" s="4"/>
      <c r="AQ445" s="4"/>
      <c r="AS445" s="4">
        <v>3</v>
      </c>
      <c r="AT445" s="4">
        <v>0</v>
      </c>
      <c r="AU445" s="4">
        <v>0</v>
      </c>
      <c r="AV445" s="4">
        <v>2</v>
      </c>
      <c r="AW445" s="4">
        <v>2</v>
      </c>
      <c r="AX445" s="4">
        <v>0</v>
      </c>
      <c r="AZ445" s="2" t="s">
        <v>60</v>
      </c>
    </row>
    <row r="446" spans="2:52" x14ac:dyDescent="0.15">
      <c r="B446" s="2" t="s">
        <v>1873</v>
      </c>
      <c r="C446" s="2" t="s">
        <v>2000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213</v>
      </c>
      <c r="J446" s="4" t="str">
        <f>VLOOKUP(I446,citySet!$B$5:$C$46,2,0)</f>
        <v>江陵</v>
      </c>
      <c r="K446" s="2" t="s">
        <v>1868</v>
      </c>
      <c r="L446" s="2" t="s">
        <v>718</v>
      </c>
      <c r="N446" s="4"/>
      <c r="O446" s="2" t="s">
        <v>1871</v>
      </c>
      <c r="P446" s="2" t="s">
        <v>1871</v>
      </c>
      <c r="Q446" s="4">
        <v>0</v>
      </c>
      <c r="R446" s="2" t="s">
        <v>370</v>
      </c>
      <c r="S446" s="2" t="s">
        <v>536</v>
      </c>
      <c r="T446" s="2" t="s">
        <v>426</v>
      </c>
      <c r="U446" s="2" t="s">
        <v>702</v>
      </c>
      <c r="V446" s="2" t="s">
        <v>367</v>
      </c>
      <c r="W446" s="4">
        <v>2</v>
      </c>
      <c r="X446" s="2" t="s">
        <v>2983</v>
      </c>
      <c r="Y446" s="4">
        <v>0</v>
      </c>
      <c r="Z446" s="4" t="s">
        <v>39</v>
      </c>
      <c r="AA446" s="2" t="s">
        <v>60</v>
      </c>
      <c r="AB446" s="2" t="s">
        <v>153</v>
      </c>
      <c r="AC446" s="2" t="s">
        <v>99</v>
      </c>
      <c r="AD446" s="4">
        <v>67</v>
      </c>
      <c r="AE446" s="2" t="s">
        <v>367</v>
      </c>
      <c r="AF446" s="2" t="s">
        <v>515</v>
      </c>
      <c r="AG446" s="2" t="s">
        <v>1158</v>
      </c>
      <c r="AH446" s="2" t="s">
        <v>185</v>
      </c>
      <c r="AI446" s="2" t="s">
        <v>1999</v>
      </c>
      <c r="AJ446" s="4"/>
      <c r="AL446" s="4"/>
      <c r="AN446" s="4"/>
      <c r="AP446" s="4"/>
      <c r="AQ446" s="4"/>
      <c r="AS446" s="4">
        <v>1</v>
      </c>
      <c r="AT446" s="4">
        <v>1</v>
      </c>
      <c r="AU446" s="4">
        <v>2</v>
      </c>
      <c r="AV446" s="4">
        <v>0</v>
      </c>
      <c r="AW446" s="4">
        <v>2</v>
      </c>
      <c r="AX446" s="4">
        <v>0</v>
      </c>
      <c r="AZ446" s="2" t="s">
        <v>60</v>
      </c>
    </row>
    <row r="447" spans="2:52" x14ac:dyDescent="0.15">
      <c r="B447" s="2" t="s">
        <v>1192</v>
      </c>
      <c r="C447" s="2" t="s">
        <v>2001</v>
      </c>
      <c r="D447" s="2" t="s">
        <v>3339</v>
      </c>
      <c r="E447" s="4" t="str">
        <f>VLOOKUP(D447,forceSet!$B$5:$D$46,3,0)</f>
        <v>张鲁</v>
      </c>
      <c r="F447" s="4" t="str">
        <f>VLOOKUP(I447,citySet!$B$5:$E$46,4,0)</f>
        <v>张鲁</v>
      </c>
      <c r="G447" s="2" t="s">
        <v>3339</v>
      </c>
      <c r="H447" s="4" t="str">
        <f>VLOOKUP(G447,corpsSet!$B$5:$C$46,2,0)</f>
        <v>张鲁</v>
      </c>
      <c r="I447" s="4" t="s">
        <v>226</v>
      </c>
      <c r="J447" s="4" t="str">
        <f>VLOOKUP(I447,citySet!$B$5:$C$46,2,0)</f>
        <v>汉中</v>
      </c>
      <c r="K447" s="2" t="s">
        <v>1865</v>
      </c>
      <c r="L447" s="2" t="s">
        <v>2002</v>
      </c>
      <c r="M447" s="2" t="s">
        <v>2003</v>
      </c>
      <c r="N447" s="4"/>
      <c r="O447" s="2" t="s">
        <v>404</v>
      </c>
      <c r="P447" s="2" t="s">
        <v>404</v>
      </c>
      <c r="Q447" s="4">
        <v>0</v>
      </c>
      <c r="R447" s="2" t="s">
        <v>370</v>
      </c>
      <c r="S447" s="2" t="s">
        <v>435</v>
      </c>
      <c r="T447" s="2" t="s">
        <v>478</v>
      </c>
      <c r="U447" s="2" t="s">
        <v>626</v>
      </c>
      <c r="V447" s="2" t="s">
        <v>8</v>
      </c>
      <c r="W447" s="4">
        <v>3</v>
      </c>
      <c r="X447" s="2" t="s">
        <v>2</v>
      </c>
      <c r="Y447" s="4">
        <v>0</v>
      </c>
      <c r="Z447" s="4" t="s">
        <v>39</v>
      </c>
      <c r="AA447" s="2" t="s">
        <v>185</v>
      </c>
      <c r="AB447" s="2" t="s">
        <v>7</v>
      </c>
      <c r="AC447" s="2" t="s">
        <v>200</v>
      </c>
      <c r="AD447" s="4">
        <v>73</v>
      </c>
      <c r="AE447" s="2" t="s">
        <v>431</v>
      </c>
      <c r="AF447" s="2" t="s">
        <v>78</v>
      </c>
      <c r="AG447" s="2" t="s">
        <v>738</v>
      </c>
      <c r="AH447" s="2" t="s">
        <v>185</v>
      </c>
      <c r="AI447" s="2" t="s">
        <v>1873</v>
      </c>
      <c r="AJ447" s="4"/>
      <c r="AK447" s="2" t="s">
        <v>1874</v>
      </c>
      <c r="AL447" s="4"/>
      <c r="AN447" s="4"/>
      <c r="AP447" s="4"/>
      <c r="AQ447" s="4"/>
      <c r="AS447" s="4">
        <v>1</v>
      </c>
      <c r="AT447" s="4">
        <v>0</v>
      </c>
      <c r="AU447" s="4">
        <v>1</v>
      </c>
      <c r="AV447" s="4">
        <v>0</v>
      </c>
      <c r="AW447" s="4">
        <v>0</v>
      </c>
      <c r="AX447" s="4">
        <v>0</v>
      </c>
      <c r="AZ447" s="2" t="s">
        <v>60</v>
      </c>
    </row>
    <row r="448" spans="2:52" x14ac:dyDescent="0.15">
      <c r="B448" s="2" t="s">
        <v>2007</v>
      </c>
      <c r="C448" s="2" t="s">
        <v>2004</v>
      </c>
      <c r="D448" s="2" t="s">
        <v>193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193</v>
      </c>
      <c r="H448" s="4" t="str">
        <f>VLOOKUP(G448,corpsSet!$B$5:$C$46,2,0)</f>
        <v>刘繇</v>
      </c>
      <c r="I448" s="4" t="s">
        <v>189</v>
      </c>
      <c r="J448" s="4" t="str">
        <f>VLOOKUP(I448,citySet!$B$5:$C$46,2,0)</f>
        <v>建业</v>
      </c>
      <c r="K448" s="2" t="s">
        <v>2006</v>
      </c>
      <c r="L448" s="2" t="s">
        <v>1881</v>
      </c>
      <c r="N448" s="4"/>
      <c r="O448" s="2" t="s">
        <v>1875</v>
      </c>
      <c r="P448" s="2" t="s">
        <v>1875</v>
      </c>
      <c r="Q448" s="4">
        <v>0</v>
      </c>
      <c r="R448" s="2" t="s">
        <v>370</v>
      </c>
      <c r="S448" s="2" t="s">
        <v>435</v>
      </c>
      <c r="T448" s="2" t="s">
        <v>759</v>
      </c>
      <c r="U448" s="2" t="s">
        <v>83</v>
      </c>
      <c r="V448" s="2" t="s">
        <v>24</v>
      </c>
      <c r="W448" s="4">
        <v>1</v>
      </c>
      <c r="X448" s="2" t="s">
        <v>365</v>
      </c>
      <c r="Y448" s="4">
        <v>3</v>
      </c>
      <c r="Z448" s="4" t="s">
        <v>696</v>
      </c>
      <c r="AA448" s="2" t="s">
        <v>228</v>
      </c>
      <c r="AB448" s="2" t="s">
        <v>444</v>
      </c>
      <c r="AC448" s="2" t="s">
        <v>382</v>
      </c>
      <c r="AD448" s="4">
        <v>26</v>
      </c>
      <c r="AE448" s="2" t="s">
        <v>220</v>
      </c>
      <c r="AF448" s="2" t="s">
        <v>99</v>
      </c>
      <c r="AG448" s="2" t="s">
        <v>556</v>
      </c>
      <c r="AH448" s="2" t="s">
        <v>185</v>
      </c>
      <c r="AI448" s="2" t="s">
        <v>1192</v>
      </c>
      <c r="AJ448" s="4"/>
      <c r="AL448" s="4"/>
      <c r="AN448" s="4"/>
      <c r="AP448" s="4"/>
      <c r="AQ448" s="4"/>
      <c r="AS448" s="4">
        <v>0</v>
      </c>
      <c r="AT448" s="4">
        <v>2</v>
      </c>
      <c r="AU448" s="4">
        <v>1</v>
      </c>
      <c r="AV448" s="4">
        <v>0</v>
      </c>
      <c r="AW448" s="4">
        <v>0</v>
      </c>
      <c r="AX448" s="4">
        <v>0</v>
      </c>
      <c r="AZ448" s="2" t="s">
        <v>60</v>
      </c>
    </row>
    <row r="449" spans="2:52" x14ac:dyDescent="0.15">
      <c r="B449" s="2" t="s">
        <v>1193</v>
      </c>
      <c r="C449" s="2" t="s">
        <v>2008</v>
      </c>
      <c r="D449" s="2" t="s">
        <v>95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95</v>
      </c>
      <c r="H449" s="4" t="str">
        <f>VLOOKUP(G449,corpsSet!$B$5:$C$46,2,0)</f>
        <v>赵范</v>
      </c>
      <c r="I449" s="4" t="s">
        <v>219</v>
      </c>
      <c r="J449" s="4" t="str">
        <f>VLOOKUP(I449,citySet!$B$5:$C$46,2,0)</f>
        <v>桂阳</v>
      </c>
      <c r="K449" s="2" t="s">
        <v>2006</v>
      </c>
      <c r="L449" s="2" t="s">
        <v>2011</v>
      </c>
      <c r="N449" s="4"/>
      <c r="O449" s="2" t="s">
        <v>2009</v>
      </c>
      <c r="P449" s="2" t="s">
        <v>2009</v>
      </c>
      <c r="Q449" s="4">
        <v>0</v>
      </c>
      <c r="R449" s="2" t="s">
        <v>370</v>
      </c>
      <c r="S449" s="2" t="s">
        <v>1257</v>
      </c>
      <c r="T449" s="2" t="s">
        <v>712</v>
      </c>
      <c r="U449" s="2" t="s">
        <v>406</v>
      </c>
      <c r="V449" s="2" t="s">
        <v>20</v>
      </c>
      <c r="W449" s="4">
        <v>1</v>
      </c>
      <c r="X449" s="2" t="s">
        <v>365</v>
      </c>
      <c r="Y449" s="4">
        <v>3</v>
      </c>
      <c r="Z449" s="4" t="s">
        <v>696</v>
      </c>
      <c r="AA449" s="2" t="s">
        <v>403</v>
      </c>
      <c r="AB449" s="2" t="s">
        <v>423</v>
      </c>
      <c r="AC449" s="2" t="s">
        <v>374</v>
      </c>
      <c r="AD449" s="4">
        <v>45</v>
      </c>
      <c r="AE449" s="2" t="s">
        <v>204</v>
      </c>
      <c r="AF449" s="2" t="s">
        <v>126</v>
      </c>
      <c r="AG449" s="2" t="s">
        <v>786</v>
      </c>
      <c r="AH449" s="2" t="s">
        <v>185</v>
      </c>
      <c r="AI449" s="2" t="s">
        <v>2007</v>
      </c>
      <c r="AJ449" s="4"/>
      <c r="AL449" s="4"/>
      <c r="AN449" s="4"/>
      <c r="AP449" s="4"/>
      <c r="AQ449" s="4"/>
      <c r="AS449" s="4">
        <v>2</v>
      </c>
      <c r="AT449" s="4">
        <v>1</v>
      </c>
      <c r="AU449" s="4">
        <v>0</v>
      </c>
      <c r="AV449" s="4">
        <v>0</v>
      </c>
      <c r="AW449" s="4">
        <v>0</v>
      </c>
      <c r="AX449" s="4">
        <v>0</v>
      </c>
      <c r="AZ449" s="2" t="s">
        <v>60</v>
      </c>
    </row>
    <row r="450" spans="2:52" x14ac:dyDescent="0.15">
      <c r="B450" s="2" t="s">
        <v>2013</v>
      </c>
      <c r="C450" s="2" t="s">
        <v>2012</v>
      </c>
      <c r="D450" s="2" t="s">
        <v>29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29</v>
      </c>
      <c r="H450" s="4" t="str">
        <f>VLOOKUP(G450,corpsSet!$B$5:$C$46,2,0)</f>
        <v>袁术</v>
      </c>
      <c r="I450" s="4" t="s">
        <v>200</v>
      </c>
      <c r="J450" s="4" t="str">
        <f>VLOOKUP(I450,citySet!$B$5:$C$46,2,0)</f>
        <v>庐江</v>
      </c>
      <c r="K450" s="2" t="s">
        <v>2006</v>
      </c>
      <c r="L450" s="2" t="s">
        <v>1099</v>
      </c>
      <c r="N450" s="4"/>
      <c r="O450" s="2" t="s">
        <v>238</v>
      </c>
      <c r="P450" s="2" t="s">
        <v>238</v>
      </c>
      <c r="Q450" s="4">
        <v>0</v>
      </c>
      <c r="R450" s="2" t="s">
        <v>370</v>
      </c>
      <c r="S450" s="2" t="s">
        <v>435</v>
      </c>
      <c r="T450" s="2" t="s">
        <v>499</v>
      </c>
      <c r="U450" s="2" t="s">
        <v>94</v>
      </c>
      <c r="V450" s="2" t="s">
        <v>458</v>
      </c>
      <c r="W450" s="4">
        <v>1</v>
      </c>
      <c r="X450" s="2" t="s">
        <v>365</v>
      </c>
      <c r="Y450" s="4">
        <v>0</v>
      </c>
      <c r="Z450" s="4" t="s">
        <v>39</v>
      </c>
      <c r="AA450" s="2" t="s">
        <v>403</v>
      </c>
      <c r="AB450" s="2" t="s">
        <v>485</v>
      </c>
      <c r="AC450" s="2" t="s">
        <v>257</v>
      </c>
      <c r="AD450" s="4">
        <v>43</v>
      </c>
      <c r="AE450" s="2" t="s">
        <v>414</v>
      </c>
      <c r="AF450" s="2" t="s">
        <v>5</v>
      </c>
      <c r="AG450" s="2" t="s">
        <v>786</v>
      </c>
      <c r="AH450" s="2" t="s">
        <v>185</v>
      </c>
      <c r="AI450" s="2" t="s">
        <v>1193</v>
      </c>
      <c r="AJ450" s="4"/>
      <c r="AL450" s="4"/>
      <c r="AN450" s="4"/>
      <c r="AP450" s="4"/>
      <c r="AQ450" s="4"/>
      <c r="AS450" s="4">
        <v>0</v>
      </c>
      <c r="AT450" s="4">
        <v>2</v>
      </c>
      <c r="AU450" s="4">
        <v>1</v>
      </c>
      <c r="AV450" s="4">
        <v>0</v>
      </c>
      <c r="AW450" s="4">
        <v>0</v>
      </c>
      <c r="AX450" s="4">
        <v>0</v>
      </c>
      <c r="AZ450" s="2" t="s">
        <v>60</v>
      </c>
    </row>
    <row r="451" spans="2:52" x14ac:dyDescent="0.15">
      <c r="B451" s="2" t="s">
        <v>2017</v>
      </c>
      <c r="C451" s="2" t="s">
        <v>2014</v>
      </c>
      <c r="D451" s="2" t="s">
        <v>24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24</v>
      </c>
      <c r="H451" s="4" t="str">
        <f>VLOOKUP(G451,corpsSet!$B$5:$C$46,2,0)</f>
        <v>吕布</v>
      </c>
      <c r="I451" s="4" t="s">
        <v>29</v>
      </c>
      <c r="J451" s="4" t="str">
        <f>VLOOKUP(I451,citySet!$B$5:$C$46,2,0)</f>
        <v>下邳</v>
      </c>
      <c r="K451" s="2" t="s">
        <v>2006</v>
      </c>
      <c r="L451" s="2" t="s">
        <v>2015</v>
      </c>
      <c r="M451" s="2" t="s">
        <v>2016</v>
      </c>
      <c r="N451" s="4"/>
      <c r="O451" s="2" t="s">
        <v>334</v>
      </c>
      <c r="P451" s="2" t="s">
        <v>334</v>
      </c>
      <c r="Q451" s="4">
        <v>0</v>
      </c>
      <c r="R451" s="2" t="s">
        <v>370</v>
      </c>
      <c r="S451" s="2" t="s">
        <v>435</v>
      </c>
      <c r="T451" s="2" t="s">
        <v>535</v>
      </c>
      <c r="U451" s="2" t="s">
        <v>94</v>
      </c>
      <c r="V451" s="2" t="s">
        <v>821</v>
      </c>
      <c r="W451" s="4">
        <v>1</v>
      </c>
      <c r="X451" s="2" t="s">
        <v>365</v>
      </c>
      <c r="Y451" s="4">
        <v>8</v>
      </c>
      <c r="Z451" s="4" t="s">
        <v>3079</v>
      </c>
      <c r="AA451" s="2" t="s">
        <v>134</v>
      </c>
      <c r="AB451" s="2" t="s">
        <v>431</v>
      </c>
      <c r="AC451" s="2" t="s">
        <v>254</v>
      </c>
      <c r="AD451" s="4">
        <v>89</v>
      </c>
      <c r="AE451" s="2" t="s">
        <v>397</v>
      </c>
      <c r="AF451" s="2" t="s">
        <v>321</v>
      </c>
      <c r="AG451" s="2" t="s">
        <v>767</v>
      </c>
      <c r="AH451" s="2" t="s">
        <v>185</v>
      </c>
      <c r="AI451" s="2" t="s">
        <v>2013</v>
      </c>
      <c r="AJ451" s="4"/>
      <c r="AL451" s="4"/>
      <c r="AN451" s="4"/>
      <c r="AP451" s="4"/>
      <c r="AQ451" s="4"/>
      <c r="AS451" s="4">
        <v>1</v>
      </c>
      <c r="AT451" s="4">
        <v>1</v>
      </c>
      <c r="AU451" s="4">
        <v>2</v>
      </c>
      <c r="AV451" s="4">
        <v>1</v>
      </c>
      <c r="AW451" s="4">
        <v>2</v>
      </c>
      <c r="AX451" s="4">
        <v>0</v>
      </c>
      <c r="AZ451" s="2" t="s">
        <v>60</v>
      </c>
    </row>
    <row r="452" spans="2:52" x14ac:dyDescent="0.15">
      <c r="B452" s="2" t="s">
        <v>2021</v>
      </c>
      <c r="C452" s="2" t="s">
        <v>2018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29</v>
      </c>
      <c r="J452" s="4" t="str">
        <f>VLOOKUP(I452,citySet!$B$5:$C$46,2,0)</f>
        <v>下邳</v>
      </c>
      <c r="K452" s="2" t="s">
        <v>2006</v>
      </c>
      <c r="L452" s="2" t="s">
        <v>2019</v>
      </c>
      <c r="M452" s="2" t="s">
        <v>2020</v>
      </c>
      <c r="N452" s="4"/>
      <c r="O452" s="2" t="s">
        <v>877</v>
      </c>
      <c r="P452" s="2" t="s">
        <v>877</v>
      </c>
      <c r="Q452" s="4">
        <v>0</v>
      </c>
      <c r="R452" s="2" t="s">
        <v>370</v>
      </c>
      <c r="S452" s="2" t="s">
        <v>407</v>
      </c>
      <c r="T452" s="2" t="s">
        <v>97</v>
      </c>
      <c r="U452" s="2" t="s">
        <v>626</v>
      </c>
      <c r="V452" s="2" t="s">
        <v>208</v>
      </c>
      <c r="W452" s="4">
        <v>2</v>
      </c>
      <c r="X452" s="2" t="s">
        <v>2983</v>
      </c>
      <c r="Y452" s="4">
        <v>0</v>
      </c>
      <c r="Z452" s="4" t="s">
        <v>39</v>
      </c>
      <c r="AA452" s="2" t="s">
        <v>60</v>
      </c>
      <c r="AB452" s="2" t="s">
        <v>269</v>
      </c>
      <c r="AC452" s="2" t="s">
        <v>204</v>
      </c>
      <c r="AD452" s="4">
        <v>76</v>
      </c>
      <c r="AE452" s="2" t="s">
        <v>397</v>
      </c>
      <c r="AF452" s="2" t="s">
        <v>444</v>
      </c>
      <c r="AG452" s="2" t="s">
        <v>800</v>
      </c>
      <c r="AH452" s="2" t="s">
        <v>185</v>
      </c>
      <c r="AI452" s="2" t="s">
        <v>2017</v>
      </c>
      <c r="AJ452" s="4"/>
      <c r="AL452" s="4"/>
      <c r="AN452" s="4"/>
      <c r="AP452" s="4"/>
      <c r="AQ452" s="4"/>
      <c r="AS452" s="4">
        <v>0</v>
      </c>
      <c r="AT452" s="4">
        <v>1</v>
      </c>
      <c r="AU452" s="4">
        <v>2</v>
      </c>
      <c r="AV452" s="4">
        <v>0</v>
      </c>
      <c r="AW452" s="4">
        <v>1</v>
      </c>
      <c r="AX452" s="4">
        <v>0</v>
      </c>
      <c r="AZ452" s="2" t="s">
        <v>60</v>
      </c>
    </row>
    <row r="453" spans="2:52" x14ac:dyDescent="0.15">
      <c r="B453" s="2" t="s">
        <v>1715</v>
      </c>
      <c r="C453" s="2" t="s">
        <v>2022</v>
      </c>
      <c r="D453" s="2" t="s">
        <v>27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27</v>
      </c>
      <c r="H453" s="4" t="str">
        <f>VLOOKUP(G453,corpsSet!$B$5:$C$46,2,0)</f>
        <v>曹操</v>
      </c>
      <c r="I453" s="4" t="s">
        <v>17</v>
      </c>
      <c r="J453" s="4" t="str">
        <f>VLOOKUP(I453,citySet!$B$5:$C$46,2,0)</f>
        <v>许昌</v>
      </c>
      <c r="K453" s="2" t="s">
        <v>2006</v>
      </c>
      <c r="L453" s="2" t="s">
        <v>2023</v>
      </c>
      <c r="M453" s="2" t="s">
        <v>2024</v>
      </c>
      <c r="N453" s="4"/>
      <c r="O453" s="2" t="s">
        <v>538</v>
      </c>
      <c r="P453" s="2" t="s">
        <v>538</v>
      </c>
      <c r="Q453" s="4">
        <v>0</v>
      </c>
      <c r="R453" s="2" t="s">
        <v>370</v>
      </c>
      <c r="S453" s="2" t="s">
        <v>707</v>
      </c>
      <c r="T453" s="2" t="s">
        <v>779</v>
      </c>
      <c r="U453" s="2" t="s">
        <v>887</v>
      </c>
      <c r="V453" s="2" t="s">
        <v>25</v>
      </c>
      <c r="W453" s="4">
        <v>1</v>
      </c>
      <c r="X453" s="2" t="s">
        <v>365</v>
      </c>
      <c r="Y453" s="4">
        <v>0</v>
      </c>
      <c r="Z453" s="4" t="s">
        <v>39</v>
      </c>
      <c r="AA453" s="2" t="s">
        <v>403</v>
      </c>
      <c r="AB453" s="2" t="s">
        <v>5</v>
      </c>
      <c r="AC453" s="2" t="s">
        <v>17</v>
      </c>
      <c r="AD453" s="4">
        <v>74</v>
      </c>
      <c r="AE453" s="2" t="s">
        <v>195</v>
      </c>
      <c r="AF453" s="2" t="s">
        <v>261</v>
      </c>
      <c r="AG453" s="2" t="s">
        <v>325</v>
      </c>
      <c r="AH453" s="2" t="s">
        <v>185</v>
      </c>
      <c r="AI453" s="2" t="s">
        <v>2021</v>
      </c>
      <c r="AJ453" s="4"/>
      <c r="AL453" s="4"/>
      <c r="AN453" s="4"/>
      <c r="AP453" s="4"/>
      <c r="AQ453" s="4"/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Z453" s="2" t="s">
        <v>60</v>
      </c>
    </row>
    <row r="454" spans="2:52" x14ac:dyDescent="0.15">
      <c r="B454" s="2" t="s">
        <v>1256</v>
      </c>
      <c r="C454" s="2" t="s">
        <v>2025</v>
      </c>
      <c r="D454" s="2" t="s">
        <v>105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105</v>
      </c>
      <c r="H454" s="4" t="str">
        <f>VLOOKUP(G454,corpsSet!$B$5:$C$46,2,0)</f>
        <v>陶谦</v>
      </c>
      <c r="I454" s="4" t="s">
        <v>32</v>
      </c>
      <c r="J454" s="4" t="str">
        <f>VLOOKUP(I454,citySet!$B$5:$C$46,2,0)</f>
        <v>小沛</v>
      </c>
      <c r="K454" s="2" t="s">
        <v>2006</v>
      </c>
      <c r="L454" s="2" t="s">
        <v>2027</v>
      </c>
      <c r="M454" s="2" t="s">
        <v>2028</v>
      </c>
      <c r="N454" s="4"/>
      <c r="O454" s="2" t="s">
        <v>1019</v>
      </c>
      <c r="P454" s="2" t="s">
        <v>1019</v>
      </c>
      <c r="Q454" s="4">
        <v>0</v>
      </c>
      <c r="R454" s="2" t="s">
        <v>370</v>
      </c>
      <c r="S454" s="2" t="s">
        <v>435</v>
      </c>
      <c r="T454" s="2" t="s">
        <v>1035</v>
      </c>
      <c r="U454" s="2" t="s">
        <v>326</v>
      </c>
      <c r="V454" s="2" t="s">
        <v>88</v>
      </c>
      <c r="W454" s="4">
        <v>1</v>
      </c>
      <c r="X454" s="2" t="s">
        <v>365</v>
      </c>
      <c r="Y454" s="4">
        <v>8</v>
      </c>
      <c r="Z454" s="4" t="s">
        <v>3079</v>
      </c>
      <c r="AA454" s="2" t="s">
        <v>185</v>
      </c>
      <c r="AB454" s="2" t="s">
        <v>8</v>
      </c>
      <c r="AC454" s="2" t="s">
        <v>37</v>
      </c>
      <c r="AD454" s="4">
        <v>82</v>
      </c>
      <c r="AE454" s="2" t="s">
        <v>422</v>
      </c>
      <c r="AF454" s="2" t="s">
        <v>434</v>
      </c>
      <c r="AG454" s="2" t="s">
        <v>621</v>
      </c>
      <c r="AH454" s="2" t="s">
        <v>185</v>
      </c>
      <c r="AI454" s="2" t="s">
        <v>1715</v>
      </c>
      <c r="AJ454" s="4"/>
      <c r="AL454" s="4"/>
      <c r="AN454" s="4"/>
      <c r="AP454" s="4"/>
      <c r="AQ454" s="4"/>
      <c r="AS454" s="4">
        <v>0</v>
      </c>
      <c r="AT454" s="4">
        <v>0</v>
      </c>
      <c r="AU454" s="4">
        <v>0</v>
      </c>
      <c r="AV454" s="4">
        <v>0</v>
      </c>
      <c r="AW454" s="4">
        <v>1</v>
      </c>
      <c r="AX454" s="4">
        <v>0</v>
      </c>
      <c r="AZ454" s="2" t="s">
        <v>60</v>
      </c>
    </row>
    <row r="455" spans="2:52" x14ac:dyDescent="0.15">
      <c r="B455" s="2" t="s">
        <v>2033</v>
      </c>
      <c r="C455" s="2" t="s">
        <v>2029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29</v>
      </c>
      <c r="J455" s="4" t="str">
        <f>VLOOKUP(I455,citySet!$B$5:$C$46,2,0)</f>
        <v>下邳</v>
      </c>
      <c r="K455" s="2" t="s">
        <v>2006</v>
      </c>
      <c r="L455" s="2" t="s">
        <v>2031</v>
      </c>
      <c r="M455" s="2" t="s">
        <v>2032</v>
      </c>
      <c r="N455" s="4"/>
      <c r="O455" s="2" t="s">
        <v>838</v>
      </c>
      <c r="P455" s="2" t="s">
        <v>838</v>
      </c>
      <c r="Q455" s="4">
        <v>0</v>
      </c>
      <c r="R455" s="2" t="s">
        <v>370</v>
      </c>
      <c r="S455" s="2" t="s">
        <v>762</v>
      </c>
      <c r="T455" s="2" t="s">
        <v>675</v>
      </c>
      <c r="U455" s="2" t="s">
        <v>1282</v>
      </c>
      <c r="V455" s="2" t="s">
        <v>208</v>
      </c>
      <c r="W455" s="4">
        <v>2</v>
      </c>
      <c r="X455" s="2" t="s">
        <v>2983</v>
      </c>
      <c r="Y455" s="4">
        <v>0</v>
      </c>
      <c r="Z455" s="4" t="s">
        <v>39</v>
      </c>
      <c r="AA455" s="2" t="s">
        <v>60</v>
      </c>
      <c r="AB455" s="2" t="s">
        <v>374</v>
      </c>
      <c r="AC455" s="2" t="s">
        <v>515</v>
      </c>
      <c r="AD455" s="4">
        <v>65</v>
      </c>
      <c r="AE455" s="2" t="s">
        <v>432</v>
      </c>
      <c r="AF455" s="2" t="s">
        <v>4</v>
      </c>
      <c r="AG455" s="2" t="s">
        <v>464</v>
      </c>
      <c r="AH455" s="2" t="s">
        <v>185</v>
      </c>
      <c r="AI455" s="2" t="s">
        <v>2017</v>
      </c>
      <c r="AJ455" s="4" t="s">
        <v>2021</v>
      </c>
      <c r="AK455" s="2" t="s">
        <v>2018</v>
      </c>
      <c r="AL455" s="4"/>
      <c r="AN455" s="4"/>
      <c r="AP455" s="4"/>
      <c r="AQ455" s="4"/>
      <c r="AS455" s="4">
        <v>2</v>
      </c>
      <c r="AT455" s="4">
        <v>0</v>
      </c>
      <c r="AU455" s="4">
        <v>0</v>
      </c>
      <c r="AV455" s="4">
        <v>1</v>
      </c>
      <c r="AW455" s="4">
        <v>2</v>
      </c>
      <c r="AX455" s="4">
        <v>1</v>
      </c>
      <c r="AZ455" s="2" t="s">
        <v>60</v>
      </c>
    </row>
    <row r="456" spans="2:52" x14ac:dyDescent="0.15">
      <c r="B456" s="2" t="s">
        <v>2035</v>
      </c>
      <c r="C456" s="2" t="s">
        <v>2034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126</v>
      </c>
      <c r="J456" s="4" t="str">
        <f>VLOOKUP(I456,citySet!$B$5:$C$46,2,0)</f>
        <v>成都</v>
      </c>
      <c r="K456" s="2" t="s">
        <v>2006</v>
      </c>
      <c r="L456" s="2" t="s">
        <v>2036</v>
      </c>
      <c r="M456" s="2" t="s">
        <v>2037</v>
      </c>
      <c r="N456" s="4"/>
      <c r="O456" s="2" t="s">
        <v>813</v>
      </c>
      <c r="P456" s="2" t="s">
        <v>813</v>
      </c>
      <c r="Q456" s="4">
        <v>0</v>
      </c>
      <c r="R456" s="2" t="s">
        <v>370</v>
      </c>
      <c r="S456" s="2" t="s">
        <v>542</v>
      </c>
      <c r="T456" s="2" t="s">
        <v>762</v>
      </c>
      <c r="U456" s="2" t="s">
        <v>627</v>
      </c>
      <c r="V456" s="2" t="s">
        <v>4</v>
      </c>
      <c r="W456" s="4">
        <v>2</v>
      </c>
      <c r="X456" s="2" t="s">
        <v>2983</v>
      </c>
      <c r="Y456" s="4">
        <v>0</v>
      </c>
      <c r="Z456" s="4" t="s">
        <v>39</v>
      </c>
      <c r="AA456" s="2" t="s">
        <v>60</v>
      </c>
      <c r="AB456" s="2" t="s">
        <v>20</v>
      </c>
      <c r="AC456" s="2" t="s">
        <v>10</v>
      </c>
      <c r="AD456" s="4">
        <v>60</v>
      </c>
      <c r="AE456" s="2" t="s">
        <v>481</v>
      </c>
      <c r="AF456" s="2" t="s">
        <v>7</v>
      </c>
      <c r="AG456" s="2" t="s">
        <v>456</v>
      </c>
      <c r="AH456" s="2" t="s">
        <v>185</v>
      </c>
      <c r="AI456" s="2" t="s">
        <v>2035</v>
      </c>
      <c r="AJ456" s="4"/>
      <c r="AL456" s="4"/>
      <c r="AN456" s="4"/>
      <c r="AP456" s="4"/>
      <c r="AQ456" s="4"/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Z456" s="2" t="s">
        <v>60</v>
      </c>
    </row>
    <row r="457" spans="2:52" x14ac:dyDescent="0.15">
      <c r="B457" s="2" t="s">
        <v>2040</v>
      </c>
      <c r="C457" s="2" t="s">
        <v>2038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126</v>
      </c>
      <c r="J457" s="4" t="str">
        <f>VLOOKUP(I457,citySet!$B$5:$C$46,2,0)</f>
        <v>成都</v>
      </c>
      <c r="K457" s="2" t="s">
        <v>2006</v>
      </c>
      <c r="L457" s="2" t="s">
        <v>2039</v>
      </c>
      <c r="N457" s="4"/>
      <c r="O457" s="2" t="s">
        <v>1879</v>
      </c>
      <c r="P457" s="2" t="s">
        <v>1879</v>
      </c>
      <c r="Q457" s="4">
        <v>0</v>
      </c>
      <c r="R457" s="2" t="s">
        <v>370</v>
      </c>
      <c r="S457" s="2" t="s">
        <v>685</v>
      </c>
      <c r="T457" s="2" t="s">
        <v>564</v>
      </c>
      <c r="U457" s="2" t="s">
        <v>424</v>
      </c>
      <c r="V457" s="2" t="s">
        <v>235</v>
      </c>
      <c r="W457" s="4">
        <v>2</v>
      </c>
      <c r="X457" s="2" t="s">
        <v>2983</v>
      </c>
      <c r="Y457" s="4">
        <v>0</v>
      </c>
      <c r="Z457" s="4" t="s">
        <v>39</v>
      </c>
      <c r="AA457" s="2" t="s">
        <v>60</v>
      </c>
      <c r="AB457" s="2" t="s">
        <v>153</v>
      </c>
      <c r="AC457" s="2" t="s">
        <v>515</v>
      </c>
      <c r="AD457" s="4">
        <v>25</v>
      </c>
      <c r="AE457" s="2" t="s">
        <v>189</v>
      </c>
      <c r="AF457" s="2" t="s">
        <v>119</v>
      </c>
      <c r="AG457" s="2" t="s">
        <v>702</v>
      </c>
      <c r="AH457" s="2" t="s">
        <v>185</v>
      </c>
      <c r="AI457" s="2" t="s">
        <v>2035</v>
      </c>
      <c r="AJ457" s="4"/>
      <c r="AL457" s="4"/>
      <c r="AN457" s="4"/>
      <c r="AP457" s="4"/>
      <c r="AQ457" s="4"/>
      <c r="AS457" s="4">
        <v>1</v>
      </c>
      <c r="AT457" s="4">
        <v>0</v>
      </c>
      <c r="AU457" s="4">
        <v>0</v>
      </c>
      <c r="AV457" s="4">
        <v>1</v>
      </c>
      <c r="AW457" s="4">
        <v>2</v>
      </c>
      <c r="AX457" s="4">
        <v>1</v>
      </c>
      <c r="AZ457" s="2" t="s">
        <v>60</v>
      </c>
    </row>
    <row r="458" spans="2:52" x14ac:dyDescent="0.15">
      <c r="B458" s="2" t="s">
        <v>2043</v>
      </c>
      <c r="C458" s="2" t="s">
        <v>2041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103</v>
      </c>
      <c r="J458" s="4" t="str">
        <f>VLOOKUP(I458,citySet!$B$5:$C$46,2,0)</f>
        <v>宛</v>
      </c>
      <c r="K458" s="2" t="s">
        <v>2006</v>
      </c>
      <c r="L458" s="2" t="s">
        <v>1809</v>
      </c>
      <c r="M458" s="2" t="s">
        <v>2042</v>
      </c>
      <c r="N458" s="4"/>
      <c r="O458" s="2" t="s">
        <v>368</v>
      </c>
      <c r="P458" s="2" t="s">
        <v>368</v>
      </c>
      <c r="Q458" s="4">
        <v>0</v>
      </c>
      <c r="R458" s="2" t="s">
        <v>370</v>
      </c>
      <c r="S458" s="2" t="s">
        <v>393</v>
      </c>
      <c r="T458" s="2" t="s">
        <v>555</v>
      </c>
      <c r="U458" s="2" t="s">
        <v>887</v>
      </c>
      <c r="V458" s="2" t="s">
        <v>88</v>
      </c>
      <c r="W458" s="4">
        <v>2</v>
      </c>
      <c r="X458" s="2" t="s">
        <v>2983</v>
      </c>
      <c r="Y458" s="4">
        <v>0</v>
      </c>
      <c r="Z458" s="4" t="s">
        <v>39</v>
      </c>
      <c r="AA458" s="2" t="s">
        <v>60</v>
      </c>
      <c r="AB458" s="2" t="s">
        <v>102</v>
      </c>
      <c r="AC458" s="2" t="s">
        <v>102</v>
      </c>
      <c r="AD458" s="4">
        <v>68</v>
      </c>
      <c r="AE458" s="2" t="s">
        <v>434</v>
      </c>
      <c r="AF458" s="2" t="s">
        <v>261</v>
      </c>
      <c r="AG458" s="2" t="s">
        <v>503</v>
      </c>
      <c r="AH458" s="2" t="s">
        <v>185</v>
      </c>
      <c r="AI458" s="2" t="s">
        <v>2040</v>
      </c>
      <c r="AJ458" s="4"/>
      <c r="AL458" s="4"/>
      <c r="AN458" s="4"/>
      <c r="AP458" s="4"/>
      <c r="AQ458" s="4"/>
      <c r="AS458" s="4">
        <v>0</v>
      </c>
      <c r="AT458" s="4">
        <v>0</v>
      </c>
      <c r="AU458" s="4">
        <v>1</v>
      </c>
      <c r="AV458" s="4">
        <v>0</v>
      </c>
      <c r="AW458" s="4">
        <v>0</v>
      </c>
      <c r="AX458" s="4">
        <v>0</v>
      </c>
      <c r="AZ458" s="2" t="s">
        <v>60</v>
      </c>
    </row>
    <row r="459" spans="2:52" x14ac:dyDescent="0.15">
      <c r="B459" s="2" t="s">
        <v>1446</v>
      </c>
      <c r="C459" s="2" t="s">
        <v>2044</v>
      </c>
      <c r="D459" s="2" t="s">
        <v>27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27</v>
      </c>
      <c r="H459" s="4" t="str">
        <f>VLOOKUP(G459,corpsSet!$B$5:$C$46,2,0)</f>
        <v>曹操</v>
      </c>
      <c r="I459" s="4" t="s">
        <v>17</v>
      </c>
      <c r="J459" s="4" t="str">
        <f>VLOOKUP(I459,citySet!$B$5:$C$46,2,0)</f>
        <v>许昌</v>
      </c>
      <c r="K459" s="2" t="s">
        <v>2006</v>
      </c>
      <c r="L459" s="2" t="s">
        <v>1408</v>
      </c>
      <c r="M459" s="2" t="s">
        <v>2045</v>
      </c>
      <c r="N459" s="4"/>
      <c r="O459" s="2" t="s">
        <v>479</v>
      </c>
      <c r="P459" s="2" t="s">
        <v>479</v>
      </c>
      <c r="Q459" s="4">
        <v>0</v>
      </c>
      <c r="R459" s="2" t="s">
        <v>370</v>
      </c>
      <c r="S459" s="2" t="s">
        <v>633</v>
      </c>
      <c r="T459" s="2" t="s">
        <v>685</v>
      </c>
      <c r="U459" s="2" t="s">
        <v>408</v>
      </c>
      <c r="V459" s="2" t="s">
        <v>25</v>
      </c>
      <c r="W459" s="4">
        <v>1</v>
      </c>
      <c r="X459" s="2" t="s">
        <v>365</v>
      </c>
      <c r="Y459" s="4">
        <v>0</v>
      </c>
      <c r="Z459" s="4" t="s">
        <v>39</v>
      </c>
      <c r="AA459" s="2" t="s">
        <v>185</v>
      </c>
      <c r="AB459" s="2" t="s">
        <v>391</v>
      </c>
      <c r="AC459" s="2" t="s">
        <v>261</v>
      </c>
      <c r="AD459" s="4">
        <v>86</v>
      </c>
      <c r="AE459" s="2" t="s">
        <v>431</v>
      </c>
      <c r="AF459" s="2" t="s">
        <v>422</v>
      </c>
      <c r="AG459" s="2" t="s">
        <v>838</v>
      </c>
      <c r="AH459" s="2" t="s">
        <v>185</v>
      </c>
      <c r="AI459" s="2" t="s">
        <v>2021</v>
      </c>
      <c r="AJ459" s="4" t="s">
        <v>1715</v>
      </c>
      <c r="AK459" s="2" t="s">
        <v>2022</v>
      </c>
      <c r="AL459" s="4"/>
      <c r="AN459" s="4"/>
      <c r="AP459" s="4"/>
      <c r="AQ459" s="4"/>
      <c r="AS459" s="4">
        <v>3</v>
      </c>
      <c r="AT459" s="4">
        <v>2</v>
      </c>
      <c r="AU459" s="4">
        <v>2</v>
      </c>
      <c r="AV459" s="4">
        <v>2</v>
      </c>
      <c r="AW459" s="4">
        <v>2</v>
      </c>
      <c r="AX459" s="4">
        <v>0</v>
      </c>
      <c r="AZ459" s="2" t="s">
        <v>60</v>
      </c>
    </row>
    <row r="460" spans="2:52" x14ac:dyDescent="0.15">
      <c r="B460" s="2" t="s">
        <v>2047</v>
      </c>
      <c r="C460" s="2" t="s">
        <v>144</v>
      </c>
      <c r="D460" s="2" t="s">
        <v>105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105</v>
      </c>
      <c r="H460" s="4" t="str">
        <f>VLOOKUP(G460,corpsSet!$B$5:$C$46,2,0)</f>
        <v>陶谦</v>
      </c>
      <c r="I460" s="4" t="s">
        <v>32</v>
      </c>
      <c r="J460" s="4" t="str">
        <f>VLOOKUP(I460,citySet!$B$5:$C$46,2,0)</f>
        <v>小沛</v>
      </c>
      <c r="K460" s="2" t="s">
        <v>2006</v>
      </c>
      <c r="L460" s="2" t="s">
        <v>1819</v>
      </c>
      <c r="M460" s="2" t="s">
        <v>2046</v>
      </c>
      <c r="N460" s="4"/>
      <c r="O460" s="2" t="s">
        <v>456</v>
      </c>
      <c r="P460" s="2" t="s">
        <v>456</v>
      </c>
      <c r="Q460" s="4">
        <v>0</v>
      </c>
      <c r="R460" s="2" t="s">
        <v>370</v>
      </c>
      <c r="S460" s="2" t="s">
        <v>438</v>
      </c>
      <c r="T460" s="2" t="s">
        <v>477</v>
      </c>
      <c r="U460" s="2" t="s">
        <v>505</v>
      </c>
      <c r="V460" s="2" t="s">
        <v>88</v>
      </c>
      <c r="W460" s="4">
        <v>1</v>
      </c>
      <c r="X460" s="2" t="s">
        <v>365</v>
      </c>
      <c r="Y460" s="4">
        <v>4</v>
      </c>
      <c r="Z460" s="4" t="s">
        <v>1091</v>
      </c>
      <c r="AA460" s="2" t="s">
        <v>185</v>
      </c>
      <c r="AB460" s="2" t="s">
        <v>88</v>
      </c>
      <c r="AC460" s="2" t="s">
        <v>444</v>
      </c>
      <c r="AD460" s="4">
        <v>81</v>
      </c>
      <c r="AE460" s="2" t="s">
        <v>329</v>
      </c>
      <c r="AF460" s="2" t="s">
        <v>269</v>
      </c>
      <c r="AG460" s="2" t="s">
        <v>1461</v>
      </c>
      <c r="AH460" s="2" t="s">
        <v>185</v>
      </c>
      <c r="AI460" s="2" t="s">
        <v>1715</v>
      </c>
      <c r="AJ460" s="4">
        <v>45</v>
      </c>
      <c r="AK460" s="2" t="s">
        <v>2025</v>
      </c>
      <c r="AL460" s="4"/>
      <c r="AN460" s="4"/>
      <c r="AP460" s="4"/>
      <c r="AQ460" s="4"/>
      <c r="AS460" s="4">
        <v>1</v>
      </c>
      <c r="AT460" s="4">
        <v>2</v>
      </c>
      <c r="AU460" s="4">
        <v>2</v>
      </c>
      <c r="AV460" s="4">
        <v>0</v>
      </c>
      <c r="AW460" s="4">
        <v>3</v>
      </c>
      <c r="AX460" s="4">
        <v>0</v>
      </c>
      <c r="AZ460" s="2" t="s">
        <v>60</v>
      </c>
    </row>
    <row r="461" spans="2:52" x14ac:dyDescent="0.15">
      <c r="B461" s="2" t="s">
        <v>184</v>
      </c>
      <c r="C461" s="2" t="s">
        <v>2048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8</v>
      </c>
      <c r="J461" s="4" t="str">
        <f>VLOOKUP(I461,citySet!$B$5:$C$46,2,0)</f>
        <v>汝南</v>
      </c>
      <c r="K461" s="2" t="s">
        <v>2006</v>
      </c>
      <c r="L461" s="2" t="s">
        <v>2049</v>
      </c>
      <c r="M461" s="2" t="s">
        <v>2050</v>
      </c>
      <c r="N461" s="4"/>
      <c r="O461" s="2" t="s">
        <v>1818</v>
      </c>
      <c r="P461" s="2" t="s">
        <v>1818</v>
      </c>
      <c r="Q461" s="4">
        <v>0</v>
      </c>
      <c r="R461" s="2" t="s">
        <v>370</v>
      </c>
      <c r="S461" s="2" t="s">
        <v>407</v>
      </c>
      <c r="T461" s="2" t="s">
        <v>579</v>
      </c>
      <c r="U461" s="2" t="s">
        <v>626</v>
      </c>
      <c r="V461" s="2" t="s">
        <v>374</v>
      </c>
      <c r="W461" s="4">
        <v>2</v>
      </c>
      <c r="X461" s="2" t="s">
        <v>2983</v>
      </c>
      <c r="Y461" s="4">
        <v>0</v>
      </c>
      <c r="Z461" s="4" t="s">
        <v>39</v>
      </c>
      <c r="AA461" s="2" t="s">
        <v>60</v>
      </c>
      <c r="AB461" s="2" t="s">
        <v>434</v>
      </c>
      <c r="AC461" s="2" t="s">
        <v>515</v>
      </c>
      <c r="AD461" s="4">
        <v>63</v>
      </c>
      <c r="AE461" s="2" t="s">
        <v>19</v>
      </c>
      <c r="AF461" s="2" t="s">
        <v>454</v>
      </c>
      <c r="AG461" s="2" t="s">
        <v>265</v>
      </c>
      <c r="AH461" s="2" t="s">
        <v>185</v>
      </c>
      <c r="AI461" s="2" t="s">
        <v>2047</v>
      </c>
      <c r="AJ461" s="4"/>
      <c r="AL461" s="4"/>
      <c r="AN461" s="4"/>
      <c r="AP461" s="4"/>
      <c r="AQ461" s="4"/>
      <c r="AS461" s="4">
        <v>2</v>
      </c>
      <c r="AT461" s="4">
        <v>0</v>
      </c>
      <c r="AU461" s="4">
        <v>1</v>
      </c>
      <c r="AV461" s="4">
        <v>2</v>
      </c>
      <c r="AW461" s="4">
        <v>1</v>
      </c>
      <c r="AX461" s="4">
        <v>0</v>
      </c>
      <c r="AZ461" s="2" t="s">
        <v>60</v>
      </c>
    </row>
    <row r="462" spans="2:52" x14ac:dyDescent="0.15">
      <c r="B462" s="2" t="s">
        <v>2053</v>
      </c>
      <c r="C462" s="2" t="s">
        <v>2051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200</v>
      </c>
      <c r="J462" s="4" t="str">
        <f>VLOOKUP(I462,citySet!$B$5:$C$46,2,0)</f>
        <v>庐江</v>
      </c>
      <c r="K462" s="2" t="s">
        <v>2006</v>
      </c>
      <c r="L462" s="2" t="s">
        <v>2055</v>
      </c>
      <c r="M462" s="2" t="s">
        <v>2056</v>
      </c>
      <c r="N462" s="4"/>
      <c r="O462" s="2" t="s">
        <v>2052</v>
      </c>
      <c r="P462" s="2" t="s">
        <v>2052</v>
      </c>
      <c r="Q462" s="4">
        <v>0</v>
      </c>
      <c r="R462" s="2" t="s">
        <v>370</v>
      </c>
      <c r="S462" s="2" t="s">
        <v>379</v>
      </c>
      <c r="T462" s="2" t="s">
        <v>380</v>
      </c>
      <c r="U462" s="2" t="s">
        <v>626</v>
      </c>
      <c r="V462" s="2" t="s">
        <v>469</v>
      </c>
      <c r="W462" s="4">
        <v>2</v>
      </c>
      <c r="X462" s="2" t="s">
        <v>2983</v>
      </c>
      <c r="Y462" s="4">
        <v>0</v>
      </c>
      <c r="Z462" s="4" t="s">
        <v>39</v>
      </c>
      <c r="AA462" s="2" t="s">
        <v>60</v>
      </c>
      <c r="AB462" s="2" t="s">
        <v>404</v>
      </c>
      <c r="AC462" s="2" t="s">
        <v>98</v>
      </c>
      <c r="AD462" s="4">
        <v>74</v>
      </c>
      <c r="AE462" s="2" t="s">
        <v>431</v>
      </c>
      <c r="AF462" s="2" t="s">
        <v>374</v>
      </c>
      <c r="AG462" s="2" t="s">
        <v>265</v>
      </c>
      <c r="AH462" s="2" t="s">
        <v>185</v>
      </c>
      <c r="AI462" s="2" t="s">
        <v>2053</v>
      </c>
      <c r="AJ462" s="4" t="s">
        <v>2058</v>
      </c>
      <c r="AK462" s="2" t="s">
        <v>2054</v>
      </c>
      <c r="AL462" s="4"/>
      <c r="AN462" s="4"/>
      <c r="AP462" s="4"/>
      <c r="AQ462" s="4"/>
      <c r="AS462" s="4">
        <v>0</v>
      </c>
      <c r="AT462" s="4">
        <v>2</v>
      </c>
      <c r="AU462" s="4">
        <v>1</v>
      </c>
      <c r="AV462" s="4">
        <v>0</v>
      </c>
      <c r="AW462" s="4">
        <v>0</v>
      </c>
      <c r="AX462" s="4">
        <v>2</v>
      </c>
      <c r="AZ462" s="2" t="s">
        <v>60</v>
      </c>
    </row>
    <row r="463" spans="2:52" x14ac:dyDescent="0.15">
      <c r="B463" s="2" t="s">
        <v>2058</v>
      </c>
      <c r="C463" s="2" t="s">
        <v>2054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200</v>
      </c>
      <c r="J463" s="4" t="str">
        <f>VLOOKUP(I463,citySet!$B$5:$C$46,2,0)</f>
        <v>庐江</v>
      </c>
      <c r="K463" s="2" t="s">
        <v>2006</v>
      </c>
      <c r="L463" s="2" t="s">
        <v>2057</v>
      </c>
      <c r="M463" s="2" t="s">
        <v>1770</v>
      </c>
      <c r="N463" s="4"/>
      <c r="O463" s="2" t="s">
        <v>437</v>
      </c>
      <c r="P463" s="2" t="s">
        <v>437</v>
      </c>
      <c r="Q463" s="4">
        <v>0</v>
      </c>
      <c r="R463" s="2" t="s">
        <v>370</v>
      </c>
      <c r="S463" s="2" t="s">
        <v>83</v>
      </c>
      <c r="T463" s="2" t="s">
        <v>504</v>
      </c>
      <c r="U463" s="2" t="s">
        <v>332</v>
      </c>
      <c r="V463" s="2" t="s">
        <v>469</v>
      </c>
      <c r="W463" s="4">
        <v>2</v>
      </c>
      <c r="X463" s="2" t="s">
        <v>2983</v>
      </c>
      <c r="Y463" s="4">
        <v>0</v>
      </c>
      <c r="Z463" s="4" t="s">
        <v>39</v>
      </c>
      <c r="AA463" s="2" t="s">
        <v>60</v>
      </c>
      <c r="AB463" s="2" t="s">
        <v>367</v>
      </c>
      <c r="AC463" s="2" t="s">
        <v>837</v>
      </c>
      <c r="AD463" s="4">
        <v>43</v>
      </c>
      <c r="AE463" s="2" t="s">
        <v>126</v>
      </c>
      <c r="AF463" s="2" t="s">
        <v>423</v>
      </c>
      <c r="AG463" s="2" t="s">
        <v>640</v>
      </c>
      <c r="AH463" s="2" t="s">
        <v>185</v>
      </c>
      <c r="AI463" s="2" t="s">
        <v>2053</v>
      </c>
      <c r="AJ463" s="4"/>
      <c r="AL463" s="4"/>
      <c r="AN463" s="4"/>
      <c r="AP463" s="4"/>
      <c r="AQ463" s="4"/>
      <c r="AS463" s="4">
        <v>2</v>
      </c>
      <c r="AT463" s="4">
        <v>3</v>
      </c>
      <c r="AU463" s="4">
        <v>0</v>
      </c>
      <c r="AV463" s="4">
        <v>0</v>
      </c>
      <c r="AW463" s="4">
        <v>0</v>
      </c>
      <c r="AX463" s="4">
        <v>3</v>
      </c>
      <c r="AZ463" s="2" t="s">
        <v>60</v>
      </c>
    </row>
    <row r="464" spans="2:52" x14ac:dyDescent="0.15">
      <c r="B464" s="2" t="s">
        <v>569</v>
      </c>
      <c r="C464" s="2" t="s">
        <v>2059</v>
      </c>
      <c r="D464" s="2" t="s">
        <v>29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29</v>
      </c>
      <c r="H464" s="4" t="str">
        <f>VLOOKUP(G464,corpsSet!$B$5:$C$46,2,0)</f>
        <v>袁术</v>
      </c>
      <c r="I464" s="4" t="s">
        <v>200</v>
      </c>
      <c r="J464" s="4" t="str">
        <f>VLOOKUP(I464,citySet!$B$5:$C$46,2,0)</f>
        <v>庐江</v>
      </c>
      <c r="K464" s="2" t="s">
        <v>2006</v>
      </c>
      <c r="L464" s="2" t="s">
        <v>1305</v>
      </c>
      <c r="N464" s="4"/>
      <c r="O464" s="2" t="s">
        <v>542</v>
      </c>
      <c r="P464" s="2" t="s">
        <v>542</v>
      </c>
      <c r="Q464" s="4">
        <v>0</v>
      </c>
      <c r="R464" s="2" t="s">
        <v>370</v>
      </c>
      <c r="S464" s="2" t="s">
        <v>435</v>
      </c>
      <c r="T464" s="2" t="s">
        <v>476</v>
      </c>
      <c r="U464" s="2" t="s">
        <v>380</v>
      </c>
      <c r="V464" s="2" t="s">
        <v>904</v>
      </c>
      <c r="W464" s="4">
        <v>1</v>
      </c>
      <c r="X464" s="2" t="s">
        <v>365</v>
      </c>
      <c r="Y464" s="4">
        <v>0</v>
      </c>
      <c r="Z464" s="4" t="s">
        <v>39</v>
      </c>
      <c r="AA464" s="2" t="s">
        <v>79</v>
      </c>
      <c r="AB464" s="2" t="s">
        <v>404</v>
      </c>
      <c r="AC464" s="2" t="s">
        <v>454</v>
      </c>
      <c r="AD464" s="4">
        <v>40</v>
      </c>
      <c r="AE464" s="2" t="s">
        <v>193</v>
      </c>
      <c r="AF464" s="2" t="s">
        <v>207</v>
      </c>
      <c r="AG464" s="2" t="s">
        <v>626</v>
      </c>
      <c r="AH464" s="2" t="s">
        <v>185</v>
      </c>
      <c r="AI464" s="2" t="s">
        <v>2058</v>
      </c>
      <c r="AJ464" s="4"/>
      <c r="AL464" s="4"/>
      <c r="AN464" s="4"/>
      <c r="AP464" s="4"/>
      <c r="AQ464" s="4"/>
      <c r="AS464" s="4">
        <v>1</v>
      </c>
      <c r="AT464" s="4">
        <v>2</v>
      </c>
      <c r="AU464" s="4">
        <v>0</v>
      </c>
      <c r="AV464" s="4">
        <v>0</v>
      </c>
      <c r="AW464" s="4">
        <v>1</v>
      </c>
      <c r="AX464" s="4">
        <v>0</v>
      </c>
      <c r="AZ464" s="2" t="s">
        <v>60</v>
      </c>
    </row>
    <row r="465" spans="2:52" x14ac:dyDescent="0.15">
      <c r="B465" s="2" t="s">
        <v>1274</v>
      </c>
      <c r="C465" s="2" t="s">
        <v>2060</v>
      </c>
      <c r="D465" s="2" t="s">
        <v>30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30</v>
      </c>
      <c r="H465" s="4" t="str">
        <f>VLOOKUP(G465,corpsSet!$B$5:$C$46,2,0)</f>
        <v>袁绍</v>
      </c>
      <c r="I465" s="4" t="s">
        <v>37</v>
      </c>
      <c r="J465" s="4" t="str">
        <f>VLOOKUP(I465,citySet!$B$5:$C$46,2,0)</f>
        <v>南皮</v>
      </c>
      <c r="K465" s="2" t="s">
        <v>2006</v>
      </c>
      <c r="L465" s="2" t="s">
        <v>2061</v>
      </c>
      <c r="M465" s="2" t="s">
        <v>2062</v>
      </c>
      <c r="N465" s="4"/>
      <c r="O465" s="2" t="s">
        <v>120</v>
      </c>
      <c r="P465" s="2" t="s">
        <v>120</v>
      </c>
      <c r="Q465" s="4">
        <v>0</v>
      </c>
      <c r="R465" s="2" t="s">
        <v>370</v>
      </c>
      <c r="S465" s="2" t="s">
        <v>435</v>
      </c>
      <c r="T465" s="2" t="s">
        <v>933</v>
      </c>
      <c r="U465" s="2" t="s">
        <v>371</v>
      </c>
      <c r="V465" s="2" t="s">
        <v>226</v>
      </c>
      <c r="W465" s="4">
        <v>1</v>
      </c>
      <c r="X465" s="2" t="s">
        <v>365</v>
      </c>
      <c r="Y465" s="4">
        <v>0</v>
      </c>
      <c r="Z465" s="4" t="s">
        <v>39</v>
      </c>
      <c r="AA465" s="2" t="s">
        <v>403</v>
      </c>
      <c r="AB465" s="2" t="s">
        <v>32</v>
      </c>
      <c r="AC465" s="2" t="s">
        <v>29</v>
      </c>
      <c r="AD465" s="4">
        <v>74</v>
      </c>
      <c r="AE465" s="2" t="s">
        <v>431</v>
      </c>
      <c r="AF465" s="2" t="s">
        <v>374</v>
      </c>
      <c r="AG465" s="2" t="s">
        <v>198</v>
      </c>
      <c r="AH465" s="2" t="s">
        <v>185</v>
      </c>
      <c r="AI465" s="2" t="s">
        <v>569</v>
      </c>
      <c r="AJ465" s="4"/>
      <c r="AL465" s="4"/>
      <c r="AN465" s="4"/>
      <c r="AP465" s="4"/>
      <c r="AQ465" s="4"/>
      <c r="AS465" s="4">
        <v>0</v>
      </c>
      <c r="AT465" s="4">
        <v>0</v>
      </c>
      <c r="AU465" s="4">
        <v>0</v>
      </c>
      <c r="AV465" s="4">
        <v>0</v>
      </c>
      <c r="AW465" s="4">
        <v>1</v>
      </c>
      <c r="AX465" s="4">
        <v>0</v>
      </c>
      <c r="AZ465" s="2" t="s">
        <v>60</v>
      </c>
    </row>
    <row r="466" spans="2:52" x14ac:dyDescent="0.15">
      <c r="B466" s="2" t="s">
        <v>1635</v>
      </c>
      <c r="C466" s="2" t="s">
        <v>168</v>
      </c>
      <c r="D466" s="2" t="s">
        <v>27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27</v>
      </c>
      <c r="H466" s="4" t="str">
        <f>VLOOKUP(G466,corpsSet!$B$5:$C$46,2,0)</f>
        <v>曹操</v>
      </c>
      <c r="I466" s="4" t="s">
        <v>17</v>
      </c>
      <c r="J466" s="4" t="str">
        <f>VLOOKUP(I466,citySet!$B$5:$C$46,2,0)</f>
        <v>许昌</v>
      </c>
      <c r="K466" s="2" t="s">
        <v>2063</v>
      </c>
      <c r="L466" s="2" t="s">
        <v>2064</v>
      </c>
      <c r="M466" s="2" t="s">
        <v>2065</v>
      </c>
      <c r="N466" s="4"/>
      <c r="O466" s="2" t="s">
        <v>384</v>
      </c>
      <c r="P466" s="2" t="s">
        <v>384</v>
      </c>
      <c r="Q466" s="4">
        <v>0</v>
      </c>
      <c r="R466" s="2" t="s">
        <v>370</v>
      </c>
      <c r="S466" s="2" t="s">
        <v>435</v>
      </c>
      <c r="T466" s="2" t="s">
        <v>697</v>
      </c>
      <c r="U466" s="2" t="s">
        <v>456</v>
      </c>
      <c r="V466" s="2" t="s">
        <v>193</v>
      </c>
      <c r="W466" s="4">
        <v>1</v>
      </c>
      <c r="X466" s="2" t="s">
        <v>365</v>
      </c>
      <c r="Y466" s="4">
        <v>5</v>
      </c>
      <c r="Z466" s="4" t="s">
        <v>575</v>
      </c>
      <c r="AA466" s="2" t="s">
        <v>185</v>
      </c>
      <c r="AB466" s="2" t="s">
        <v>153</v>
      </c>
      <c r="AC466" s="2" t="s">
        <v>233</v>
      </c>
      <c r="AD466" s="4">
        <v>90</v>
      </c>
      <c r="AE466" s="2" t="s">
        <v>88</v>
      </c>
      <c r="AF466" s="2" t="s">
        <v>485</v>
      </c>
      <c r="AG466" s="2" t="s">
        <v>1307</v>
      </c>
      <c r="AH466" s="2" t="s">
        <v>185</v>
      </c>
      <c r="AI466" s="2" t="s">
        <v>1274</v>
      </c>
      <c r="AJ466" s="4"/>
      <c r="AL466" s="4"/>
      <c r="AN466" s="4"/>
      <c r="AP466" s="4"/>
      <c r="AQ466" s="4"/>
      <c r="AS466" s="4">
        <v>2</v>
      </c>
      <c r="AT466" s="4">
        <v>0</v>
      </c>
      <c r="AU466" s="4">
        <v>0</v>
      </c>
      <c r="AV466" s="4">
        <v>0</v>
      </c>
      <c r="AW466" s="4">
        <v>2</v>
      </c>
      <c r="AX466" s="4">
        <v>0</v>
      </c>
      <c r="AZ466" s="2" t="s">
        <v>60</v>
      </c>
    </row>
    <row r="467" spans="2:52" x14ac:dyDescent="0.15">
      <c r="B467" s="2" t="s">
        <v>1196</v>
      </c>
      <c r="C467" s="2" t="s">
        <v>2066</v>
      </c>
      <c r="D467" s="2" t="s">
        <v>25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25</v>
      </c>
      <c r="H467" s="4" t="str">
        <f>VLOOKUP(G467,corpsSet!$B$5:$C$46,2,0)</f>
        <v>张角</v>
      </c>
      <c r="I467" s="4" t="s">
        <v>20</v>
      </c>
      <c r="J467" s="4" t="str">
        <f>VLOOKUP(I467,citySet!$B$5:$C$46,2,0)</f>
        <v>濮阳</v>
      </c>
      <c r="K467" s="2" t="s">
        <v>2063</v>
      </c>
      <c r="L467" s="2" t="s">
        <v>2068</v>
      </c>
      <c r="N467" s="4"/>
      <c r="O467" s="2" t="s">
        <v>2067</v>
      </c>
      <c r="P467" s="2" t="s">
        <v>2067</v>
      </c>
      <c r="Q467" s="4">
        <v>0</v>
      </c>
      <c r="R467" s="2" t="s">
        <v>370</v>
      </c>
      <c r="S467" s="2" t="s">
        <v>435</v>
      </c>
      <c r="T467" s="2" t="s">
        <v>415</v>
      </c>
      <c r="U467" s="2" t="s">
        <v>435</v>
      </c>
      <c r="V467" s="2" t="s">
        <v>34</v>
      </c>
      <c r="W467" s="4">
        <v>1</v>
      </c>
      <c r="X467" s="2" t="s">
        <v>365</v>
      </c>
      <c r="Y467" s="4">
        <v>0</v>
      </c>
      <c r="Z467" s="4" t="s">
        <v>39</v>
      </c>
      <c r="AA467" s="2" t="s">
        <v>185</v>
      </c>
      <c r="AB467" s="2" t="s">
        <v>454</v>
      </c>
      <c r="AC467" s="2" t="s">
        <v>367</v>
      </c>
      <c r="AD467" s="4">
        <v>17</v>
      </c>
      <c r="AE467" s="2" t="s">
        <v>193</v>
      </c>
      <c r="AF467" s="2" t="s">
        <v>220</v>
      </c>
      <c r="AG467" s="2" t="s">
        <v>702</v>
      </c>
      <c r="AH467" s="2" t="s">
        <v>185</v>
      </c>
      <c r="AI467" s="2" t="s">
        <v>1635</v>
      </c>
      <c r="AJ467" s="4"/>
      <c r="AL467" s="4"/>
      <c r="AN467" s="4"/>
      <c r="AP467" s="4"/>
      <c r="AQ467" s="4"/>
      <c r="AS467" s="4">
        <v>2</v>
      </c>
      <c r="AT467" s="4">
        <v>0</v>
      </c>
      <c r="AU467" s="4">
        <v>0</v>
      </c>
      <c r="AV467" s="4">
        <v>2</v>
      </c>
      <c r="AW467" s="4">
        <v>1</v>
      </c>
      <c r="AX467" s="4">
        <v>0</v>
      </c>
      <c r="AZ467" s="2" t="s">
        <v>60</v>
      </c>
    </row>
    <row r="468" spans="2:52" x14ac:dyDescent="0.15">
      <c r="B468" s="2" t="s">
        <v>1312</v>
      </c>
      <c r="C468" s="2" t="s">
        <v>2069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32</v>
      </c>
      <c r="J468" s="4" t="str">
        <f>VLOOKUP(I468,citySet!$B$5:$C$46,2,0)</f>
        <v>小沛</v>
      </c>
      <c r="K468" s="2" t="s">
        <v>2070</v>
      </c>
      <c r="L468" s="2" t="s">
        <v>760</v>
      </c>
      <c r="M468" s="2" t="s">
        <v>2071</v>
      </c>
      <c r="N468" s="4"/>
      <c r="O468" s="2" t="s">
        <v>2030</v>
      </c>
      <c r="P468" s="2" t="s">
        <v>2030</v>
      </c>
      <c r="Q468" s="4">
        <v>0</v>
      </c>
      <c r="R468" s="2" t="s">
        <v>370</v>
      </c>
      <c r="S468" s="2" t="s">
        <v>1257</v>
      </c>
      <c r="T468" s="2" t="s">
        <v>435</v>
      </c>
      <c r="U468" s="2" t="s">
        <v>456</v>
      </c>
      <c r="V468" s="2" t="s">
        <v>10</v>
      </c>
      <c r="W468" s="4">
        <v>2</v>
      </c>
      <c r="X468" s="2" t="s">
        <v>2983</v>
      </c>
      <c r="Y468" s="4">
        <v>0</v>
      </c>
      <c r="Z468" s="4" t="s">
        <v>39</v>
      </c>
      <c r="AA468" s="2" t="s">
        <v>60</v>
      </c>
      <c r="AB468" s="2" t="s">
        <v>8</v>
      </c>
      <c r="AC468" s="2" t="s">
        <v>33</v>
      </c>
      <c r="AD468" s="4">
        <v>64</v>
      </c>
      <c r="AE468" s="2" t="s">
        <v>374</v>
      </c>
      <c r="AF468" s="2" t="s">
        <v>7</v>
      </c>
      <c r="AG468" s="2" t="s">
        <v>505</v>
      </c>
      <c r="AH468" s="2" t="s">
        <v>185</v>
      </c>
      <c r="AI468" s="2" t="s">
        <v>1196</v>
      </c>
      <c r="AJ468" s="4"/>
      <c r="AL468" s="4"/>
      <c r="AN468" s="4"/>
      <c r="AP468" s="4"/>
      <c r="AQ468" s="4"/>
      <c r="AS468" s="4">
        <v>0</v>
      </c>
      <c r="AT468" s="4">
        <v>0</v>
      </c>
      <c r="AU468" s="4">
        <v>0</v>
      </c>
      <c r="AV468" s="4">
        <v>0</v>
      </c>
      <c r="AW468" s="4">
        <v>1</v>
      </c>
      <c r="AX468" s="4">
        <v>0</v>
      </c>
      <c r="AZ468" s="2" t="s">
        <v>60</v>
      </c>
    </row>
    <row r="469" spans="2:52" x14ac:dyDescent="0.15">
      <c r="B469" s="2" t="s">
        <v>1086</v>
      </c>
      <c r="C469" s="2" t="s">
        <v>2072</v>
      </c>
      <c r="D469" s="2" t="s">
        <v>107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107</v>
      </c>
      <c r="H469" s="4" t="str">
        <f>VLOOKUP(G469,corpsSet!$B$5:$C$46,2,0)</f>
        <v>韩遂</v>
      </c>
      <c r="I469" s="4" t="s">
        <v>107</v>
      </c>
      <c r="J469" s="4" t="str">
        <f>VLOOKUP(I469,citySet!$B$5:$C$46,2,0)</f>
        <v>天水</v>
      </c>
      <c r="K469" s="2" t="s">
        <v>2063</v>
      </c>
      <c r="L469" s="2" t="s">
        <v>2073</v>
      </c>
      <c r="N469" s="4"/>
      <c r="O469" s="2" t="s">
        <v>1884</v>
      </c>
      <c r="P469" s="2" t="s">
        <v>1884</v>
      </c>
      <c r="Q469" s="4">
        <v>0</v>
      </c>
      <c r="R469" s="2" t="s">
        <v>370</v>
      </c>
      <c r="S469" s="2" t="s">
        <v>435</v>
      </c>
      <c r="T469" s="2" t="s">
        <v>477</v>
      </c>
      <c r="U469" s="2" t="s">
        <v>417</v>
      </c>
      <c r="V469" s="2" t="s">
        <v>454</v>
      </c>
      <c r="W469" s="4">
        <v>1</v>
      </c>
      <c r="X469" s="2" t="s">
        <v>365</v>
      </c>
      <c r="Y469" s="4">
        <v>3</v>
      </c>
      <c r="Z469" s="4" t="s">
        <v>696</v>
      </c>
      <c r="AA469" s="2" t="s">
        <v>403</v>
      </c>
      <c r="AB469" s="2" t="s">
        <v>454</v>
      </c>
      <c r="AC469" s="2" t="s">
        <v>261</v>
      </c>
      <c r="AD469" s="4">
        <v>40</v>
      </c>
      <c r="AE469" s="2" t="s">
        <v>15</v>
      </c>
      <c r="AF469" s="2" t="s">
        <v>4</v>
      </c>
      <c r="AG469" s="2" t="s">
        <v>659</v>
      </c>
      <c r="AH469" s="2" t="s">
        <v>185</v>
      </c>
      <c r="AI469" s="2" t="s">
        <v>1312</v>
      </c>
      <c r="AJ469" s="4"/>
      <c r="AL469" s="4"/>
      <c r="AN469" s="4"/>
      <c r="AP469" s="4"/>
      <c r="AQ469" s="4"/>
      <c r="AS469" s="4">
        <v>0</v>
      </c>
      <c r="AT469" s="4">
        <v>1</v>
      </c>
      <c r="AU469" s="4">
        <v>0</v>
      </c>
      <c r="AV469" s="4">
        <v>2</v>
      </c>
      <c r="AW469" s="4">
        <v>0</v>
      </c>
      <c r="AX469" s="4">
        <v>0</v>
      </c>
      <c r="AZ469" s="2" t="s">
        <v>60</v>
      </c>
    </row>
    <row r="470" spans="2:52" x14ac:dyDescent="0.15">
      <c r="B470" s="2" t="s">
        <v>1277</v>
      </c>
      <c r="C470" s="2" t="s">
        <v>2074</v>
      </c>
      <c r="D470" s="2" t="s">
        <v>3151</v>
      </c>
      <c r="E470" s="4" t="str">
        <f>VLOOKUP(D470,forceSet!$B$5:$D$46,3,0)</f>
        <v>丁原</v>
      </c>
      <c r="F470" s="4" t="str">
        <f>VLOOKUP(I470,citySet!$B$5:$E$46,4,0)</f>
        <v>丁原</v>
      </c>
      <c r="G470" s="2" t="s">
        <v>3151</v>
      </c>
      <c r="H470" s="4" t="str">
        <f>VLOOKUP(G470,corpsSet!$B$5:$C$46,2,0)</f>
        <v>丁原</v>
      </c>
      <c r="I470" s="4" t="s">
        <v>36</v>
      </c>
      <c r="J470" s="4" t="str">
        <f>VLOOKUP(I470,citySet!$B$5:$C$46,2,0)</f>
        <v>晋阳</v>
      </c>
      <c r="K470" s="2" t="s">
        <v>2070</v>
      </c>
      <c r="L470" s="2" t="s">
        <v>2076</v>
      </c>
      <c r="M470" s="2" t="s">
        <v>2077</v>
      </c>
      <c r="N470" s="4"/>
      <c r="O470" s="2" t="s">
        <v>2075</v>
      </c>
      <c r="P470" s="2" t="s">
        <v>2075</v>
      </c>
      <c r="Q470" s="4">
        <v>0</v>
      </c>
      <c r="R470" s="2" t="s">
        <v>370</v>
      </c>
      <c r="S470" s="2" t="s">
        <v>435</v>
      </c>
      <c r="T470" s="2" t="s">
        <v>584</v>
      </c>
      <c r="U470" s="2" t="s">
        <v>372</v>
      </c>
      <c r="V470" s="2" t="s">
        <v>123</v>
      </c>
      <c r="W470" s="4">
        <v>3</v>
      </c>
      <c r="X470" s="2" t="s">
        <v>2</v>
      </c>
      <c r="Y470" s="4">
        <v>0</v>
      </c>
      <c r="Z470" s="4" t="s">
        <v>39</v>
      </c>
      <c r="AA470" s="2" t="s">
        <v>185</v>
      </c>
      <c r="AB470" s="2" t="s">
        <v>153</v>
      </c>
      <c r="AC470" s="2" t="s">
        <v>434</v>
      </c>
      <c r="AD470" s="4">
        <v>35</v>
      </c>
      <c r="AE470" s="2" t="s">
        <v>126</v>
      </c>
      <c r="AF470" s="2" t="s">
        <v>367</v>
      </c>
      <c r="AG470" s="2" t="s">
        <v>813</v>
      </c>
      <c r="AH470" s="2" t="s">
        <v>185</v>
      </c>
      <c r="AI470" s="2" t="s">
        <v>1086</v>
      </c>
      <c r="AJ470" s="4"/>
      <c r="AL470" s="4"/>
      <c r="AN470" s="4"/>
      <c r="AP470" s="4"/>
      <c r="AQ470" s="4"/>
      <c r="AS470" s="4">
        <v>0</v>
      </c>
      <c r="AT470" s="4">
        <v>0</v>
      </c>
      <c r="AU470" s="4">
        <v>1</v>
      </c>
      <c r="AV470" s="4">
        <v>2</v>
      </c>
      <c r="AW470" s="4">
        <v>0</v>
      </c>
      <c r="AX470" s="4">
        <v>0</v>
      </c>
      <c r="AZ470" s="2" t="s">
        <v>60</v>
      </c>
    </row>
    <row r="471" spans="2:52" x14ac:dyDescent="0.15">
      <c r="B471" s="2" t="s">
        <v>751</v>
      </c>
      <c r="C471" s="2" t="s">
        <v>2078</v>
      </c>
      <c r="D471" s="2" t="s">
        <v>31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31</v>
      </c>
      <c r="H471" s="4" t="str">
        <f>VLOOKUP(G471,corpsSet!$B$5:$C$46,2,0)</f>
        <v>孙坚</v>
      </c>
      <c r="I471" s="4" t="s">
        <v>204</v>
      </c>
      <c r="J471" s="4" t="str">
        <f>VLOOKUP(I471,citySet!$B$5:$C$46,2,0)</f>
        <v>柴桑</v>
      </c>
      <c r="K471" s="2" t="s">
        <v>2063</v>
      </c>
      <c r="L471" s="2" t="s">
        <v>2079</v>
      </c>
      <c r="M471" s="2" t="s">
        <v>2080</v>
      </c>
      <c r="N471" s="4"/>
      <c r="O471" s="2" t="s">
        <v>759</v>
      </c>
      <c r="P471" s="2" t="s">
        <v>759</v>
      </c>
      <c r="Q471" s="4">
        <v>0</v>
      </c>
      <c r="R471" s="2" t="s">
        <v>370</v>
      </c>
      <c r="S471" s="2" t="s">
        <v>435</v>
      </c>
      <c r="T471" s="2" t="s">
        <v>634</v>
      </c>
      <c r="U471" s="2" t="s">
        <v>340</v>
      </c>
      <c r="V471" s="2" t="s">
        <v>335</v>
      </c>
      <c r="W471" s="4">
        <v>1</v>
      </c>
      <c r="X471" s="2" t="s">
        <v>365</v>
      </c>
      <c r="Y471" s="4">
        <v>3</v>
      </c>
      <c r="Z471" s="4" t="s">
        <v>696</v>
      </c>
      <c r="AA471" s="2" t="s">
        <v>134</v>
      </c>
      <c r="AB471" s="2" t="s">
        <v>391</v>
      </c>
      <c r="AC471" s="2" t="s">
        <v>88</v>
      </c>
      <c r="AD471" s="4">
        <v>79</v>
      </c>
      <c r="AE471" s="2" t="s">
        <v>367</v>
      </c>
      <c r="AF471" s="2" t="s">
        <v>256</v>
      </c>
      <c r="AG471" s="2" t="s">
        <v>1884</v>
      </c>
      <c r="AH471" s="2" t="s">
        <v>185</v>
      </c>
      <c r="AI471" s="2" t="s">
        <v>1277</v>
      </c>
      <c r="AJ471" s="4"/>
      <c r="AL471" s="4"/>
      <c r="AN471" s="4"/>
      <c r="AP471" s="4"/>
      <c r="AQ471" s="4"/>
      <c r="AS471" s="4">
        <v>2</v>
      </c>
      <c r="AT471" s="4">
        <v>2</v>
      </c>
      <c r="AU471" s="4">
        <v>2</v>
      </c>
      <c r="AV471" s="4">
        <v>1</v>
      </c>
      <c r="AW471" s="4">
        <v>1</v>
      </c>
      <c r="AX471" s="4">
        <v>3</v>
      </c>
      <c r="AZ471" s="2" t="s">
        <v>60</v>
      </c>
    </row>
    <row r="472" spans="2:52" x14ac:dyDescent="0.15">
      <c r="B472" s="2" t="s">
        <v>918</v>
      </c>
      <c r="C472" s="2" t="s">
        <v>2081</v>
      </c>
      <c r="D472" s="2" t="s">
        <v>27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27</v>
      </c>
      <c r="H472" s="4" t="str">
        <f>VLOOKUP(G472,corpsSet!$B$5:$C$46,2,0)</f>
        <v>曹操</v>
      </c>
      <c r="I472" s="4" t="s">
        <v>17</v>
      </c>
      <c r="J472" s="4" t="str">
        <f>VLOOKUP(I472,citySet!$B$5:$C$46,2,0)</f>
        <v>许昌</v>
      </c>
      <c r="K472" s="2" t="s">
        <v>2063</v>
      </c>
      <c r="L472" s="2" t="s">
        <v>2057</v>
      </c>
      <c r="N472" s="4"/>
      <c r="O472" s="2" t="s">
        <v>1561</v>
      </c>
      <c r="P472" s="2" t="s">
        <v>1561</v>
      </c>
      <c r="Q472" s="4">
        <v>0</v>
      </c>
      <c r="R472" s="2" t="s">
        <v>370</v>
      </c>
      <c r="S472" s="2" t="s">
        <v>332</v>
      </c>
      <c r="T472" s="2" t="s">
        <v>772</v>
      </c>
      <c r="U472" s="2" t="s">
        <v>854</v>
      </c>
      <c r="V472" s="2" t="s">
        <v>193</v>
      </c>
      <c r="W472" s="4">
        <v>1</v>
      </c>
      <c r="X472" s="2" t="s">
        <v>365</v>
      </c>
      <c r="Y472" s="4">
        <v>0</v>
      </c>
      <c r="Z472" s="4" t="s">
        <v>39</v>
      </c>
      <c r="AA472" s="2" t="s">
        <v>185</v>
      </c>
      <c r="AB472" s="2" t="s">
        <v>201</v>
      </c>
      <c r="AC472" s="2" t="s">
        <v>220</v>
      </c>
      <c r="AD472" s="4">
        <v>75</v>
      </c>
      <c r="AE472" s="2" t="s">
        <v>515</v>
      </c>
      <c r="AF472" s="2" t="s">
        <v>101</v>
      </c>
      <c r="AG472" s="2" t="s">
        <v>650</v>
      </c>
      <c r="AH472" s="2" t="s">
        <v>185</v>
      </c>
      <c r="AI472" s="2" t="s">
        <v>1274</v>
      </c>
      <c r="AJ472" s="4" t="s">
        <v>1635</v>
      </c>
      <c r="AK472" s="2" t="s">
        <v>168</v>
      </c>
      <c r="AL472" s="4"/>
      <c r="AN472" s="4"/>
      <c r="AP472" s="4"/>
      <c r="AQ472" s="4"/>
      <c r="AS472" s="4">
        <v>1</v>
      </c>
      <c r="AT472" s="4">
        <v>1</v>
      </c>
      <c r="AU472" s="4">
        <v>0</v>
      </c>
      <c r="AV472" s="4">
        <v>0</v>
      </c>
      <c r="AW472" s="4">
        <v>0</v>
      </c>
      <c r="AX472" s="4">
        <v>0</v>
      </c>
      <c r="AZ472" s="2" t="s">
        <v>60</v>
      </c>
    </row>
    <row r="473" spans="2:52" x14ac:dyDescent="0.15">
      <c r="B473" s="2" t="s">
        <v>1081</v>
      </c>
      <c r="C473" s="2" t="s">
        <v>2083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8</v>
      </c>
      <c r="J473" s="4" t="str">
        <f>VLOOKUP(I473,citySet!$B$5:$C$46,2,0)</f>
        <v>汝南</v>
      </c>
      <c r="K473" s="2" t="s">
        <v>2063</v>
      </c>
      <c r="L473" s="2" t="s">
        <v>2084</v>
      </c>
      <c r="M473" s="2" t="s">
        <v>2085</v>
      </c>
      <c r="N473" s="4"/>
      <c r="O473" s="2" t="s">
        <v>1889</v>
      </c>
      <c r="P473" s="2" t="s">
        <v>1889</v>
      </c>
      <c r="Q473" s="4">
        <v>0</v>
      </c>
      <c r="R473" s="2" t="s">
        <v>370</v>
      </c>
      <c r="S473" s="2" t="s">
        <v>564</v>
      </c>
      <c r="T473" s="2" t="s">
        <v>712</v>
      </c>
      <c r="U473" s="2" t="s">
        <v>395</v>
      </c>
      <c r="V473" s="2" t="s">
        <v>141</v>
      </c>
      <c r="W473" s="4">
        <v>2</v>
      </c>
      <c r="X473" s="2" t="s">
        <v>2983</v>
      </c>
      <c r="Y473" s="4">
        <v>0</v>
      </c>
      <c r="Z473" s="4" t="s">
        <v>39</v>
      </c>
      <c r="AA473" s="2" t="s">
        <v>60</v>
      </c>
      <c r="AB473" s="2" t="s">
        <v>18</v>
      </c>
      <c r="AC473" s="2" t="s">
        <v>8</v>
      </c>
      <c r="AD473" s="4">
        <v>71</v>
      </c>
      <c r="AE473" s="2" t="s">
        <v>374</v>
      </c>
      <c r="AF473" s="2" t="s">
        <v>257</v>
      </c>
      <c r="AG473" s="2" t="s">
        <v>427</v>
      </c>
      <c r="AH473" s="2" t="s">
        <v>185</v>
      </c>
      <c r="AI473" s="2" t="s">
        <v>918</v>
      </c>
      <c r="AJ473" s="4"/>
      <c r="AL473" s="4"/>
      <c r="AN473" s="4"/>
      <c r="AP473" s="4"/>
      <c r="AQ473" s="4"/>
      <c r="AS473" s="4">
        <v>0</v>
      </c>
      <c r="AT473" s="4">
        <v>0</v>
      </c>
      <c r="AU473" s="4">
        <v>0</v>
      </c>
      <c r="AV473" s="4">
        <v>0</v>
      </c>
      <c r="AW473" s="4">
        <v>1</v>
      </c>
      <c r="AX473" s="4">
        <v>1</v>
      </c>
      <c r="AZ473" s="2" t="s">
        <v>60</v>
      </c>
    </row>
    <row r="474" spans="2:52" x14ac:dyDescent="0.15">
      <c r="B474" s="2" t="s">
        <v>1617</v>
      </c>
      <c r="C474" s="2" t="s">
        <v>2086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200</v>
      </c>
      <c r="J474" s="4" t="str">
        <f>VLOOKUP(I474,citySet!$B$5:$C$46,2,0)</f>
        <v>庐江</v>
      </c>
      <c r="K474" s="2" t="s">
        <v>2070</v>
      </c>
      <c r="L474" s="2" t="s">
        <v>2088</v>
      </c>
      <c r="M474" s="2" t="s">
        <v>2089</v>
      </c>
      <c r="N474" s="4"/>
      <c r="O474" s="2" t="s">
        <v>393</v>
      </c>
      <c r="P474" s="2" t="s">
        <v>393</v>
      </c>
      <c r="Q474" s="4">
        <v>0</v>
      </c>
      <c r="R474" s="2" t="s">
        <v>370</v>
      </c>
      <c r="S474" s="2" t="s">
        <v>505</v>
      </c>
      <c r="T474" s="2" t="s">
        <v>372</v>
      </c>
      <c r="U474" s="2" t="s">
        <v>1014</v>
      </c>
      <c r="V474" s="2" t="s">
        <v>1018</v>
      </c>
      <c r="W474" s="4">
        <v>2</v>
      </c>
      <c r="X474" s="2" t="s">
        <v>2983</v>
      </c>
      <c r="Y474" s="4">
        <v>0</v>
      </c>
      <c r="Z474" s="4" t="s">
        <v>39</v>
      </c>
      <c r="AA474" s="2" t="s">
        <v>60</v>
      </c>
      <c r="AB474" s="2" t="s">
        <v>235</v>
      </c>
      <c r="AC474" s="2" t="s">
        <v>329</v>
      </c>
      <c r="AD474" s="4">
        <v>71</v>
      </c>
      <c r="AE474" s="2" t="s">
        <v>254</v>
      </c>
      <c r="AF474" s="2" t="s">
        <v>201</v>
      </c>
      <c r="AG474" s="2" t="s">
        <v>1403</v>
      </c>
      <c r="AH474" s="2" t="s">
        <v>185</v>
      </c>
      <c r="AI474" s="2" t="s">
        <v>1081</v>
      </c>
      <c r="AJ474" s="4"/>
      <c r="AK474" s="2" t="s">
        <v>2087</v>
      </c>
      <c r="AL474" s="4"/>
      <c r="AN474" s="4"/>
      <c r="AP474" s="4"/>
      <c r="AQ474" s="4"/>
      <c r="AS474" s="4">
        <v>3</v>
      </c>
      <c r="AT474" s="4">
        <v>2</v>
      </c>
      <c r="AU474" s="4">
        <v>1</v>
      </c>
      <c r="AV474" s="4">
        <v>2</v>
      </c>
      <c r="AW474" s="4">
        <v>1</v>
      </c>
      <c r="AX474" s="4">
        <v>3</v>
      </c>
      <c r="AZ474" s="2" t="s">
        <v>60</v>
      </c>
    </row>
    <row r="475" spans="2:52" x14ac:dyDescent="0.15">
      <c r="B475" s="2" t="s">
        <v>1149</v>
      </c>
      <c r="C475" s="2" t="s">
        <v>2090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200</v>
      </c>
      <c r="J475" s="4" t="str">
        <f>VLOOKUP(I475,citySet!$B$5:$C$46,2,0)</f>
        <v>庐江</v>
      </c>
      <c r="K475" s="2" t="s">
        <v>2070</v>
      </c>
      <c r="L475" s="2" t="s">
        <v>2092</v>
      </c>
      <c r="N475" s="4"/>
      <c r="O475" s="2" t="s">
        <v>2091</v>
      </c>
      <c r="P475" s="2" t="s">
        <v>2091</v>
      </c>
      <c r="Q475" s="4">
        <v>0</v>
      </c>
      <c r="R475" s="2" t="s">
        <v>370</v>
      </c>
      <c r="S475" s="2" t="s">
        <v>371</v>
      </c>
      <c r="T475" s="2" t="s">
        <v>94</v>
      </c>
      <c r="U475" s="2" t="s">
        <v>604</v>
      </c>
      <c r="V475" s="2" t="s">
        <v>1018</v>
      </c>
      <c r="W475" s="4">
        <v>2</v>
      </c>
      <c r="X475" s="2" t="s">
        <v>2983</v>
      </c>
      <c r="Y475" s="4">
        <v>0</v>
      </c>
      <c r="Z475" s="4" t="s">
        <v>39</v>
      </c>
      <c r="AA475" s="2" t="s">
        <v>60</v>
      </c>
      <c r="AB475" s="2" t="s">
        <v>404</v>
      </c>
      <c r="AC475" s="2" t="s">
        <v>404</v>
      </c>
      <c r="AD475" s="4">
        <v>53</v>
      </c>
      <c r="AE475" s="2" t="s">
        <v>21</v>
      </c>
      <c r="AF475" s="2" t="s">
        <v>269</v>
      </c>
      <c r="AG475" s="2" t="s">
        <v>496</v>
      </c>
      <c r="AH475" s="2" t="s">
        <v>185</v>
      </c>
      <c r="AI475" s="2" t="s">
        <v>1081</v>
      </c>
      <c r="AJ475" s="4"/>
      <c r="AK475" s="2" t="s">
        <v>2087</v>
      </c>
      <c r="AL475" s="4"/>
      <c r="AN475" s="4"/>
      <c r="AP475" s="4"/>
      <c r="AQ475" s="4"/>
      <c r="AS475" s="4">
        <v>2</v>
      </c>
      <c r="AT475" s="4">
        <v>0</v>
      </c>
      <c r="AU475" s="4">
        <v>0</v>
      </c>
      <c r="AV475" s="4">
        <v>1</v>
      </c>
      <c r="AW475" s="4">
        <v>0</v>
      </c>
      <c r="AX475" s="4">
        <v>2</v>
      </c>
      <c r="AZ475" s="2" t="s">
        <v>60</v>
      </c>
    </row>
    <row r="476" spans="2:52" x14ac:dyDescent="0.15">
      <c r="B476" s="2" t="s">
        <v>337</v>
      </c>
      <c r="C476" s="2" t="s">
        <v>2093</v>
      </c>
      <c r="D476" s="2" t="s">
        <v>27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27</v>
      </c>
      <c r="H476" s="4" t="str">
        <f>VLOOKUP(G476,corpsSet!$B$5:$C$46,2,0)</f>
        <v>曹操</v>
      </c>
      <c r="I476" s="4" t="s">
        <v>17</v>
      </c>
      <c r="J476" s="4" t="str">
        <f>VLOOKUP(I476,citySet!$B$5:$C$46,2,0)</f>
        <v>许昌</v>
      </c>
      <c r="K476" s="2" t="s">
        <v>2094</v>
      </c>
      <c r="L476" s="2" t="s">
        <v>386</v>
      </c>
      <c r="N476" s="4"/>
      <c r="O476" s="2" t="s">
        <v>41</v>
      </c>
      <c r="P476" s="2" t="s">
        <v>41</v>
      </c>
      <c r="Q476" s="4">
        <v>0</v>
      </c>
      <c r="R476" s="2" t="s">
        <v>370</v>
      </c>
      <c r="S476" s="2" t="s">
        <v>435</v>
      </c>
      <c r="T476" s="2" t="s">
        <v>933</v>
      </c>
      <c r="U476" s="2" t="s">
        <v>425</v>
      </c>
      <c r="V476" s="2" t="s">
        <v>196</v>
      </c>
      <c r="W476" s="4">
        <v>1</v>
      </c>
      <c r="X476" s="2" t="s">
        <v>365</v>
      </c>
      <c r="Y476" s="4">
        <v>0</v>
      </c>
      <c r="Z476" s="4" t="s">
        <v>39</v>
      </c>
      <c r="AA476" s="2" t="s">
        <v>466</v>
      </c>
      <c r="AB476" s="2" t="s">
        <v>201</v>
      </c>
      <c r="AC476" s="2" t="s">
        <v>79</v>
      </c>
      <c r="AD476" s="4">
        <v>35</v>
      </c>
      <c r="AE476" s="2" t="s">
        <v>208</v>
      </c>
      <c r="AF476" s="2" t="s">
        <v>485</v>
      </c>
      <c r="AG476" s="2" t="s">
        <v>381</v>
      </c>
      <c r="AH476" s="2" t="s">
        <v>185</v>
      </c>
      <c r="AI476" s="2" t="s">
        <v>1149</v>
      </c>
      <c r="AJ476" s="4"/>
      <c r="AL476" s="4"/>
      <c r="AN476" s="4"/>
      <c r="AP476" s="4"/>
      <c r="AQ476" s="4"/>
      <c r="AS476" s="4">
        <v>1</v>
      </c>
      <c r="AT476" s="4">
        <v>2</v>
      </c>
      <c r="AU476" s="4">
        <v>0</v>
      </c>
      <c r="AV476" s="4">
        <v>0</v>
      </c>
      <c r="AW476" s="4">
        <v>0</v>
      </c>
      <c r="AX476" s="4">
        <v>0</v>
      </c>
      <c r="AZ476" s="2" t="s">
        <v>60</v>
      </c>
    </row>
    <row r="477" spans="2:52" x14ac:dyDescent="0.15">
      <c r="B477" s="2" t="s">
        <v>1265</v>
      </c>
      <c r="C477" s="2" t="s">
        <v>2095</v>
      </c>
      <c r="D477" s="2" t="s">
        <v>20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20</v>
      </c>
      <c r="H477" s="4" t="str">
        <f>VLOOKUP(G477,corpsSet!$B$5:$C$46,2,0)</f>
        <v>公孙瓒</v>
      </c>
      <c r="I477" s="4" t="s">
        <v>35</v>
      </c>
      <c r="J477" s="4" t="str">
        <f>VLOOKUP(I477,citySet!$B$5:$C$46,2,0)</f>
        <v>北平</v>
      </c>
      <c r="K477" s="2" t="s">
        <v>2096</v>
      </c>
      <c r="L477" s="2" t="s">
        <v>2097</v>
      </c>
      <c r="N477" s="4"/>
      <c r="O477" s="2" t="s">
        <v>973</v>
      </c>
      <c r="P477" s="2" t="s">
        <v>973</v>
      </c>
      <c r="Q477" s="4">
        <v>0</v>
      </c>
      <c r="R477" s="2" t="s">
        <v>370</v>
      </c>
      <c r="S477" s="2" t="s">
        <v>435</v>
      </c>
      <c r="T477" s="2" t="s">
        <v>535</v>
      </c>
      <c r="U477" s="2" t="s">
        <v>479</v>
      </c>
      <c r="V477" s="2" t="s">
        <v>444</v>
      </c>
      <c r="W477" s="4">
        <v>1</v>
      </c>
      <c r="X477" s="2" t="s">
        <v>365</v>
      </c>
      <c r="Y477" s="4">
        <v>2</v>
      </c>
      <c r="Z477" s="4" t="s">
        <v>443</v>
      </c>
      <c r="AA477" s="2" t="s">
        <v>403</v>
      </c>
      <c r="AB477" s="2" t="s">
        <v>321</v>
      </c>
      <c r="AC477" s="2" t="s">
        <v>257</v>
      </c>
      <c r="AD477" s="4">
        <v>56</v>
      </c>
      <c r="AE477" s="2" t="s">
        <v>269</v>
      </c>
      <c r="AF477" s="2" t="s">
        <v>382</v>
      </c>
      <c r="AG477" s="2" t="s">
        <v>850</v>
      </c>
      <c r="AH477" s="2" t="s">
        <v>185</v>
      </c>
      <c r="AI477" s="2" t="s">
        <v>337</v>
      </c>
      <c r="AJ477" s="4"/>
      <c r="AL477" s="4"/>
      <c r="AN477" s="4"/>
      <c r="AP477" s="4"/>
      <c r="AQ477" s="4"/>
      <c r="AS477" s="4">
        <v>0</v>
      </c>
      <c r="AT477" s="4">
        <v>0</v>
      </c>
      <c r="AU477" s="4">
        <v>1</v>
      </c>
      <c r="AV477" s="4">
        <v>2</v>
      </c>
      <c r="AW477" s="4">
        <v>1</v>
      </c>
      <c r="AX477" s="4">
        <v>0</v>
      </c>
      <c r="AZ477" s="2" t="s">
        <v>60</v>
      </c>
    </row>
    <row r="478" spans="2:52" x14ac:dyDescent="0.15">
      <c r="B478" s="2" t="s">
        <v>1640</v>
      </c>
      <c r="C478" s="2" t="s">
        <v>2098</v>
      </c>
      <c r="D478" s="2" t="s">
        <v>220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220</v>
      </c>
      <c r="H478" s="4" t="str">
        <f>VLOOKUP(G478,corpsSet!$B$5:$C$46,2,0)</f>
        <v>锺会</v>
      </c>
      <c r="I478" s="4" t="s">
        <v>207</v>
      </c>
      <c r="J478" s="4" t="str">
        <f>VLOOKUP(I478,citySet!$B$5:$C$46,2,0)</f>
        <v>梓潼</v>
      </c>
      <c r="K478" s="2" t="s">
        <v>2096</v>
      </c>
      <c r="L478" s="2" t="s">
        <v>1032</v>
      </c>
      <c r="N478" s="4"/>
      <c r="O478" s="2" t="s">
        <v>1893</v>
      </c>
      <c r="P478" s="2" t="s">
        <v>1893</v>
      </c>
      <c r="Q478" s="4">
        <v>0</v>
      </c>
      <c r="R478" s="2" t="s">
        <v>370</v>
      </c>
      <c r="S478" s="2" t="s">
        <v>626</v>
      </c>
      <c r="T478" s="2" t="s">
        <v>379</v>
      </c>
      <c r="U478" s="2" t="s">
        <v>658</v>
      </c>
      <c r="V478" s="2" t="s">
        <v>98</v>
      </c>
      <c r="W478" s="4">
        <v>1</v>
      </c>
      <c r="X478" s="2" t="s">
        <v>365</v>
      </c>
      <c r="Y478" s="4">
        <v>1</v>
      </c>
      <c r="Z478" s="4" t="s">
        <v>1243</v>
      </c>
      <c r="AA478" s="2" t="s">
        <v>228</v>
      </c>
      <c r="AB478" s="2" t="s">
        <v>191</v>
      </c>
      <c r="AC478" s="2" t="s">
        <v>93</v>
      </c>
      <c r="AD478" s="4">
        <v>55</v>
      </c>
      <c r="AE478" s="2" t="s">
        <v>8</v>
      </c>
      <c r="AF478" s="2" t="s">
        <v>5</v>
      </c>
      <c r="AG478" s="2" t="s">
        <v>490</v>
      </c>
      <c r="AH478" s="2" t="s">
        <v>185</v>
      </c>
      <c r="AI478" s="2" t="s">
        <v>1640</v>
      </c>
      <c r="AJ478" s="4"/>
      <c r="AL478" s="4"/>
      <c r="AN478" s="4"/>
      <c r="AP478" s="4"/>
      <c r="AQ478" s="4"/>
      <c r="AS478" s="4">
        <v>1</v>
      </c>
      <c r="AT478" s="4">
        <v>0</v>
      </c>
      <c r="AU478" s="4">
        <v>0</v>
      </c>
      <c r="AV478" s="4">
        <v>1</v>
      </c>
      <c r="AW478" s="4">
        <v>1</v>
      </c>
      <c r="AX478" s="4">
        <v>0</v>
      </c>
      <c r="AZ478" s="2" t="s">
        <v>60</v>
      </c>
    </row>
    <row r="479" spans="2:52" x14ac:dyDescent="0.15">
      <c r="B479" s="2" t="s">
        <v>1649</v>
      </c>
      <c r="C479" s="2" t="s">
        <v>2099</v>
      </c>
      <c r="D479" s="2" t="s">
        <v>17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17</v>
      </c>
      <c r="H479" s="4" t="str">
        <f>VLOOKUP(G479,corpsSet!$B$5:$C$46,2,0)</f>
        <v>刘虞</v>
      </c>
      <c r="I479" s="4" t="s">
        <v>31</v>
      </c>
      <c r="J479" s="4" t="str">
        <f>VLOOKUP(I479,citySet!$B$5:$C$46,2,0)</f>
        <v>蓟</v>
      </c>
      <c r="K479" s="2" t="s">
        <v>2096</v>
      </c>
      <c r="L479" s="2" t="s">
        <v>2100</v>
      </c>
      <c r="M479" s="2" t="s">
        <v>2101</v>
      </c>
      <c r="N479" s="4"/>
      <c r="O479" s="2" t="s">
        <v>1897</v>
      </c>
      <c r="P479" s="2" t="s">
        <v>1897</v>
      </c>
      <c r="Q479" s="4">
        <v>0</v>
      </c>
      <c r="R479" s="2" t="s">
        <v>370</v>
      </c>
      <c r="S479" s="2" t="s">
        <v>438</v>
      </c>
      <c r="T479" s="2" t="s">
        <v>477</v>
      </c>
      <c r="U479" s="2" t="s">
        <v>675</v>
      </c>
      <c r="V479" s="2" t="s">
        <v>98</v>
      </c>
      <c r="W479" s="4">
        <v>1</v>
      </c>
      <c r="X479" s="2" t="s">
        <v>365</v>
      </c>
      <c r="Y479" s="4">
        <v>3</v>
      </c>
      <c r="Z479" s="4" t="s">
        <v>696</v>
      </c>
      <c r="AA479" s="2" t="s">
        <v>185</v>
      </c>
      <c r="AB479" s="2" t="s">
        <v>404</v>
      </c>
      <c r="AC479" s="2" t="s">
        <v>404</v>
      </c>
      <c r="AD479" s="4">
        <v>72</v>
      </c>
      <c r="AE479" s="2" t="s">
        <v>434</v>
      </c>
      <c r="AF479" s="2" t="s">
        <v>367</v>
      </c>
      <c r="AG479" s="2" t="s">
        <v>1416</v>
      </c>
      <c r="AH479" s="2" t="s">
        <v>185</v>
      </c>
      <c r="AI479" s="2" t="s">
        <v>1640</v>
      </c>
      <c r="AJ479" s="4"/>
      <c r="AL479" s="4"/>
      <c r="AN479" s="4"/>
      <c r="AP479" s="4"/>
      <c r="AQ479" s="4"/>
      <c r="AS479" s="4">
        <v>0</v>
      </c>
      <c r="AT479" s="4">
        <v>0</v>
      </c>
      <c r="AU479" s="4">
        <v>1</v>
      </c>
      <c r="AV479" s="4">
        <v>1</v>
      </c>
      <c r="AW479" s="4">
        <v>0</v>
      </c>
      <c r="AX479" s="4">
        <v>0</v>
      </c>
      <c r="AZ479" s="2" t="s">
        <v>60</v>
      </c>
    </row>
    <row r="480" spans="2:52" x14ac:dyDescent="0.15">
      <c r="B480" s="2" t="s">
        <v>1664</v>
      </c>
      <c r="C480" s="2" t="s">
        <v>3070</v>
      </c>
      <c r="D480" s="2" t="s">
        <v>30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30</v>
      </c>
      <c r="H480" s="4" t="str">
        <f>VLOOKUP(G480,corpsSet!$B$5:$C$46,2,0)</f>
        <v>袁绍</v>
      </c>
      <c r="I480" s="4" t="s">
        <v>37</v>
      </c>
      <c r="J480" s="4" t="str">
        <f>VLOOKUP(I480,citySet!$B$5:$C$46,2,0)</f>
        <v>南皮</v>
      </c>
      <c r="K480" s="2" t="s">
        <v>2096</v>
      </c>
      <c r="L480" s="2" t="s">
        <v>2102</v>
      </c>
      <c r="M480" s="2" t="s">
        <v>2103</v>
      </c>
      <c r="N480" s="4"/>
      <c r="O480" s="2" t="s">
        <v>561</v>
      </c>
      <c r="P480" s="2" t="s">
        <v>561</v>
      </c>
      <c r="Q480" s="4">
        <v>0</v>
      </c>
      <c r="R480" s="2" t="s">
        <v>370</v>
      </c>
      <c r="S480" s="2" t="s">
        <v>435</v>
      </c>
      <c r="T480" s="2" t="s">
        <v>394</v>
      </c>
      <c r="U480" s="2" t="s">
        <v>950</v>
      </c>
      <c r="V480" s="2" t="s">
        <v>195</v>
      </c>
      <c r="W480" s="4">
        <v>1</v>
      </c>
      <c r="X480" s="2" t="s">
        <v>365</v>
      </c>
      <c r="Y480" s="4">
        <v>8</v>
      </c>
      <c r="Z480" s="4" t="s">
        <v>3079</v>
      </c>
      <c r="AA480" s="2" t="s">
        <v>403</v>
      </c>
      <c r="AB480" s="2" t="s">
        <v>374</v>
      </c>
      <c r="AC480" s="2" t="s">
        <v>208</v>
      </c>
      <c r="AD480" s="4">
        <v>93</v>
      </c>
      <c r="AE480" s="2" t="s">
        <v>837</v>
      </c>
      <c r="AF480" s="2" t="s">
        <v>444</v>
      </c>
      <c r="AG480" s="2" t="s">
        <v>1412</v>
      </c>
      <c r="AH480" s="2" t="s">
        <v>185</v>
      </c>
      <c r="AI480" s="2" t="s">
        <v>1649</v>
      </c>
      <c r="AJ480" s="4"/>
      <c r="AL480" s="4"/>
      <c r="AN480" s="4"/>
      <c r="AP480" s="4"/>
      <c r="AQ480" s="4"/>
      <c r="AS480" s="4">
        <v>2</v>
      </c>
      <c r="AT480" s="4">
        <v>1</v>
      </c>
      <c r="AU480" s="4">
        <v>1</v>
      </c>
      <c r="AV480" s="4">
        <v>0</v>
      </c>
      <c r="AW480" s="4">
        <v>2</v>
      </c>
      <c r="AX480" s="4">
        <v>0</v>
      </c>
      <c r="AZ480" s="2" t="s">
        <v>60</v>
      </c>
    </row>
    <row r="481" spans="2:52" x14ac:dyDescent="0.15">
      <c r="B481" s="2" t="s">
        <v>1886</v>
      </c>
      <c r="C481" s="2" t="s">
        <v>2104</v>
      </c>
      <c r="D481" s="2" t="s">
        <v>27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27</v>
      </c>
      <c r="H481" s="4" t="str">
        <f>VLOOKUP(G481,corpsSet!$B$5:$C$46,2,0)</f>
        <v>曹操</v>
      </c>
      <c r="I481" s="4" t="s">
        <v>17</v>
      </c>
      <c r="J481" s="4" t="str">
        <f>VLOOKUP(I481,citySet!$B$5:$C$46,2,0)</f>
        <v>许昌</v>
      </c>
      <c r="K481" s="2" t="s">
        <v>2094</v>
      </c>
      <c r="L481" s="2" t="s">
        <v>2106</v>
      </c>
      <c r="N481" s="4"/>
      <c r="O481" s="2" t="s">
        <v>249</v>
      </c>
      <c r="P481" s="2" t="s">
        <v>249</v>
      </c>
      <c r="Q481" s="4">
        <v>0</v>
      </c>
      <c r="R481" s="2" t="s">
        <v>370</v>
      </c>
      <c r="S481" s="2" t="s">
        <v>83</v>
      </c>
      <c r="T481" s="2" t="s">
        <v>778</v>
      </c>
      <c r="U481" s="2" t="s">
        <v>887</v>
      </c>
      <c r="V481" s="2" t="s">
        <v>189</v>
      </c>
      <c r="W481" s="4">
        <v>1</v>
      </c>
      <c r="X481" s="2" t="s">
        <v>365</v>
      </c>
      <c r="Y481" s="4">
        <v>0</v>
      </c>
      <c r="Z481" s="4" t="s">
        <v>39</v>
      </c>
      <c r="AA481" s="2" t="s">
        <v>185</v>
      </c>
      <c r="AB481" s="2" t="s">
        <v>7</v>
      </c>
      <c r="AC481" s="2" t="s">
        <v>261</v>
      </c>
      <c r="AD481" s="4">
        <v>39</v>
      </c>
      <c r="AE481" s="2" t="s">
        <v>200</v>
      </c>
      <c r="AF481" s="2" t="s">
        <v>14</v>
      </c>
      <c r="AG481" s="2" t="s">
        <v>1136</v>
      </c>
      <c r="AH481" s="2" t="s">
        <v>185</v>
      </c>
      <c r="AI481" s="2" t="s">
        <v>1149</v>
      </c>
      <c r="AJ481" s="4" t="s">
        <v>337</v>
      </c>
      <c r="AK481" s="2" t="s">
        <v>2093</v>
      </c>
      <c r="AL481" s="4"/>
      <c r="AN481" s="4"/>
      <c r="AP481" s="4"/>
      <c r="AQ481" s="4"/>
      <c r="AS481" s="4">
        <v>0</v>
      </c>
      <c r="AT481" s="4">
        <v>2</v>
      </c>
      <c r="AU481" s="4">
        <v>0</v>
      </c>
      <c r="AV481" s="4">
        <v>0</v>
      </c>
      <c r="AW481" s="4">
        <v>0</v>
      </c>
      <c r="AX481" s="4">
        <v>0</v>
      </c>
      <c r="AZ481" s="2" t="s">
        <v>60</v>
      </c>
    </row>
    <row r="482" spans="2:52" x14ac:dyDescent="0.15">
      <c r="B482" s="2" t="s">
        <v>591</v>
      </c>
      <c r="C482" s="2" t="s">
        <v>82</v>
      </c>
      <c r="D482" s="2" t="s">
        <v>20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20</v>
      </c>
      <c r="H482" s="4" t="str">
        <f>VLOOKUP(G482,corpsSet!$B$5:$C$46,2,0)</f>
        <v>公孙瓒</v>
      </c>
      <c r="I482" s="4" t="s">
        <v>35</v>
      </c>
      <c r="J482" s="4" t="str">
        <f>VLOOKUP(I482,citySet!$B$5:$C$46,2,0)</f>
        <v>北平</v>
      </c>
      <c r="K482" s="2" t="s">
        <v>2096</v>
      </c>
      <c r="L482" s="2" t="s">
        <v>2107</v>
      </c>
      <c r="M482" s="2" t="s">
        <v>2108</v>
      </c>
      <c r="N482" s="4"/>
      <c r="O482" s="2" t="s">
        <v>1093</v>
      </c>
      <c r="P482" s="2" t="s">
        <v>1093</v>
      </c>
      <c r="Q482" s="4">
        <v>0</v>
      </c>
      <c r="R482" s="2" t="s">
        <v>370</v>
      </c>
      <c r="S482" s="2" t="s">
        <v>393</v>
      </c>
      <c r="T482" s="2" t="s">
        <v>579</v>
      </c>
      <c r="U482" s="2" t="s">
        <v>542</v>
      </c>
      <c r="V482" s="2" t="s">
        <v>213</v>
      </c>
      <c r="W482" s="4">
        <v>1</v>
      </c>
      <c r="X482" s="2" t="s">
        <v>365</v>
      </c>
      <c r="Y482" s="4">
        <v>5</v>
      </c>
      <c r="Z482" s="4" t="s">
        <v>575</v>
      </c>
      <c r="AA482" s="2" t="s">
        <v>403</v>
      </c>
      <c r="AB482" s="2" t="s">
        <v>329</v>
      </c>
      <c r="AC482" s="2" t="s">
        <v>374</v>
      </c>
      <c r="AD482" s="4">
        <v>80</v>
      </c>
      <c r="AE482" s="2" t="s">
        <v>431</v>
      </c>
      <c r="AF482" s="2" t="s">
        <v>481</v>
      </c>
      <c r="AG482" s="2" t="s">
        <v>1831</v>
      </c>
      <c r="AH482" s="2" t="s">
        <v>185</v>
      </c>
      <c r="AI482" s="2" t="s">
        <v>1886</v>
      </c>
      <c r="AJ482" s="4"/>
      <c r="AL482" s="4"/>
      <c r="AN482" s="4"/>
      <c r="AP482" s="4"/>
      <c r="AQ482" s="4"/>
      <c r="AS482" s="4">
        <v>1</v>
      </c>
      <c r="AT482" s="4">
        <v>1</v>
      </c>
      <c r="AU482" s="4">
        <v>2</v>
      </c>
      <c r="AV482" s="4">
        <v>2</v>
      </c>
      <c r="AW482" s="4">
        <v>2</v>
      </c>
      <c r="AX482" s="4">
        <v>0</v>
      </c>
      <c r="AZ482" s="2" t="s">
        <v>60</v>
      </c>
    </row>
    <row r="483" spans="2:52" x14ac:dyDescent="0.15">
      <c r="B483" s="2" t="s">
        <v>2111</v>
      </c>
      <c r="C483" s="2" t="s">
        <v>243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30</v>
      </c>
      <c r="J483" s="4" t="str">
        <f>VLOOKUP(I483,citySet!$B$5:$C$46,2,0)</f>
        <v>北海</v>
      </c>
      <c r="K483" s="2" t="s">
        <v>2109</v>
      </c>
      <c r="L483" s="2" t="s">
        <v>483</v>
      </c>
      <c r="M483" s="2" t="s">
        <v>2110</v>
      </c>
      <c r="N483" s="4"/>
      <c r="O483" s="2" t="s">
        <v>556</v>
      </c>
      <c r="P483" s="2" t="s">
        <v>556</v>
      </c>
      <c r="Q483" s="4">
        <v>0</v>
      </c>
      <c r="R483" s="2" t="s">
        <v>370</v>
      </c>
      <c r="S483" s="2" t="s">
        <v>437</v>
      </c>
      <c r="T483" s="2" t="s">
        <v>407</v>
      </c>
      <c r="U483" s="2" t="s">
        <v>651</v>
      </c>
      <c r="V483" s="2" t="s">
        <v>147</v>
      </c>
      <c r="W483" s="4">
        <v>2</v>
      </c>
      <c r="X483" s="2" t="s">
        <v>2983</v>
      </c>
      <c r="Y483" s="4">
        <v>0</v>
      </c>
      <c r="Z483" s="4" t="s">
        <v>39</v>
      </c>
      <c r="AA483" s="2" t="s">
        <v>60</v>
      </c>
      <c r="AB483" s="2" t="s">
        <v>208</v>
      </c>
      <c r="AC483" s="2" t="s">
        <v>237</v>
      </c>
      <c r="AD483" s="4">
        <v>71</v>
      </c>
      <c r="AE483" s="2" t="s">
        <v>434</v>
      </c>
      <c r="AF483" s="2" t="s">
        <v>444</v>
      </c>
      <c r="AG483" s="2" t="s">
        <v>597</v>
      </c>
      <c r="AH483" s="2" t="s">
        <v>185</v>
      </c>
      <c r="AI483" s="2" t="s">
        <v>591</v>
      </c>
      <c r="AJ483" s="4"/>
      <c r="AL483" s="4"/>
      <c r="AN483" s="4"/>
      <c r="AP483" s="4"/>
      <c r="AQ483" s="4"/>
      <c r="AS483" s="4">
        <v>0</v>
      </c>
      <c r="AT483" s="4">
        <v>0</v>
      </c>
      <c r="AU483" s="4">
        <v>1</v>
      </c>
      <c r="AV483" s="4">
        <v>0</v>
      </c>
      <c r="AW483" s="4">
        <v>1</v>
      </c>
      <c r="AX483" s="4">
        <v>1</v>
      </c>
      <c r="AZ483" s="2" t="s">
        <v>60</v>
      </c>
    </row>
    <row r="484" spans="2:52" x14ac:dyDescent="0.15">
      <c r="B484" s="2" t="s">
        <v>787</v>
      </c>
      <c r="C484" s="2" t="s">
        <v>2112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213</v>
      </c>
      <c r="J484" s="4" t="str">
        <f>VLOOKUP(I484,citySet!$B$5:$C$46,2,0)</f>
        <v>江陵</v>
      </c>
      <c r="K484" s="2" t="s">
        <v>2114</v>
      </c>
      <c r="L484" s="2" t="s">
        <v>587</v>
      </c>
      <c r="M484" s="2" t="s">
        <v>2115</v>
      </c>
      <c r="N484" s="4"/>
      <c r="O484" s="2" t="s">
        <v>957</v>
      </c>
      <c r="P484" s="2" t="s">
        <v>957</v>
      </c>
      <c r="Q484" s="4">
        <v>0</v>
      </c>
      <c r="R484" s="2" t="s">
        <v>370</v>
      </c>
      <c r="S484" s="2" t="s">
        <v>675</v>
      </c>
      <c r="T484" s="2" t="s">
        <v>585</v>
      </c>
      <c r="U484" s="2" t="s">
        <v>786</v>
      </c>
      <c r="V484" s="2" t="s">
        <v>431</v>
      </c>
      <c r="W484" s="4">
        <v>2</v>
      </c>
      <c r="X484" s="2" t="s">
        <v>2983</v>
      </c>
      <c r="Y484" s="4">
        <v>0</v>
      </c>
      <c r="Z484" s="4" t="s">
        <v>39</v>
      </c>
      <c r="AA484" s="2" t="s">
        <v>60</v>
      </c>
      <c r="AB484" s="2" t="s">
        <v>191</v>
      </c>
      <c r="AC484" s="2" t="s">
        <v>25</v>
      </c>
      <c r="AD484" s="4">
        <v>78</v>
      </c>
      <c r="AE484" s="2" t="s">
        <v>148</v>
      </c>
      <c r="AF484" s="2" t="s">
        <v>88</v>
      </c>
      <c r="AG484" s="2" t="s">
        <v>1133</v>
      </c>
      <c r="AH484" s="2" t="s">
        <v>185</v>
      </c>
      <c r="AI484" s="2" t="s">
        <v>787</v>
      </c>
      <c r="AJ484" s="4" t="s">
        <v>2117</v>
      </c>
      <c r="AK484" s="2" t="s">
        <v>2113</v>
      </c>
      <c r="AL484" s="4"/>
      <c r="AN484" s="4"/>
      <c r="AP484" s="4"/>
      <c r="AQ484" s="4"/>
      <c r="AS484" s="4">
        <v>0</v>
      </c>
      <c r="AT484" s="4">
        <v>0</v>
      </c>
      <c r="AU484" s="4">
        <v>1</v>
      </c>
      <c r="AV484" s="4">
        <v>0</v>
      </c>
      <c r="AW484" s="4">
        <v>1</v>
      </c>
      <c r="AX484" s="4">
        <v>0</v>
      </c>
      <c r="AZ484" s="2" t="s">
        <v>60</v>
      </c>
    </row>
    <row r="485" spans="2:52" x14ac:dyDescent="0.15">
      <c r="B485" s="2" t="s">
        <v>2117</v>
      </c>
      <c r="C485" s="2" t="s">
        <v>2113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213</v>
      </c>
      <c r="J485" s="4" t="str">
        <f>VLOOKUP(I485,citySet!$B$5:$C$46,2,0)</f>
        <v>江陵</v>
      </c>
      <c r="K485" s="2" t="s">
        <v>2114</v>
      </c>
      <c r="L485" s="2" t="s">
        <v>855</v>
      </c>
      <c r="M485" s="2" t="s">
        <v>2116</v>
      </c>
      <c r="N485" s="4"/>
      <c r="O485" s="2" t="s">
        <v>1924</v>
      </c>
      <c r="P485" s="2" t="s">
        <v>1924</v>
      </c>
      <c r="Q485" s="4">
        <v>0</v>
      </c>
      <c r="R485" s="2" t="s">
        <v>370</v>
      </c>
      <c r="S485" s="2" t="s">
        <v>544</v>
      </c>
      <c r="T485" s="2" t="s">
        <v>518</v>
      </c>
      <c r="U485" s="2" t="s">
        <v>702</v>
      </c>
      <c r="V485" s="2" t="s">
        <v>404</v>
      </c>
      <c r="W485" s="4">
        <v>2</v>
      </c>
      <c r="X485" s="2" t="s">
        <v>2983</v>
      </c>
      <c r="Y485" s="4">
        <v>0</v>
      </c>
      <c r="Z485" s="4" t="s">
        <v>39</v>
      </c>
      <c r="AA485" s="2" t="s">
        <v>60</v>
      </c>
      <c r="AB485" s="2" t="s">
        <v>432</v>
      </c>
      <c r="AC485" s="2" t="s">
        <v>219</v>
      </c>
      <c r="AD485" s="4">
        <v>74</v>
      </c>
      <c r="AE485" s="2" t="s">
        <v>837</v>
      </c>
      <c r="AF485" s="2" t="s">
        <v>434</v>
      </c>
      <c r="AG485" s="2" t="s">
        <v>1188</v>
      </c>
      <c r="AH485" s="2" t="s">
        <v>185</v>
      </c>
      <c r="AI485" s="2" t="s">
        <v>787</v>
      </c>
      <c r="AJ485" s="4"/>
      <c r="AL485" s="4"/>
      <c r="AN485" s="4"/>
      <c r="AP485" s="4"/>
      <c r="AQ485" s="4"/>
      <c r="AS485" s="4">
        <v>0</v>
      </c>
      <c r="AT485" s="4">
        <v>1</v>
      </c>
      <c r="AU485" s="4">
        <v>2</v>
      </c>
      <c r="AV485" s="4">
        <v>0</v>
      </c>
      <c r="AW485" s="4">
        <v>0</v>
      </c>
      <c r="AX485" s="4">
        <v>0</v>
      </c>
      <c r="AZ485" s="2" t="s">
        <v>60</v>
      </c>
    </row>
    <row r="486" spans="2:52" x14ac:dyDescent="0.15">
      <c r="B486" s="2" t="s">
        <v>1843</v>
      </c>
      <c r="C486" s="2" t="s">
        <v>23</v>
      </c>
      <c r="D486" s="2" t="s">
        <v>15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15</v>
      </c>
      <c r="H486" s="4" t="str">
        <f>VLOOKUP(G486,corpsSet!$B$5:$C$46,2,0)</f>
        <v>邓艾</v>
      </c>
      <c r="I486" s="4" t="s">
        <v>21</v>
      </c>
      <c r="J486" s="4" t="str">
        <f>VLOOKUP(I486,citySet!$B$5:$C$46,2,0)</f>
        <v>江州</v>
      </c>
      <c r="K486" s="2" t="s">
        <v>2120</v>
      </c>
      <c r="L486" s="2" t="s">
        <v>2121</v>
      </c>
      <c r="M486" s="2" t="s">
        <v>2122</v>
      </c>
      <c r="N486" s="4"/>
      <c r="O486" s="2" t="s">
        <v>2118</v>
      </c>
      <c r="P486" s="2" t="s">
        <v>2118</v>
      </c>
      <c r="Q486" s="4">
        <v>0</v>
      </c>
      <c r="R486" s="2" t="s">
        <v>370</v>
      </c>
      <c r="S486" s="2" t="s">
        <v>340</v>
      </c>
      <c r="T486" s="2" t="s">
        <v>425</v>
      </c>
      <c r="U486" s="2" t="s">
        <v>491</v>
      </c>
      <c r="V486" s="2" t="s">
        <v>237</v>
      </c>
      <c r="W486" s="4">
        <v>3</v>
      </c>
      <c r="X486" s="2" t="s">
        <v>2</v>
      </c>
      <c r="Y486" s="4">
        <v>0</v>
      </c>
      <c r="Z486" s="4" t="s">
        <v>39</v>
      </c>
      <c r="AA486" s="2" t="s">
        <v>185</v>
      </c>
      <c r="AB486" s="2" t="s">
        <v>175</v>
      </c>
      <c r="AC486" s="2" t="s">
        <v>837</v>
      </c>
      <c r="AD486" s="4">
        <v>89</v>
      </c>
      <c r="AE486" s="2" t="s">
        <v>235</v>
      </c>
      <c r="AF486" s="2" t="s">
        <v>153</v>
      </c>
      <c r="AG486" s="2" t="s">
        <v>1775</v>
      </c>
      <c r="AH486" s="2" t="s">
        <v>185</v>
      </c>
      <c r="AI486" s="2" t="s">
        <v>2117</v>
      </c>
      <c r="AJ486" s="4"/>
      <c r="AL486" s="4"/>
      <c r="AN486" s="4"/>
      <c r="AP486" s="4"/>
      <c r="AQ486" s="4"/>
      <c r="AS486" s="4">
        <v>3</v>
      </c>
      <c r="AT486" s="4">
        <v>2</v>
      </c>
      <c r="AU486" s="4">
        <v>2</v>
      </c>
      <c r="AV486" s="4">
        <v>2</v>
      </c>
      <c r="AW486" s="4">
        <v>3</v>
      </c>
      <c r="AX486" s="4">
        <v>0</v>
      </c>
      <c r="AZ486" s="2" t="s">
        <v>60</v>
      </c>
    </row>
    <row r="487" spans="2:52" x14ac:dyDescent="0.15">
      <c r="B487" s="2" t="s">
        <v>247</v>
      </c>
      <c r="C487" s="2" t="s">
        <v>3074</v>
      </c>
      <c r="D487" s="2" t="s">
        <v>15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15</v>
      </c>
      <c r="H487" s="4" t="str">
        <f>VLOOKUP(G487,corpsSet!$B$5:$C$46,2,0)</f>
        <v>邓艾</v>
      </c>
      <c r="I487" s="4" t="s">
        <v>21</v>
      </c>
      <c r="J487" s="4" t="str">
        <f>VLOOKUP(I487,citySet!$B$5:$C$46,2,0)</f>
        <v>江州</v>
      </c>
      <c r="K487" s="2" t="s">
        <v>2123</v>
      </c>
      <c r="L487" s="2" t="s">
        <v>1538</v>
      </c>
      <c r="N487" s="4"/>
      <c r="O487" s="2" t="s">
        <v>1380</v>
      </c>
      <c r="P487" s="2" t="s">
        <v>1380</v>
      </c>
      <c r="Q487" s="4">
        <v>0</v>
      </c>
      <c r="R487" s="2" t="s">
        <v>370</v>
      </c>
      <c r="S487" s="2" t="s">
        <v>646</v>
      </c>
      <c r="T487" s="2" t="s">
        <v>806</v>
      </c>
      <c r="U487" s="2" t="s">
        <v>491</v>
      </c>
      <c r="V487" s="2" t="s">
        <v>126</v>
      </c>
      <c r="W487" s="4">
        <v>1</v>
      </c>
      <c r="X487" s="2" t="s">
        <v>365</v>
      </c>
      <c r="Y487" s="4">
        <v>8</v>
      </c>
      <c r="Z487" s="4" t="s">
        <v>3079</v>
      </c>
      <c r="AA487" s="2" t="s">
        <v>185</v>
      </c>
      <c r="AB487" s="2" t="s">
        <v>95</v>
      </c>
      <c r="AC487" s="2" t="s">
        <v>193</v>
      </c>
      <c r="AD487" s="4">
        <v>77</v>
      </c>
      <c r="AE487" s="2" t="s">
        <v>486</v>
      </c>
      <c r="AF487" s="2" t="s">
        <v>191</v>
      </c>
      <c r="AG487" s="2" t="s">
        <v>977</v>
      </c>
      <c r="AH487" s="2" t="s">
        <v>185</v>
      </c>
      <c r="AI487" s="2" t="s">
        <v>1843</v>
      </c>
      <c r="AJ487" s="4"/>
      <c r="AL487" s="4"/>
      <c r="AN487" s="4"/>
      <c r="AP487" s="4"/>
      <c r="AQ487" s="4"/>
      <c r="AS487" s="4">
        <v>1</v>
      </c>
      <c r="AT487" s="4">
        <v>0</v>
      </c>
      <c r="AU487" s="4">
        <v>0</v>
      </c>
      <c r="AV487" s="4">
        <v>0</v>
      </c>
      <c r="AW487" s="4">
        <v>2</v>
      </c>
      <c r="AX487" s="4">
        <v>0</v>
      </c>
      <c r="AZ487" s="2" t="s">
        <v>60</v>
      </c>
    </row>
    <row r="488" spans="2:52" x14ac:dyDescent="0.15">
      <c r="B488" s="2" t="s">
        <v>2127</v>
      </c>
      <c r="C488" s="2" t="s">
        <v>2124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208</v>
      </c>
      <c r="J488" s="4" t="str">
        <f>VLOOKUP(I488,citySet!$B$5:$C$46,2,0)</f>
        <v>新野</v>
      </c>
      <c r="K488" s="2" t="s">
        <v>2114</v>
      </c>
      <c r="L488" s="2" t="s">
        <v>2125</v>
      </c>
      <c r="M488" s="2" t="s">
        <v>2126</v>
      </c>
      <c r="N488" s="4"/>
      <c r="O488" s="2" t="s">
        <v>945</v>
      </c>
      <c r="P488" s="2" t="s">
        <v>945</v>
      </c>
      <c r="Q488" s="4">
        <v>0</v>
      </c>
      <c r="R488" s="2" t="s">
        <v>370</v>
      </c>
      <c r="S488" s="2" t="s">
        <v>489</v>
      </c>
      <c r="T488" s="2" t="s">
        <v>380</v>
      </c>
      <c r="U488" s="2" t="s">
        <v>1014</v>
      </c>
      <c r="V488" s="2" t="s">
        <v>261</v>
      </c>
      <c r="W488" s="4">
        <v>2</v>
      </c>
      <c r="X488" s="2" t="s">
        <v>2983</v>
      </c>
      <c r="Y488" s="4">
        <v>0</v>
      </c>
      <c r="Z488" s="4" t="s">
        <v>39</v>
      </c>
      <c r="AA488" s="2" t="s">
        <v>60</v>
      </c>
      <c r="AB488" s="2" t="s">
        <v>257</v>
      </c>
      <c r="AC488" s="2" t="s">
        <v>486</v>
      </c>
      <c r="AD488" s="4">
        <v>76</v>
      </c>
      <c r="AE488" s="2" t="s">
        <v>431</v>
      </c>
      <c r="AF488" s="2" t="s">
        <v>404</v>
      </c>
      <c r="AG488" s="2" t="s">
        <v>511</v>
      </c>
      <c r="AH488" s="2" t="s">
        <v>185</v>
      </c>
      <c r="AI488" s="2" t="s">
        <v>247</v>
      </c>
      <c r="AJ488" s="4"/>
      <c r="AL488" s="4"/>
      <c r="AN488" s="4"/>
      <c r="AP488" s="4"/>
      <c r="AQ488" s="4"/>
      <c r="AS488" s="4">
        <v>0</v>
      </c>
      <c r="AT488" s="4">
        <v>0</v>
      </c>
      <c r="AU488" s="4">
        <v>2</v>
      </c>
      <c r="AV488" s="4">
        <v>0</v>
      </c>
      <c r="AW488" s="4">
        <v>2</v>
      </c>
      <c r="AX488" s="4">
        <v>0</v>
      </c>
      <c r="AZ488" s="2" t="s">
        <v>60</v>
      </c>
    </row>
    <row r="489" spans="2:52" x14ac:dyDescent="0.15">
      <c r="B489" s="2" t="s">
        <v>1286</v>
      </c>
      <c r="C489" s="2" t="s">
        <v>2128</v>
      </c>
      <c r="D489" s="2" t="s">
        <v>105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105</v>
      </c>
      <c r="H489" s="4" t="str">
        <f>VLOOKUP(G489,corpsSet!$B$5:$C$46,2,0)</f>
        <v>陶谦</v>
      </c>
      <c r="I489" s="4" t="s">
        <v>32</v>
      </c>
      <c r="J489" s="4" t="str">
        <f>VLOOKUP(I489,citySet!$B$5:$C$46,2,0)</f>
        <v>小沛</v>
      </c>
      <c r="K489" s="2" t="s">
        <v>2129</v>
      </c>
      <c r="L489" s="2" t="s">
        <v>1691</v>
      </c>
      <c r="M489" s="2" t="s">
        <v>2130</v>
      </c>
      <c r="N489" s="4"/>
      <c r="O489" s="2" t="s">
        <v>445</v>
      </c>
      <c r="P489" s="2" t="s">
        <v>445</v>
      </c>
      <c r="Q489" s="4">
        <v>0</v>
      </c>
      <c r="R489" s="2" t="s">
        <v>370</v>
      </c>
      <c r="S489" s="2" t="s">
        <v>435</v>
      </c>
      <c r="T489" s="2" t="s">
        <v>1035</v>
      </c>
      <c r="U489" s="2" t="s">
        <v>407</v>
      </c>
      <c r="V489" s="2" t="s">
        <v>554</v>
      </c>
      <c r="W489" s="4">
        <v>3</v>
      </c>
      <c r="X489" s="2" t="s">
        <v>2</v>
      </c>
      <c r="Y489" s="4">
        <v>0</v>
      </c>
      <c r="Z489" s="4" t="s">
        <v>39</v>
      </c>
      <c r="AA489" s="2" t="s">
        <v>185</v>
      </c>
      <c r="AB489" s="2" t="s">
        <v>7</v>
      </c>
      <c r="AC489" s="2" t="s">
        <v>204</v>
      </c>
      <c r="AD489" s="4">
        <v>63</v>
      </c>
      <c r="AE489" s="2" t="s">
        <v>382</v>
      </c>
      <c r="AF489" s="2" t="s">
        <v>422</v>
      </c>
      <c r="AG489" s="2" t="s">
        <v>597</v>
      </c>
      <c r="AH489" s="2" t="s">
        <v>185</v>
      </c>
      <c r="AI489" s="2" t="s">
        <v>2127</v>
      </c>
      <c r="AJ489" s="4"/>
      <c r="AL489" s="4"/>
      <c r="AN489" s="4"/>
      <c r="AP489" s="4"/>
      <c r="AQ489" s="4"/>
      <c r="AS489" s="4">
        <v>0</v>
      </c>
      <c r="AT489" s="4">
        <v>1</v>
      </c>
      <c r="AU489" s="4">
        <v>1</v>
      </c>
      <c r="AV489" s="4">
        <v>0</v>
      </c>
      <c r="AW489" s="4">
        <v>0</v>
      </c>
      <c r="AX489" s="4">
        <v>0</v>
      </c>
      <c r="AZ489" s="2" t="s">
        <v>60</v>
      </c>
    </row>
    <row r="490" spans="2:52" x14ac:dyDescent="0.15">
      <c r="B490" s="2" t="s">
        <v>1290</v>
      </c>
      <c r="C490" s="2" t="s">
        <v>2131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10</v>
      </c>
      <c r="J490" s="4" t="str">
        <f>VLOOKUP(I490,citySet!$B$5:$C$46,2,0)</f>
        <v>武威</v>
      </c>
      <c r="K490" s="2" t="s">
        <v>2120</v>
      </c>
      <c r="L490" s="2" t="s">
        <v>2132</v>
      </c>
      <c r="N490" s="4"/>
      <c r="O490" s="2" t="s">
        <v>1781</v>
      </c>
      <c r="P490" s="2" t="s">
        <v>1781</v>
      </c>
      <c r="Q490" s="4">
        <v>0</v>
      </c>
      <c r="R490" s="2" t="s">
        <v>370</v>
      </c>
      <c r="S490" s="2" t="s">
        <v>406</v>
      </c>
      <c r="T490" s="2" t="s">
        <v>438</v>
      </c>
      <c r="U490" s="2" t="s">
        <v>646</v>
      </c>
      <c r="V490" s="2" t="s">
        <v>3</v>
      </c>
      <c r="W490" s="4">
        <v>2</v>
      </c>
      <c r="X490" s="2" t="s">
        <v>2983</v>
      </c>
      <c r="Y490" s="4">
        <v>0</v>
      </c>
      <c r="Z490" s="4" t="s">
        <v>39</v>
      </c>
      <c r="AA490" s="2" t="s">
        <v>60</v>
      </c>
      <c r="AB490" s="2" t="s">
        <v>269</v>
      </c>
      <c r="AC490" s="2" t="s">
        <v>261</v>
      </c>
      <c r="AD490" s="4">
        <v>45</v>
      </c>
      <c r="AE490" s="2" t="s">
        <v>15</v>
      </c>
      <c r="AF490" s="2" t="s">
        <v>7</v>
      </c>
      <c r="AG490" s="2" t="s">
        <v>604</v>
      </c>
      <c r="AH490" s="2" t="s">
        <v>185</v>
      </c>
      <c r="AI490" s="2" t="s">
        <v>1753</v>
      </c>
      <c r="AJ490" s="4"/>
      <c r="AL490" s="4"/>
      <c r="AN490" s="4"/>
      <c r="AP490" s="4"/>
      <c r="AQ490" s="4"/>
      <c r="AS490" s="4">
        <v>1</v>
      </c>
      <c r="AT490" s="4">
        <v>0</v>
      </c>
      <c r="AU490" s="4">
        <v>1</v>
      </c>
      <c r="AV490" s="4">
        <v>0</v>
      </c>
      <c r="AW490" s="4">
        <v>1</v>
      </c>
      <c r="AX490" s="4">
        <v>0</v>
      </c>
      <c r="AZ490" s="2" t="s">
        <v>60</v>
      </c>
    </row>
    <row r="491" spans="2:52" x14ac:dyDescent="0.15">
      <c r="B491" s="2" t="s">
        <v>2136</v>
      </c>
      <c r="C491" s="2" t="s">
        <v>2133</v>
      </c>
      <c r="D491" s="2" t="s">
        <v>35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35</v>
      </c>
      <c r="H491" s="4" t="str">
        <f>VLOOKUP(G491,corpsSet!$B$5:$C$46,2,0)</f>
        <v>刘备</v>
      </c>
      <c r="I491" s="4" t="s">
        <v>213</v>
      </c>
      <c r="J491" s="4" t="str">
        <f>VLOOKUP(I491,citySet!$B$5:$C$46,2,0)</f>
        <v>江陵</v>
      </c>
      <c r="K491" s="2" t="s">
        <v>2120</v>
      </c>
      <c r="L491" s="2" t="s">
        <v>2134</v>
      </c>
      <c r="M491" s="2" t="s">
        <v>2135</v>
      </c>
      <c r="N491" s="4"/>
      <c r="O491" s="2" t="s">
        <v>372</v>
      </c>
      <c r="P491" s="2" t="s">
        <v>372</v>
      </c>
      <c r="Q491" s="4">
        <v>0</v>
      </c>
      <c r="R491" s="2" t="s">
        <v>370</v>
      </c>
      <c r="S491" s="2" t="s">
        <v>772</v>
      </c>
      <c r="T491" s="2" t="s">
        <v>981</v>
      </c>
      <c r="U491" s="2" t="s">
        <v>215</v>
      </c>
      <c r="V491" s="2" t="s">
        <v>261</v>
      </c>
      <c r="W491" s="4">
        <v>1</v>
      </c>
      <c r="X491" s="2" t="s">
        <v>365</v>
      </c>
      <c r="Y491" s="4">
        <v>0</v>
      </c>
      <c r="Z491" s="4" t="s">
        <v>39</v>
      </c>
      <c r="AA491" s="2" t="s">
        <v>185</v>
      </c>
      <c r="AB491" s="2" t="s">
        <v>261</v>
      </c>
      <c r="AC491" s="2" t="s">
        <v>14</v>
      </c>
      <c r="AD491" s="4">
        <v>81</v>
      </c>
      <c r="AE491" s="2" t="s">
        <v>256</v>
      </c>
      <c r="AF491" s="2" t="s">
        <v>123</v>
      </c>
      <c r="AG491" s="2" t="s">
        <v>1814</v>
      </c>
      <c r="AH491" s="2" t="s">
        <v>185</v>
      </c>
      <c r="AI491" s="2" t="s">
        <v>1290</v>
      </c>
      <c r="AJ491" s="4"/>
      <c r="AL491" s="4"/>
      <c r="AN491" s="4"/>
      <c r="AP491" s="4"/>
      <c r="AQ491" s="4"/>
      <c r="AS491" s="4">
        <v>1</v>
      </c>
      <c r="AT491" s="4">
        <v>0</v>
      </c>
      <c r="AU491" s="4">
        <v>2</v>
      </c>
      <c r="AV491" s="4">
        <v>1</v>
      </c>
      <c r="AW491" s="4">
        <v>2</v>
      </c>
      <c r="AX491" s="4">
        <v>0</v>
      </c>
      <c r="AZ491" s="2" t="s">
        <v>60</v>
      </c>
    </row>
    <row r="492" spans="2:52" x14ac:dyDescent="0.15">
      <c r="B492" s="2" t="s">
        <v>465</v>
      </c>
      <c r="C492" s="2" t="s">
        <v>2137</v>
      </c>
      <c r="D492" s="2" t="s">
        <v>226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226</v>
      </c>
      <c r="H492" s="4" t="str">
        <f>VLOOKUP(G492,corpsSet!$B$5:$C$46,2,0)</f>
        <v>毌丘俭</v>
      </c>
      <c r="I492" s="4" t="s">
        <v>24</v>
      </c>
      <c r="J492" s="4" t="str">
        <f>VLOOKUP(I492,citySet!$B$5:$C$46,2,0)</f>
        <v>寿春</v>
      </c>
      <c r="K492" s="2" t="s">
        <v>2138</v>
      </c>
      <c r="L492" s="2" t="s">
        <v>2139</v>
      </c>
      <c r="N492" s="4"/>
      <c r="O492" s="2" t="s">
        <v>1907</v>
      </c>
      <c r="P492" s="2" t="s">
        <v>1907</v>
      </c>
      <c r="Q492" s="4">
        <v>0</v>
      </c>
      <c r="R492" s="2" t="s">
        <v>370</v>
      </c>
      <c r="S492" s="2" t="s">
        <v>373</v>
      </c>
      <c r="T492" s="2" t="s">
        <v>327</v>
      </c>
      <c r="U492" s="2" t="s">
        <v>854</v>
      </c>
      <c r="V492" s="2" t="s">
        <v>1035</v>
      </c>
      <c r="W492" s="4">
        <v>1</v>
      </c>
      <c r="X492" s="2" t="s">
        <v>365</v>
      </c>
      <c r="Y492" s="4">
        <v>0</v>
      </c>
      <c r="Z492" s="4" t="s">
        <v>39</v>
      </c>
      <c r="AA492" s="2" t="s">
        <v>403</v>
      </c>
      <c r="AB492" s="2" t="s">
        <v>269</v>
      </c>
      <c r="AC492" s="2" t="s">
        <v>515</v>
      </c>
      <c r="AD492" s="4">
        <v>50</v>
      </c>
      <c r="AE492" s="2" t="s">
        <v>14</v>
      </c>
      <c r="AF492" s="2" t="s">
        <v>269</v>
      </c>
      <c r="AG492" s="2" t="s">
        <v>813</v>
      </c>
      <c r="AH492" s="2" t="s">
        <v>185</v>
      </c>
      <c r="AI492" s="2" t="s">
        <v>2136</v>
      </c>
      <c r="AJ492" s="4"/>
      <c r="AL492" s="4"/>
      <c r="AN492" s="4"/>
      <c r="AP492" s="4"/>
      <c r="AQ492" s="4"/>
      <c r="AS492" s="4">
        <v>2</v>
      </c>
      <c r="AT492" s="4">
        <v>0</v>
      </c>
      <c r="AU492" s="4">
        <v>1</v>
      </c>
      <c r="AV492" s="4">
        <v>0</v>
      </c>
      <c r="AW492" s="4">
        <v>0</v>
      </c>
      <c r="AX492" s="4">
        <v>2</v>
      </c>
      <c r="AZ492" s="2" t="s">
        <v>60</v>
      </c>
    </row>
    <row r="493" spans="2:52" x14ac:dyDescent="0.15">
      <c r="B493" s="2" t="s">
        <v>563</v>
      </c>
      <c r="C493" s="2" t="s">
        <v>2140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196</v>
      </c>
      <c r="J493" s="4" t="str">
        <f>VLOOKUP(I493,citySet!$B$5:$C$46,2,0)</f>
        <v>会稽</v>
      </c>
      <c r="K493" s="2" t="s">
        <v>2114</v>
      </c>
      <c r="L493" s="2" t="s">
        <v>2141</v>
      </c>
      <c r="M493" s="2" t="s">
        <v>2142</v>
      </c>
      <c r="N493" s="4"/>
      <c r="O493" s="2" t="s">
        <v>512</v>
      </c>
      <c r="P493" s="2" t="s">
        <v>512</v>
      </c>
      <c r="Q493" s="4">
        <v>0</v>
      </c>
      <c r="R493" s="2" t="s">
        <v>370</v>
      </c>
      <c r="S493" s="2" t="s">
        <v>438</v>
      </c>
      <c r="T493" s="2" t="s">
        <v>477</v>
      </c>
      <c r="U493" s="2" t="s">
        <v>332</v>
      </c>
      <c r="V493" s="2" t="s">
        <v>369</v>
      </c>
      <c r="W493" s="4">
        <v>2</v>
      </c>
      <c r="X493" s="2" t="s">
        <v>2983</v>
      </c>
      <c r="Y493" s="4">
        <v>0</v>
      </c>
      <c r="Z493" s="4" t="s">
        <v>39</v>
      </c>
      <c r="AA493" s="2" t="s">
        <v>60</v>
      </c>
      <c r="AB493" s="2" t="s">
        <v>374</v>
      </c>
      <c r="AC493" s="2" t="s">
        <v>256</v>
      </c>
      <c r="AD493" s="4">
        <v>50</v>
      </c>
      <c r="AE493" s="2" t="s">
        <v>414</v>
      </c>
      <c r="AF493" s="2" t="s">
        <v>93</v>
      </c>
      <c r="AG493" s="2" t="s">
        <v>464</v>
      </c>
      <c r="AH493" s="2" t="s">
        <v>185</v>
      </c>
      <c r="AI493" s="2" t="s">
        <v>465</v>
      </c>
      <c r="AJ493" s="4"/>
      <c r="AL493" s="4"/>
      <c r="AN493" s="4"/>
      <c r="AP493" s="4"/>
      <c r="AQ493" s="4"/>
      <c r="AS493" s="4">
        <v>2</v>
      </c>
      <c r="AT493" s="4">
        <v>2</v>
      </c>
      <c r="AU493" s="4">
        <v>1</v>
      </c>
      <c r="AV493" s="4">
        <v>0</v>
      </c>
      <c r="AW493" s="4">
        <v>1</v>
      </c>
      <c r="AX493" s="4">
        <v>3</v>
      </c>
      <c r="AZ493" s="2" t="s">
        <v>60</v>
      </c>
    </row>
    <row r="494" spans="2:52" x14ac:dyDescent="0.15">
      <c r="B494" s="2" t="s">
        <v>2145</v>
      </c>
      <c r="C494" s="2" t="s">
        <v>3105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103</v>
      </c>
      <c r="J494" s="4" t="str">
        <f>VLOOKUP(I494,citySet!$B$5:$C$46,2,0)</f>
        <v>宛</v>
      </c>
      <c r="K494" s="2" t="s">
        <v>2109</v>
      </c>
      <c r="L494" s="2" t="s">
        <v>2143</v>
      </c>
      <c r="M494" s="2" t="s">
        <v>2144</v>
      </c>
      <c r="N494" s="4"/>
      <c r="O494" s="2" t="s">
        <v>839</v>
      </c>
      <c r="P494" s="2" t="s">
        <v>839</v>
      </c>
      <c r="Q494" s="4">
        <v>0</v>
      </c>
      <c r="R494" s="2" t="s">
        <v>370</v>
      </c>
      <c r="S494" s="2" t="s">
        <v>861</v>
      </c>
      <c r="T494" s="2" t="s">
        <v>667</v>
      </c>
      <c r="U494" s="2" t="s">
        <v>1264</v>
      </c>
      <c r="V494" s="2" t="s">
        <v>221</v>
      </c>
      <c r="W494" s="4">
        <v>2</v>
      </c>
      <c r="X494" s="2" t="s">
        <v>2983</v>
      </c>
      <c r="Y494" s="4">
        <v>0</v>
      </c>
      <c r="Z494" s="4" t="s">
        <v>39</v>
      </c>
      <c r="AA494" s="2" t="s">
        <v>60</v>
      </c>
      <c r="AB494" s="2" t="s">
        <v>100</v>
      </c>
      <c r="AC494" s="2" t="s">
        <v>5</v>
      </c>
      <c r="AD494" s="4">
        <v>31</v>
      </c>
      <c r="AE494" s="2" t="s">
        <v>515</v>
      </c>
      <c r="AF494" s="2" t="s">
        <v>423</v>
      </c>
      <c r="AG494" s="2" t="s">
        <v>977</v>
      </c>
      <c r="AH494" s="2" t="s">
        <v>185</v>
      </c>
      <c r="AI494" s="2" t="s">
        <v>563</v>
      </c>
      <c r="AJ494" s="4"/>
      <c r="AL494" s="4"/>
      <c r="AN494" s="4"/>
      <c r="AP494" s="4"/>
      <c r="AQ494" s="4"/>
      <c r="AS494" s="4">
        <v>0</v>
      </c>
      <c r="AT494" s="4">
        <v>0</v>
      </c>
      <c r="AU494" s="4">
        <v>1</v>
      </c>
      <c r="AV494" s="4">
        <v>0</v>
      </c>
      <c r="AW494" s="4">
        <v>0</v>
      </c>
      <c r="AX494" s="4">
        <v>1</v>
      </c>
      <c r="AZ494" s="2" t="s">
        <v>60</v>
      </c>
    </row>
    <row r="495" spans="2:52" x14ac:dyDescent="0.15">
      <c r="B495" s="2" t="s">
        <v>517</v>
      </c>
      <c r="C495" s="2" t="s">
        <v>3106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189</v>
      </c>
      <c r="J495" s="4" t="str">
        <f>VLOOKUP(I495,citySet!$B$5:$C$46,2,0)</f>
        <v>建业</v>
      </c>
      <c r="K495" s="2" t="s">
        <v>2129</v>
      </c>
      <c r="L495" s="2" t="s">
        <v>655</v>
      </c>
      <c r="N495" s="4"/>
      <c r="O495" s="2" t="s">
        <v>1863</v>
      </c>
      <c r="P495" s="2" t="s">
        <v>1863</v>
      </c>
      <c r="Q495" s="4">
        <v>0</v>
      </c>
      <c r="R495" s="2" t="s">
        <v>370</v>
      </c>
      <c r="S495" s="2" t="s">
        <v>548</v>
      </c>
      <c r="T495" s="2" t="s">
        <v>843</v>
      </c>
      <c r="U495" s="2" t="s">
        <v>496</v>
      </c>
      <c r="V495" s="2" t="s">
        <v>134</v>
      </c>
      <c r="W495" s="4">
        <v>2</v>
      </c>
      <c r="X495" s="2" t="s">
        <v>2983</v>
      </c>
      <c r="Y495" s="4">
        <v>0</v>
      </c>
      <c r="Z495" s="4" t="s">
        <v>39</v>
      </c>
      <c r="AA495" s="2" t="s">
        <v>60</v>
      </c>
      <c r="AB495" s="2" t="s">
        <v>257</v>
      </c>
      <c r="AC495" s="2" t="s">
        <v>404</v>
      </c>
      <c r="AD495" s="4">
        <v>46</v>
      </c>
      <c r="AE495" s="2" t="s">
        <v>100</v>
      </c>
      <c r="AF495" s="2" t="s">
        <v>254</v>
      </c>
      <c r="AG495" s="2" t="s">
        <v>1092</v>
      </c>
      <c r="AH495" s="2" t="s">
        <v>185</v>
      </c>
      <c r="AI495" s="2" t="s">
        <v>2145</v>
      </c>
      <c r="AJ495" s="4"/>
      <c r="AL495" s="4"/>
      <c r="AN495" s="4"/>
      <c r="AP495" s="4"/>
      <c r="AQ495" s="4"/>
      <c r="AS495" s="4">
        <v>0</v>
      </c>
      <c r="AT495" s="4">
        <v>0</v>
      </c>
      <c r="AU495" s="4">
        <v>1</v>
      </c>
      <c r="AV495" s="4">
        <v>0</v>
      </c>
      <c r="AW495" s="4">
        <v>2</v>
      </c>
      <c r="AX495" s="4">
        <v>2</v>
      </c>
      <c r="AZ495" s="2" t="s">
        <v>60</v>
      </c>
    </row>
    <row r="496" spans="2:52" x14ac:dyDescent="0.15">
      <c r="B496" s="2" t="s">
        <v>731</v>
      </c>
      <c r="C496" s="2" t="s">
        <v>2147</v>
      </c>
      <c r="D496" s="2" t="s">
        <v>208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208</v>
      </c>
      <c r="H496" s="4" t="str">
        <f>VLOOKUP(G496,corpsSet!$B$5:$C$46,2,0)</f>
        <v>何进</v>
      </c>
      <c r="I496" s="4" t="s">
        <v>104</v>
      </c>
      <c r="J496" s="4" t="str">
        <f>VLOOKUP(I496,citySet!$B$5:$C$46,2,0)</f>
        <v>长安</v>
      </c>
      <c r="K496" s="2" t="s">
        <v>2114</v>
      </c>
      <c r="L496" s="2" t="s">
        <v>1950</v>
      </c>
      <c r="N496" s="4"/>
      <c r="O496" s="2" t="s">
        <v>1867</v>
      </c>
      <c r="P496" s="2" t="s">
        <v>1867</v>
      </c>
      <c r="Q496" s="4">
        <v>0</v>
      </c>
      <c r="R496" s="2" t="s">
        <v>370</v>
      </c>
      <c r="S496" s="2" t="s">
        <v>435</v>
      </c>
      <c r="T496" s="2" t="s">
        <v>535</v>
      </c>
      <c r="U496" s="2" t="s">
        <v>950</v>
      </c>
      <c r="V496" s="2" t="s">
        <v>78</v>
      </c>
      <c r="W496" s="4">
        <v>1</v>
      </c>
      <c r="X496" s="2" t="s">
        <v>365</v>
      </c>
      <c r="Y496" s="4">
        <v>6</v>
      </c>
      <c r="Z496" s="4" t="s">
        <v>614</v>
      </c>
      <c r="AA496" s="2" t="s">
        <v>185</v>
      </c>
      <c r="AB496" s="2" t="s">
        <v>201</v>
      </c>
      <c r="AC496" s="2" t="s">
        <v>19</v>
      </c>
      <c r="AD496" s="4">
        <v>65</v>
      </c>
      <c r="AE496" s="2" t="s">
        <v>382</v>
      </c>
      <c r="AF496" s="2" t="s">
        <v>481</v>
      </c>
      <c r="AG496" s="2" t="s">
        <v>832</v>
      </c>
      <c r="AH496" s="2" t="s">
        <v>185</v>
      </c>
      <c r="AI496" s="2" t="s">
        <v>517</v>
      </c>
      <c r="AJ496" s="4"/>
      <c r="AL496" s="4"/>
      <c r="AN496" s="4"/>
      <c r="AP496" s="4"/>
      <c r="AQ496" s="4"/>
      <c r="AS496" s="4">
        <v>0</v>
      </c>
      <c r="AT496" s="4">
        <v>0</v>
      </c>
      <c r="AU496" s="4">
        <v>0</v>
      </c>
      <c r="AV496" s="4">
        <v>1</v>
      </c>
      <c r="AW496" s="4">
        <v>1</v>
      </c>
      <c r="AX496" s="4">
        <v>0</v>
      </c>
      <c r="AZ496" s="2" t="s">
        <v>60</v>
      </c>
    </row>
    <row r="497" spans="2:52" x14ac:dyDescent="0.15">
      <c r="B497" s="2" t="s">
        <v>1028</v>
      </c>
      <c r="C497" s="2" t="s">
        <v>2148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20</v>
      </c>
      <c r="J497" s="4" t="str">
        <f>VLOOKUP(I497,citySet!$B$5:$C$46,2,0)</f>
        <v>濮阳</v>
      </c>
      <c r="K497" s="2" t="s">
        <v>2114</v>
      </c>
      <c r="L497" s="2" t="s">
        <v>387</v>
      </c>
      <c r="M497" s="2" t="s">
        <v>2149</v>
      </c>
      <c r="N497" s="4"/>
      <c r="O497" s="2" t="s">
        <v>919</v>
      </c>
      <c r="P497" s="2" t="s">
        <v>919</v>
      </c>
      <c r="Q497" s="4">
        <v>0</v>
      </c>
      <c r="R497" s="2" t="s">
        <v>370</v>
      </c>
      <c r="S497" s="2" t="s">
        <v>435</v>
      </c>
      <c r="T497" s="2" t="s">
        <v>824</v>
      </c>
      <c r="U497" s="2" t="s">
        <v>562</v>
      </c>
      <c r="V497" s="2" t="s">
        <v>107</v>
      </c>
      <c r="W497" s="4">
        <v>2</v>
      </c>
      <c r="X497" s="2" t="s">
        <v>2983</v>
      </c>
      <c r="Y497" s="4">
        <v>0</v>
      </c>
      <c r="Z497" s="4" t="s">
        <v>39</v>
      </c>
      <c r="AA497" s="2" t="s">
        <v>60</v>
      </c>
      <c r="AB497" s="2" t="s">
        <v>105</v>
      </c>
      <c r="AC497" s="2" t="s">
        <v>196</v>
      </c>
      <c r="AD497" s="4">
        <v>80</v>
      </c>
      <c r="AE497" s="2" t="s">
        <v>554</v>
      </c>
      <c r="AF497" s="2" t="s">
        <v>486</v>
      </c>
      <c r="AG497" s="2" t="s">
        <v>854</v>
      </c>
      <c r="AH497" s="2" t="s">
        <v>185</v>
      </c>
      <c r="AI497" s="2" t="s">
        <v>731</v>
      </c>
      <c r="AJ497" s="4"/>
      <c r="AL497" s="4"/>
      <c r="AN497" s="4"/>
      <c r="AP497" s="4"/>
      <c r="AQ497" s="4"/>
      <c r="AS497" s="4">
        <v>0</v>
      </c>
      <c r="AT497" s="4">
        <v>0</v>
      </c>
      <c r="AU497" s="4">
        <v>0</v>
      </c>
      <c r="AV497" s="4">
        <v>0</v>
      </c>
      <c r="AW497" s="4">
        <v>1</v>
      </c>
      <c r="AX497" s="4">
        <v>0</v>
      </c>
      <c r="AZ497" s="2" t="s">
        <v>60</v>
      </c>
    </row>
    <row r="498" spans="2:52" x14ac:dyDescent="0.15">
      <c r="B498" s="2" t="s">
        <v>1054</v>
      </c>
      <c r="C498" s="2" t="s">
        <v>1055</v>
      </c>
      <c r="D498" s="2" t="s">
        <v>36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36</v>
      </c>
      <c r="H498" s="4" t="str">
        <f>VLOOKUP(G498,corpsSet!$B$5:$C$46,2,0)</f>
        <v>董卓</v>
      </c>
      <c r="I498" s="4" t="s">
        <v>106</v>
      </c>
      <c r="J498" s="4" t="str">
        <f>VLOOKUP(I498,citySet!$B$5:$C$46,2,0)</f>
        <v>安定</v>
      </c>
      <c r="K498" s="2" t="s">
        <v>2114</v>
      </c>
      <c r="L498" s="2" t="s">
        <v>2151</v>
      </c>
      <c r="M498" s="2" t="s">
        <v>2152</v>
      </c>
      <c r="N498" s="4"/>
      <c r="O498" s="2" t="s">
        <v>321</v>
      </c>
      <c r="P498" s="2" t="s">
        <v>321</v>
      </c>
      <c r="Q498" s="4">
        <v>0</v>
      </c>
      <c r="R498" s="2" t="s">
        <v>370</v>
      </c>
      <c r="S498" s="2" t="s">
        <v>435</v>
      </c>
      <c r="T498" s="2" t="s">
        <v>664</v>
      </c>
      <c r="U498" s="2" t="s">
        <v>585</v>
      </c>
      <c r="V498" s="2" t="s">
        <v>27</v>
      </c>
      <c r="W498" s="4">
        <v>3</v>
      </c>
      <c r="X498" s="2" t="s">
        <v>2</v>
      </c>
      <c r="Y498" s="4">
        <v>0</v>
      </c>
      <c r="Z498" s="4" t="s">
        <v>39</v>
      </c>
      <c r="AA498" s="2" t="s">
        <v>185</v>
      </c>
      <c r="AB498" s="2" t="s">
        <v>367</v>
      </c>
      <c r="AC498" s="2" t="s">
        <v>837</v>
      </c>
      <c r="AD498" s="4">
        <v>69</v>
      </c>
      <c r="AE498" s="2" t="s">
        <v>105</v>
      </c>
      <c r="AF498" s="2" t="s">
        <v>226</v>
      </c>
      <c r="AG498" s="2" t="s">
        <v>446</v>
      </c>
      <c r="AH498" s="2" t="s">
        <v>185</v>
      </c>
      <c r="AI498" s="2" t="s">
        <v>1028</v>
      </c>
      <c r="AJ498" s="4"/>
      <c r="AK498" s="2" t="s">
        <v>2150</v>
      </c>
      <c r="AL498" s="4"/>
      <c r="AN498" s="4"/>
      <c r="AP498" s="4"/>
      <c r="AQ498" s="4"/>
      <c r="AS498" s="4">
        <v>0</v>
      </c>
      <c r="AT498" s="4">
        <v>0</v>
      </c>
      <c r="AU498" s="4">
        <v>2</v>
      </c>
      <c r="AV498" s="4">
        <v>2</v>
      </c>
      <c r="AW498" s="4">
        <v>0</v>
      </c>
      <c r="AX498" s="4">
        <v>0</v>
      </c>
      <c r="AZ498" s="2" t="s">
        <v>60</v>
      </c>
    </row>
    <row r="499" spans="2:52" x14ac:dyDescent="0.15">
      <c r="B499" s="2" t="s">
        <v>1249</v>
      </c>
      <c r="C499" s="2" t="s">
        <v>2153</v>
      </c>
      <c r="D499" s="2" t="s">
        <v>15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15</v>
      </c>
      <c r="H499" s="4" t="str">
        <f>VLOOKUP(G499,corpsSet!$B$5:$C$46,2,0)</f>
        <v>邓艾</v>
      </c>
      <c r="I499" s="4" t="s">
        <v>21</v>
      </c>
      <c r="J499" s="4" t="str">
        <f>VLOOKUP(I499,citySet!$B$5:$C$46,2,0)</f>
        <v>江州</v>
      </c>
      <c r="K499" s="2" t="s">
        <v>2120</v>
      </c>
      <c r="L499" s="2" t="s">
        <v>676</v>
      </c>
      <c r="N499" s="4"/>
      <c r="O499" s="2" t="s">
        <v>1914</v>
      </c>
      <c r="P499" s="2" t="s">
        <v>1914</v>
      </c>
      <c r="Q499" s="4">
        <v>0</v>
      </c>
      <c r="R499" s="2" t="s">
        <v>370</v>
      </c>
      <c r="S499" s="2" t="s">
        <v>717</v>
      </c>
      <c r="T499" s="2" t="s">
        <v>424</v>
      </c>
      <c r="U499" s="2" t="s">
        <v>491</v>
      </c>
      <c r="V499" s="2" t="s">
        <v>237</v>
      </c>
      <c r="W499" s="4">
        <v>1</v>
      </c>
      <c r="X499" s="2" t="s">
        <v>365</v>
      </c>
      <c r="Y499" s="4">
        <v>4</v>
      </c>
      <c r="Z499" s="4" t="s">
        <v>1091</v>
      </c>
      <c r="AA499" s="2" t="s">
        <v>134</v>
      </c>
      <c r="AB499" s="2" t="s">
        <v>374</v>
      </c>
      <c r="AC499" s="2" t="s">
        <v>256</v>
      </c>
      <c r="AD499" s="4">
        <v>69</v>
      </c>
      <c r="AE499" s="2" t="s">
        <v>254</v>
      </c>
      <c r="AF499" s="2" t="s">
        <v>515</v>
      </c>
      <c r="AG499" s="2" t="s">
        <v>1419</v>
      </c>
      <c r="AH499" s="2" t="s">
        <v>185</v>
      </c>
      <c r="AI499" s="2" t="s">
        <v>2117</v>
      </c>
      <c r="AJ499" s="4" t="s">
        <v>1843</v>
      </c>
      <c r="AK499" s="2" t="s">
        <v>23</v>
      </c>
      <c r="AL499" s="4"/>
      <c r="AN499" s="4"/>
      <c r="AP499" s="4"/>
      <c r="AQ499" s="4"/>
      <c r="AS499" s="4">
        <v>3</v>
      </c>
      <c r="AT499" s="4">
        <v>1</v>
      </c>
      <c r="AU499" s="4">
        <v>1</v>
      </c>
      <c r="AV499" s="4">
        <v>2</v>
      </c>
      <c r="AW499" s="4">
        <v>2</v>
      </c>
      <c r="AX499" s="4">
        <v>0</v>
      </c>
      <c r="AZ499" s="2" t="s">
        <v>60</v>
      </c>
    </row>
    <row r="500" spans="2:52" x14ac:dyDescent="0.15">
      <c r="B500" s="2" t="s">
        <v>2157</v>
      </c>
      <c r="C500" s="2" t="s">
        <v>2154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196</v>
      </c>
      <c r="J500" s="4" t="str">
        <f>VLOOKUP(I500,citySet!$B$5:$C$46,2,0)</f>
        <v>会稽</v>
      </c>
      <c r="K500" s="2" t="s">
        <v>2114</v>
      </c>
      <c r="L500" s="2" t="s">
        <v>2156</v>
      </c>
      <c r="N500" s="4"/>
      <c r="O500" s="2" t="s">
        <v>2155</v>
      </c>
      <c r="P500" s="2" t="s">
        <v>2155</v>
      </c>
      <c r="Q500" s="4">
        <v>0</v>
      </c>
      <c r="R500" s="2" t="s">
        <v>370</v>
      </c>
      <c r="S500" s="2" t="s">
        <v>977</v>
      </c>
      <c r="T500" s="2" t="s">
        <v>437</v>
      </c>
      <c r="U500" s="2" t="s">
        <v>597</v>
      </c>
      <c r="V500" s="2" t="s">
        <v>603</v>
      </c>
      <c r="W500" s="4">
        <v>2</v>
      </c>
      <c r="X500" s="2" t="s">
        <v>2983</v>
      </c>
      <c r="Y500" s="4">
        <v>0</v>
      </c>
      <c r="Z500" s="4" t="s">
        <v>39</v>
      </c>
      <c r="AA500" s="2" t="s">
        <v>60</v>
      </c>
      <c r="AB500" s="2" t="s">
        <v>103</v>
      </c>
      <c r="AC500" s="2" t="s">
        <v>41</v>
      </c>
      <c r="AD500" s="4">
        <v>56</v>
      </c>
      <c r="AE500" s="2" t="s">
        <v>515</v>
      </c>
      <c r="AF500" s="2" t="s">
        <v>269</v>
      </c>
      <c r="AG500" s="2" t="s">
        <v>379</v>
      </c>
      <c r="AH500" s="2" t="s">
        <v>185</v>
      </c>
      <c r="AI500" s="2" t="s">
        <v>1249</v>
      </c>
      <c r="AJ500" s="4"/>
      <c r="AL500" s="4"/>
      <c r="AN500" s="4"/>
      <c r="AP500" s="4"/>
      <c r="AQ500" s="4"/>
      <c r="AS500" s="4">
        <v>0</v>
      </c>
      <c r="AT500" s="4">
        <v>0</v>
      </c>
      <c r="AU500" s="4">
        <v>0</v>
      </c>
      <c r="AV500" s="4">
        <v>0</v>
      </c>
      <c r="AW500" s="4">
        <v>1</v>
      </c>
      <c r="AX500" s="4">
        <v>1</v>
      </c>
      <c r="AZ500" s="2" t="s">
        <v>60</v>
      </c>
    </row>
    <row r="501" spans="2:52" x14ac:dyDescent="0.15">
      <c r="B501" s="2" t="s">
        <v>2160</v>
      </c>
      <c r="C501" s="2" t="s">
        <v>2158</v>
      </c>
      <c r="D501" s="2" t="s">
        <v>200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200</v>
      </c>
      <c r="H501" s="4" t="str">
        <f>VLOOKUP(G501,corpsSet!$B$5:$C$46,2,0)</f>
        <v>孟获</v>
      </c>
      <c r="I501" s="4" t="s">
        <v>98</v>
      </c>
      <c r="J501" s="4" t="str">
        <f>VLOOKUP(I501,citySet!$B$5:$C$46,2,0)</f>
        <v>云南</v>
      </c>
      <c r="K501" s="2" t="s">
        <v>2114</v>
      </c>
      <c r="L501" s="2" t="s">
        <v>2159</v>
      </c>
      <c r="N501" s="4"/>
      <c r="O501" s="2" t="s">
        <v>904</v>
      </c>
      <c r="P501" s="2" t="s">
        <v>904</v>
      </c>
      <c r="Q501" s="4">
        <v>0</v>
      </c>
      <c r="R501" s="2" t="s">
        <v>370</v>
      </c>
      <c r="S501" s="2" t="s">
        <v>371</v>
      </c>
      <c r="T501" s="2" t="s">
        <v>393</v>
      </c>
      <c r="U501" s="2" t="s">
        <v>373</v>
      </c>
      <c r="V501" s="2" t="s">
        <v>423</v>
      </c>
      <c r="W501" s="4">
        <v>1</v>
      </c>
      <c r="X501" s="2" t="s">
        <v>365</v>
      </c>
      <c r="Y501" s="4">
        <v>0</v>
      </c>
      <c r="Z501" s="4" t="s">
        <v>39</v>
      </c>
      <c r="AA501" s="2" t="s">
        <v>228</v>
      </c>
      <c r="AB501" s="2" t="s">
        <v>321</v>
      </c>
      <c r="AC501" s="2" t="s">
        <v>261</v>
      </c>
      <c r="AD501" s="4">
        <v>31</v>
      </c>
      <c r="AE501" s="2" t="s">
        <v>226</v>
      </c>
      <c r="AF501" s="2" t="s">
        <v>233</v>
      </c>
      <c r="AG501" s="2" t="s">
        <v>447</v>
      </c>
      <c r="AH501" s="2" t="s">
        <v>185</v>
      </c>
      <c r="AI501" s="2" t="s">
        <v>2157</v>
      </c>
      <c r="AJ501" s="4"/>
      <c r="AL501" s="4"/>
      <c r="AN501" s="4"/>
      <c r="AP501" s="4"/>
      <c r="AQ501" s="4"/>
      <c r="AS501" s="4">
        <v>1</v>
      </c>
      <c r="AT501" s="4">
        <v>2</v>
      </c>
      <c r="AU501" s="4">
        <v>0</v>
      </c>
      <c r="AV501" s="4">
        <v>0</v>
      </c>
      <c r="AW501" s="4">
        <v>0</v>
      </c>
      <c r="AX501" s="4">
        <v>0</v>
      </c>
      <c r="AZ501" s="2" t="s">
        <v>60</v>
      </c>
    </row>
    <row r="502" spans="2:52" x14ac:dyDescent="0.15">
      <c r="B502" s="2" t="s">
        <v>318</v>
      </c>
      <c r="C502" s="2" t="s">
        <v>2161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32</v>
      </c>
      <c r="J502" s="4" t="str">
        <f>VLOOKUP(I502,citySet!$B$5:$C$46,2,0)</f>
        <v>小沛</v>
      </c>
      <c r="K502" s="2" t="s">
        <v>2138</v>
      </c>
      <c r="L502" s="2" t="s">
        <v>2163</v>
      </c>
      <c r="M502" s="2" t="s">
        <v>2164</v>
      </c>
      <c r="N502" s="4"/>
      <c r="O502" s="2" t="s">
        <v>2162</v>
      </c>
      <c r="P502" s="2" t="s">
        <v>2162</v>
      </c>
      <c r="Q502" s="4">
        <v>0</v>
      </c>
      <c r="R502" s="2" t="s">
        <v>370</v>
      </c>
      <c r="S502" s="2" t="s">
        <v>548</v>
      </c>
      <c r="T502" s="2" t="s">
        <v>887</v>
      </c>
      <c r="U502" s="2" t="s">
        <v>1085</v>
      </c>
      <c r="V502" s="2" t="s">
        <v>5</v>
      </c>
      <c r="W502" s="4">
        <v>2</v>
      </c>
      <c r="X502" s="2" t="s">
        <v>2983</v>
      </c>
      <c r="Y502" s="4">
        <v>0</v>
      </c>
      <c r="Z502" s="4" t="s">
        <v>39</v>
      </c>
      <c r="AA502" s="2" t="s">
        <v>60</v>
      </c>
      <c r="AB502" s="2" t="s">
        <v>445</v>
      </c>
      <c r="AC502" s="2" t="s">
        <v>367</v>
      </c>
      <c r="AD502" s="4">
        <v>59</v>
      </c>
      <c r="AE502" s="2" t="s">
        <v>19</v>
      </c>
      <c r="AF502" s="2" t="s">
        <v>485</v>
      </c>
      <c r="AG502" s="2" t="s">
        <v>800</v>
      </c>
      <c r="AH502" s="2" t="s">
        <v>185</v>
      </c>
      <c r="AI502" s="2" t="s">
        <v>2160</v>
      </c>
      <c r="AJ502" s="4"/>
      <c r="AL502" s="4"/>
      <c r="AN502" s="4"/>
      <c r="AP502" s="4"/>
      <c r="AQ502" s="4"/>
      <c r="AS502" s="4">
        <v>1</v>
      </c>
      <c r="AT502" s="4">
        <v>0</v>
      </c>
      <c r="AU502" s="4">
        <v>1</v>
      </c>
      <c r="AV502" s="4">
        <v>1</v>
      </c>
      <c r="AW502" s="4">
        <v>2</v>
      </c>
      <c r="AX502" s="4">
        <v>2</v>
      </c>
      <c r="AZ502" s="2" t="s">
        <v>60</v>
      </c>
    </row>
    <row r="503" spans="2:52" x14ac:dyDescent="0.15">
      <c r="B503" s="2" t="s">
        <v>2168</v>
      </c>
      <c r="C503" s="2" t="s">
        <v>2165</v>
      </c>
      <c r="D503" s="2" t="s">
        <v>36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36</v>
      </c>
      <c r="H503" s="4" t="str">
        <f>VLOOKUP(G503,corpsSet!$B$5:$C$46,2,0)</f>
        <v>董卓</v>
      </c>
      <c r="I503" s="4" t="s">
        <v>106</v>
      </c>
      <c r="J503" s="4" t="str">
        <f>VLOOKUP(I503,citySet!$B$5:$C$46,2,0)</f>
        <v>安定</v>
      </c>
      <c r="K503" s="2" t="s">
        <v>2114</v>
      </c>
      <c r="L503" s="2" t="s">
        <v>2166</v>
      </c>
      <c r="M503" s="2" t="s">
        <v>2167</v>
      </c>
      <c r="N503" s="4"/>
      <c r="O503" s="2" t="s">
        <v>1917</v>
      </c>
      <c r="P503" s="2" t="s">
        <v>1917</v>
      </c>
      <c r="Q503" s="4">
        <v>0</v>
      </c>
      <c r="R503" s="2" t="s">
        <v>370</v>
      </c>
      <c r="S503" s="2" t="s">
        <v>435</v>
      </c>
      <c r="T503" s="2" t="s">
        <v>1007</v>
      </c>
      <c r="U503" s="2" t="s">
        <v>585</v>
      </c>
      <c r="V503" s="2" t="s">
        <v>27</v>
      </c>
      <c r="W503" s="4">
        <v>1</v>
      </c>
      <c r="X503" s="2" t="s">
        <v>365</v>
      </c>
      <c r="Y503" s="4">
        <v>2</v>
      </c>
      <c r="Z503" s="4" t="s">
        <v>443</v>
      </c>
      <c r="AA503" s="2" t="s">
        <v>134</v>
      </c>
      <c r="AB503" s="2" t="s">
        <v>233</v>
      </c>
      <c r="AC503" s="2" t="s">
        <v>93</v>
      </c>
      <c r="AD503" s="4">
        <v>25</v>
      </c>
      <c r="AE503" s="2" t="s">
        <v>20</v>
      </c>
      <c r="AF503" s="2" t="s">
        <v>189</v>
      </c>
      <c r="AG503" s="2" t="s">
        <v>477</v>
      </c>
      <c r="AH503" s="2" t="s">
        <v>185</v>
      </c>
      <c r="AI503" s="2" t="s">
        <v>1028</v>
      </c>
      <c r="AJ503" s="4"/>
      <c r="AK503" s="2" t="s">
        <v>2150</v>
      </c>
      <c r="AL503" s="4"/>
      <c r="AN503" s="4"/>
      <c r="AP503" s="4"/>
      <c r="AQ503" s="4"/>
      <c r="AS503" s="4">
        <v>0</v>
      </c>
      <c r="AT503" s="4">
        <v>0</v>
      </c>
      <c r="AU503" s="4">
        <v>0</v>
      </c>
      <c r="AV503" s="4">
        <v>1</v>
      </c>
      <c r="AW503" s="4">
        <v>0</v>
      </c>
      <c r="AX503" s="4">
        <v>0</v>
      </c>
      <c r="AZ503" s="2" t="s">
        <v>60</v>
      </c>
    </row>
    <row r="504" spans="2:52" x14ac:dyDescent="0.15">
      <c r="B504" s="2" t="s">
        <v>127</v>
      </c>
      <c r="C504" s="2" t="s">
        <v>2169</v>
      </c>
      <c r="D504" s="2" t="s">
        <v>25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25</v>
      </c>
      <c r="H504" s="4" t="str">
        <f>VLOOKUP(G504,corpsSet!$B$5:$C$46,2,0)</f>
        <v>张角</v>
      </c>
      <c r="I504" s="4" t="s">
        <v>20</v>
      </c>
      <c r="J504" s="4" t="str">
        <f>VLOOKUP(I504,citySet!$B$5:$C$46,2,0)</f>
        <v>濮阳</v>
      </c>
      <c r="K504" s="2" t="s">
        <v>2120</v>
      </c>
      <c r="L504" s="2" t="s">
        <v>1750</v>
      </c>
      <c r="N504" s="4"/>
      <c r="O504" s="2" t="s">
        <v>1172</v>
      </c>
      <c r="P504" s="2" t="s">
        <v>1172</v>
      </c>
      <c r="Q504" s="4">
        <v>0</v>
      </c>
      <c r="R504" s="2" t="s">
        <v>370</v>
      </c>
      <c r="S504" s="2" t="s">
        <v>435</v>
      </c>
      <c r="T504" s="2" t="s">
        <v>719</v>
      </c>
      <c r="U504" s="2" t="s">
        <v>435</v>
      </c>
      <c r="V504" s="2" t="s">
        <v>34</v>
      </c>
      <c r="W504" s="4">
        <v>1</v>
      </c>
      <c r="X504" s="2" t="s">
        <v>365</v>
      </c>
      <c r="Y504" s="4">
        <v>0</v>
      </c>
      <c r="Z504" s="4" t="s">
        <v>39</v>
      </c>
      <c r="AA504" s="2" t="s">
        <v>185</v>
      </c>
      <c r="AB504" s="2" t="s">
        <v>269</v>
      </c>
      <c r="AC504" s="2" t="s">
        <v>481</v>
      </c>
      <c r="AD504" s="4">
        <v>29</v>
      </c>
      <c r="AE504" s="2" t="s">
        <v>103</v>
      </c>
      <c r="AF504" s="2" t="s">
        <v>25</v>
      </c>
      <c r="AG504" s="2" t="s">
        <v>685</v>
      </c>
      <c r="AH504" s="2" t="s">
        <v>185</v>
      </c>
      <c r="AI504" s="2" t="s">
        <v>2168</v>
      </c>
      <c r="AJ504" s="4"/>
      <c r="AL504" s="4"/>
      <c r="AN504" s="4"/>
      <c r="AP504" s="4"/>
      <c r="AQ504" s="4"/>
      <c r="AS504" s="4">
        <v>1</v>
      </c>
      <c r="AT504" s="4">
        <v>0</v>
      </c>
      <c r="AU504" s="4">
        <v>0</v>
      </c>
      <c r="AV504" s="4">
        <v>2</v>
      </c>
      <c r="AW504" s="4">
        <v>0</v>
      </c>
      <c r="AX504" s="4">
        <v>0</v>
      </c>
      <c r="AZ504" s="2" t="s">
        <v>60</v>
      </c>
    </row>
    <row r="505" spans="2:52" x14ac:dyDescent="0.15">
      <c r="B505" s="2" t="s">
        <v>2176</v>
      </c>
      <c r="C505" s="2" t="s">
        <v>2171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104</v>
      </c>
      <c r="J505" s="4" t="str">
        <f>VLOOKUP(I505,citySet!$B$5:$C$46,2,0)</f>
        <v>长安</v>
      </c>
      <c r="K505" s="2" t="s">
        <v>2173</v>
      </c>
      <c r="L505" s="2" t="s">
        <v>2174</v>
      </c>
      <c r="M505" s="2" t="s">
        <v>2175</v>
      </c>
      <c r="N505" s="4"/>
      <c r="O505" s="2" t="s">
        <v>2172</v>
      </c>
      <c r="P505" s="2" t="s">
        <v>2172</v>
      </c>
      <c r="Q505" s="4">
        <v>0</v>
      </c>
      <c r="R505" s="2" t="s">
        <v>370</v>
      </c>
      <c r="S505" s="2" t="s">
        <v>435</v>
      </c>
      <c r="T505" s="2" t="s">
        <v>478</v>
      </c>
      <c r="U505" s="2" t="s">
        <v>633</v>
      </c>
      <c r="V505" s="2" t="s">
        <v>5</v>
      </c>
      <c r="W505" s="4">
        <v>2</v>
      </c>
      <c r="X505" s="2" t="s">
        <v>2983</v>
      </c>
      <c r="Y505" s="4">
        <v>0</v>
      </c>
      <c r="Z505" s="4" t="s">
        <v>39</v>
      </c>
      <c r="AA505" s="2" t="s">
        <v>60</v>
      </c>
      <c r="AB505" s="2" t="s">
        <v>404</v>
      </c>
      <c r="AC505" s="2" t="s">
        <v>5</v>
      </c>
      <c r="AD505" s="4">
        <v>74</v>
      </c>
      <c r="AE505" s="2" t="s">
        <v>837</v>
      </c>
      <c r="AF505" s="2" t="s">
        <v>434</v>
      </c>
      <c r="AG505" s="2" t="s">
        <v>596</v>
      </c>
      <c r="AH505" s="2" t="s">
        <v>185</v>
      </c>
      <c r="AI505" s="2" t="s">
        <v>127</v>
      </c>
      <c r="AJ505" s="4"/>
      <c r="AL505" s="4"/>
      <c r="AN505" s="4"/>
      <c r="AP505" s="4"/>
      <c r="AQ505" s="4"/>
      <c r="AS505" s="4">
        <v>0</v>
      </c>
      <c r="AT505" s="4">
        <v>0</v>
      </c>
      <c r="AU505" s="4">
        <v>1</v>
      </c>
      <c r="AV505" s="4">
        <v>0</v>
      </c>
      <c r="AW505" s="4">
        <v>2</v>
      </c>
      <c r="AX505" s="4">
        <v>1</v>
      </c>
      <c r="AZ505" s="2" t="s">
        <v>60</v>
      </c>
    </row>
    <row r="506" spans="2:52" x14ac:dyDescent="0.15">
      <c r="B506" s="2" t="s">
        <v>1818</v>
      </c>
      <c r="C506" s="2" t="s">
        <v>2177</v>
      </c>
      <c r="D506" s="2" t="s">
        <v>18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18</v>
      </c>
      <c r="H506" s="4" t="str">
        <f>VLOOKUP(G506,corpsSet!$B$5:$C$46,2,0)</f>
        <v>司马懿</v>
      </c>
      <c r="I506" s="4" t="s">
        <v>18</v>
      </c>
      <c r="J506" s="4" t="str">
        <f>VLOOKUP(I506,citySet!$B$5:$C$46,2,0)</f>
        <v>洛阳</v>
      </c>
      <c r="K506" s="2" t="s">
        <v>2173</v>
      </c>
      <c r="L506" s="2" t="s">
        <v>2178</v>
      </c>
      <c r="M506" s="2" t="s">
        <v>2179</v>
      </c>
      <c r="N506" s="4"/>
      <c r="O506" s="2" t="s">
        <v>564</v>
      </c>
      <c r="P506" s="2" t="s">
        <v>564</v>
      </c>
      <c r="Q506" s="4">
        <v>0</v>
      </c>
      <c r="R506" s="2" t="s">
        <v>370</v>
      </c>
      <c r="S506" s="2" t="s">
        <v>1136</v>
      </c>
      <c r="T506" s="2" t="s">
        <v>512</v>
      </c>
      <c r="U506" s="2" t="s">
        <v>893</v>
      </c>
      <c r="V506" s="2" t="s">
        <v>5</v>
      </c>
      <c r="W506" s="4">
        <v>1</v>
      </c>
      <c r="X506" s="2" t="s">
        <v>365</v>
      </c>
      <c r="Y506" s="4">
        <v>3</v>
      </c>
      <c r="Z506" s="4" t="s">
        <v>696</v>
      </c>
      <c r="AA506" s="2" t="s">
        <v>185</v>
      </c>
      <c r="AB506" s="2" t="s">
        <v>256</v>
      </c>
      <c r="AC506" s="2" t="s">
        <v>119</v>
      </c>
      <c r="AD506" s="4">
        <v>85</v>
      </c>
      <c r="AE506" s="2" t="s">
        <v>329</v>
      </c>
      <c r="AF506" s="2" t="s">
        <v>235</v>
      </c>
      <c r="AG506" s="2" t="s">
        <v>710</v>
      </c>
      <c r="AH506" s="2" t="s">
        <v>185</v>
      </c>
      <c r="AI506" s="2" t="s">
        <v>127</v>
      </c>
      <c r="AJ506" s="4"/>
      <c r="AL506" s="4"/>
      <c r="AN506" s="4"/>
      <c r="AP506" s="4"/>
      <c r="AQ506" s="4"/>
      <c r="AS506" s="4">
        <v>2</v>
      </c>
      <c r="AT506" s="4">
        <v>1</v>
      </c>
      <c r="AU506" s="4">
        <v>3</v>
      </c>
      <c r="AV506" s="4">
        <v>0</v>
      </c>
      <c r="AW506" s="4">
        <v>3</v>
      </c>
      <c r="AX506" s="4">
        <v>3</v>
      </c>
      <c r="AZ506" s="2" t="s">
        <v>60</v>
      </c>
    </row>
    <row r="507" spans="2:52" x14ac:dyDescent="0.15">
      <c r="B507" s="2" t="s">
        <v>317</v>
      </c>
      <c r="C507" s="2" t="s">
        <v>3107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107</v>
      </c>
      <c r="J507" s="4" t="str">
        <f>VLOOKUP(I507,citySet!$B$5:$C$46,2,0)</f>
        <v>天水</v>
      </c>
      <c r="K507" s="2" t="s">
        <v>2181</v>
      </c>
      <c r="L507" s="2" t="s">
        <v>2182</v>
      </c>
      <c r="N507" s="4"/>
      <c r="O507" s="2" t="s">
        <v>2180</v>
      </c>
      <c r="P507" s="2" t="s">
        <v>2180</v>
      </c>
      <c r="Q507" s="4">
        <v>0</v>
      </c>
      <c r="R507" s="2" t="s">
        <v>370</v>
      </c>
      <c r="S507" s="2" t="s">
        <v>548</v>
      </c>
      <c r="T507" s="2" t="s">
        <v>609</v>
      </c>
      <c r="U507" s="2" t="s">
        <v>491</v>
      </c>
      <c r="V507" s="2" t="s">
        <v>261</v>
      </c>
      <c r="W507" s="4">
        <v>2</v>
      </c>
      <c r="X507" s="2" t="s">
        <v>2983</v>
      </c>
      <c r="Y507" s="4">
        <v>0</v>
      </c>
      <c r="Z507" s="4" t="s">
        <v>39</v>
      </c>
      <c r="AA507" s="2" t="s">
        <v>60</v>
      </c>
      <c r="AB507" s="2" t="s">
        <v>445</v>
      </c>
      <c r="AC507" s="2" t="s">
        <v>454</v>
      </c>
      <c r="AD507" s="4">
        <v>72</v>
      </c>
      <c r="AE507" s="2" t="s">
        <v>100</v>
      </c>
      <c r="AF507" s="2" t="s">
        <v>14</v>
      </c>
      <c r="AG507" s="2" t="s">
        <v>68</v>
      </c>
      <c r="AH507" s="2" t="s">
        <v>185</v>
      </c>
      <c r="AI507" s="2" t="s">
        <v>1818</v>
      </c>
      <c r="AJ507" s="4"/>
      <c r="AL507" s="4"/>
      <c r="AN507" s="4"/>
      <c r="AP507" s="4"/>
      <c r="AQ507" s="4"/>
      <c r="AS507" s="4">
        <v>0</v>
      </c>
      <c r="AT507" s="4">
        <v>0</v>
      </c>
      <c r="AU507" s="4">
        <v>0</v>
      </c>
      <c r="AV507" s="4">
        <v>2</v>
      </c>
      <c r="AW507" s="4">
        <v>0</v>
      </c>
      <c r="AX507" s="4">
        <v>0</v>
      </c>
      <c r="AZ507" s="2" t="s">
        <v>60</v>
      </c>
    </row>
    <row r="508" spans="2:52" x14ac:dyDescent="0.15">
      <c r="B508" s="2" t="s">
        <v>990</v>
      </c>
      <c r="C508" s="2" t="s">
        <v>2183</v>
      </c>
      <c r="D508" s="2" t="s">
        <v>25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25</v>
      </c>
      <c r="H508" s="4" t="str">
        <f>VLOOKUP(G508,corpsSet!$B$5:$C$46,2,0)</f>
        <v>张角</v>
      </c>
      <c r="I508" s="4" t="s">
        <v>20</v>
      </c>
      <c r="J508" s="4" t="str">
        <f>VLOOKUP(I508,citySet!$B$5:$C$46,2,0)</f>
        <v>濮阳</v>
      </c>
      <c r="K508" s="2" t="s">
        <v>2184</v>
      </c>
      <c r="L508" s="2" t="s">
        <v>2185</v>
      </c>
      <c r="N508" s="4"/>
      <c r="O508" s="2" t="s">
        <v>447</v>
      </c>
      <c r="P508" s="2" t="s">
        <v>447</v>
      </c>
      <c r="Q508" s="4">
        <v>0</v>
      </c>
      <c r="R508" s="2" t="s">
        <v>370</v>
      </c>
      <c r="S508" s="2" t="s">
        <v>435</v>
      </c>
      <c r="T508" s="2" t="s">
        <v>477</v>
      </c>
      <c r="U508" s="2" t="s">
        <v>950</v>
      </c>
      <c r="V508" s="2" t="s">
        <v>321</v>
      </c>
      <c r="W508" s="4">
        <v>1</v>
      </c>
      <c r="X508" s="2" t="s">
        <v>365</v>
      </c>
      <c r="Y508" s="4">
        <v>0</v>
      </c>
      <c r="Z508" s="4" t="s">
        <v>39</v>
      </c>
      <c r="AA508" s="2" t="s">
        <v>228</v>
      </c>
      <c r="AB508" s="2" t="s">
        <v>233</v>
      </c>
      <c r="AC508" s="2" t="s">
        <v>257</v>
      </c>
      <c r="AD508" s="4">
        <v>25</v>
      </c>
      <c r="AE508" s="2" t="s">
        <v>204</v>
      </c>
      <c r="AF508" s="2" t="s">
        <v>98</v>
      </c>
      <c r="AG508" s="2" t="s">
        <v>406</v>
      </c>
      <c r="AH508" s="2" t="s">
        <v>185</v>
      </c>
      <c r="AI508" s="2" t="s">
        <v>317</v>
      </c>
      <c r="AJ508" s="4"/>
      <c r="AL508" s="4"/>
      <c r="AN508" s="4"/>
      <c r="AP508" s="4"/>
      <c r="AQ508" s="4"/>
      <c r="AS508" s="4">
        <v>1</v>
      </c>
      <c r="AT508" s="4">
        <v>1</v>
      </c>
      <c r="AU508" s="4">
        <v>0</v>
      </c>
      <c r="AV508" s="4">
        <v>0</v>
      </c>
      <c r="AW508" s="4">
        <v>0</v>
      </c>
      <c r="AX508" s="4">
        <v>0</v>
      </c>
      <c r="AZ508" s="2" t="s">
        <v>60</v>
      </c>
    </row>
    <row r="509" spans="2:52" x14ac:dyDescent="0.15">
      <c r="B509" s="2" t="s">
        <v>322</v>
      </c>
      <c r="C509" s="2" t="s">
        <v>2186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36</v>
      </c>
      <c r="J509" s="4" t="str">
        <f>VLOOKUP(I509,citySet!$B$5:$C$46,2,0)</f>
        <v>晋阳</v>
      </c>
      <c r="K509" s="2" t="s">
        <v>2184</v>
      </c>
      <c r="L509" s="2" t="s">
        <v>942</v>
      </c>
      <c r="M509" s="2" t="s">
        <v>2187</v>
      </c>
      <c r="N509" s="4"/>
      <c r="O509" s="2" t="s">
        <v>791</v>
      </c>
      <c r="P509" s="2" t="s">
        <v>791</v>
      </c>
      <c r="Q509" s="4">
        <v>0</v>
      </c>
      <c r="R509" s="2" t="s">
        <v>370</v>
      </c>
      <c r="S509" s="2" t="s">
        <v>198</v>
      </c>
      <c r="T509" s="2" t="s">
        <v>489</v>
      </c>
      <c r="U509" s="2" t="s">
        <v>1014</v>
      </c>
      <c r="V509" s="2" t="s">
        <v>119</v>
      </c>
      <c r="W509" s="4">
        <v>2</v>
      </c>
      <c r="X509" s="2" t="s">
        <v>2983</v>
      </c>
      <c r="Y509" s="4">
        <v>0</v>
      </c>
      <c r="Z509" s="4" t="s">
        <v>39</v>
      </c>
      <c r="AA509" s="2" t="s">
        <v>60</v>
      </c>
      <c r="AB509" s="2" t="s">
        <v>30</v>
      </c>
      <c r="AC509" s="2" t="s">
        <v>29</v>
      </c>
      <c r="AD509" s="4">
        <v>70</v>
      </c>
      <c r="AE509" s="2" t="s">
        <v>88</v>
      </c>
      <c r="AF509" s="2" t="s">
        <v>226</v>
      </c>
      <c r="AG509" s="2" t="s">
        <v>1257</v>
      </c>
      <c r="AH509" s="2" t="s">
        <v>185</v>
      </c>
      <c r="AI509" s="2" t="s">
        <v>990</v>
      </c>
      <c r="AJ509" s="4"/>
      <c r="AL509" s="4"/>
      <c r="AN509" s="4"/>
      <c r="AP509" s="4"/>
      <c r="AQ509" s="4"/>
      <c r="AS509" s="4">
        <v>0</v>
      </c>
      <c r="AT509" s="4">
        <v>0</v>
      </c>
      <c r="AU509" s="4">
        <v>0</v>
      </c>
      <c r="AV509" s="4">
        <v>0</v>
      </c>
      <c r="AW509" s="4">
        <v>3</v>
      </c>
      <c r="AX509" s="4">
        <v>0</v>
      </c>
      <c r="AZ509" s="2" t="s">
        <v>60</v>
      </c>
    </row>
    <row r="510" spans="2:52" x14ac:dyDescent="0.15">
      <c r="B510" s="2" t="s">
        <v>278</v>
      </c>
      <c r="C510" s="2" t="s">
        <v>3108</v>
      </c>
      <c r="D510" s="2" t="s">
        <v>37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37</v>
      </c>
      <c r="H510" s="4" t="str">
        <f>VLOOKUP(G510,corpsSet!$B$5:$C$46,2,0)</f>
        <v>马腾</v>
      </c>
      <c r="I510" s="4" t="s">
        <v>10</v>
      </c>
      <c r="J510" s="4" t="str">
        <f>VLOOKUP(I510,citySet!$B$5:$C$46,2,0)</f>
        <v>武威</v>
      </c>
      <c r="K510" s="2" t="s">
        <v>360</v>
      </c>
      <c r="L510" s="2" t="s">
        <v>2190</v>
      </c>
      <c r="N510" s="4"/>
      <c r="O510" s="2" t="s">
        <v>2188</v>
      </c>
      <c r="P510" s="2" t="s">
        <v>2188</v>
      </c>
      <c r="Q510" s="4">
        <v>1</v>
      </c>
      <c r="R510" s="2" t="s">
        <v>577</v>
      </c>
      <c r="S510" s="2" t="s">
        <v>425</v>
      </c>
      <c r="T510" s="2" t="s">
        <v>426</v>
      </c>
      <c r="U510" s="2" t="s">
        <v>373</v>
      </c>
      <c r="V510" s="2" t="s">
        <v>153</v>
      </c>
      <c r="W510" s="4">
        <v>1</v>
      </c>
      <c r="X510" s="2" t="s">
        <v>365</v>
      </c>
      <c r="Y510" s="4">
        <v>0</v>
      </c>
      <c r="Z510" s="4" t="s">
        <v>39</v>
      </c>
      <c r="AA510" s="2" t="s">
        <v>134</v>
      </c>
      <c r="AB510" s="2" t="s">
        <v>431</v>
      </c>
      <c r="AC510" s="2" t="s">
        <v>123</v>
      </c>
      <c r="AD510" s="4">
        <v>53</v>
      </c>
      <c r="AE510" s="2" t="s">
        <v>102</v>
      </c>
      <c r="AF510" s="2" t="s">
        <v>422</v>
      </c>
      <c r="AG510" s="2" t="s">
        <v>433</v>
      </c>
      <c r="AH510" s="2" t="s">
        <v>185</v>
      </c>
      <c r="AI510" s="2" t="s">
        <v>2189</v>
      </c>
      <c r="AJ510" s="4" t="s">
        <v>543</v>
      </c>
      <c r="AK510" s="2" t="s">
        <v>38</v>
      </c>
      <c r="AL510" s="4"/>
      <c r="AN510" s="4"/>
      <c r="AP510" s="4"/>
      <c r="AQ510" s="4"/>
      <c r="AS510" s="4">
        <v>2</v>
      </c>
      <c r="AT510" s="4">
        <v>0</v>
      </c>
      <c r="AU510" s="4">
        <v>1</v>
      </c>
      <c r="AV510" s="4">
        <v>3</v>
      </c>
      <c r="AW510" s="4">
        <v>0</v>
      </c>
      <c r="AX510" s="4">
        <v>1</v>
      </c>
      <c r="AZ510" s="2" t="s">
        <v>60</v>
      </c>
    </row>
    <row r="511" spans="2:52" x14ac:dyDescent="0.15">
      <c r="B511" s="2" t="s">
        <v>1043</v>
      </c>
      <c r="C511" s="2" t="s">
        <v>2191</v>
      </c>
      <c r="D511" s="2" t="s">
        <v>107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107</v>
      </c>
      <c r="H511" s="4" t="str">
        <f>VLOOKUP(G511,corpsSet!$B$5:$C$46,2,0)</f>
        <v>韩遂</v>
      </c>
      <c r="I511" s="4" t="s">
        <v>107</v>
      </c>
      <c r="J511" s="4" t="str">
        <f>VLOOKUP(I511,citySet!$B$5:$C$46,2,0)</f>
        <v>天水</v>
      </c>
      <c r="K511" s="2" t="s">
        <v>360</v>
      </c>
      <c r="L511" s="2" t="s">
        <v>2192</v>
      </c>
      <c r="N511" s="4"/>
      <c r="O511" s="2" t="s">
        <v>1899</v>
      </c>
      <c r="P511" s="2" t="s">
        <v>1899</v>
      </c>
      <c r="Q511" s="4">
        <v>0</v>
      </c>
      <c r="R511" s="2" t="s">
        <v>370</v>
      </c>
      <c r="S511" s="2" t="s">
        <v>393</v>
      </c>
      <c r="T511" s="2" t="s">
        <v>555</v>
      </c>
      <c r="U511" s="2" t="s">
        <v>417</v>
      </c>
      <c r="V511" s="2" t="s">
        <v>414</v>
      </c>
      <c r="W511" s="4">
        <v>1</v>
      </c>
      <c r="X511" s="2" t="s">
        <v>365</v>
      </c>
      <c r="Y511" s="4">
        <v>0</v>
      </c>
      <c r="Z511" s="4" t="s">
        <v>39</v>
      </c>
      <c r="AA511" s="2" t="s">
        <v>403</v>
      </c>
      <c r="AB511" s="2" t="s">
        <v>515</v>
      </c>
      <c r="AC511" s="2" t="s">
        <v>367</v>
      </c>
      <c r="AD511" s="4">
        <v>16</v>
      </c>
      <c r="AE511" s="2" t="s">
        <v>189</v>
      </c>
      <c r="AF511" s="2" t="s">
        <v>226</v>
      </c>
      <c r="AG511" s="2" t="s">
        <v>437</v>
      </c>
      <c r="AH511" s="2" t="s">
        <v>185</v>
      </c>
      <c r="AI511" s="2" t="s">
        <v>278</v>
      </c>
      <c r="AJ511" s="4"/>
      <c r="AL511" s="4"/>
      <c r="AN511" s="4"/>
      <c r="AP511" s="4"/>
      <c r="AQ511" s="4"/>
      <c r="AS511" s="4">
        <v>1</v>
      </c>
      <c r="AT511" s="4">
        <v>0</v>
      </c>
      <c r="AU511" s="4">
        <v>0</v>
      </c>
      <c r="AV511" s="4">
        <v>2</v>
      </c>
      <c r="AW511" s="4">
        <v>0</v>
      </c>
      <c r="AX511" s="4">
        <v>0</v>
      </c>
      <c r="AZ511" s="2" t="s">
        <v>60</v>
      </c>
    </row>
    <row r="512" spans="2:52" x14ac:dyDescent="0.15">
      <c r="B512" s="2" t="s">
        <v>1217</v>
      </c>
      <c r="C512" s="2" t="s">
        <v>2193</v>
      </c>
      <c r="D512" s="2" t="s">
        <v>37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37</v>
      </c>
      <c r="H512" s="4" t="str">
        <f>VLOOKUP(G512,corpsSet!$B$5:$C$46,2,0)</f>
        <v>马腾</v>
      </c>
      <c r="I512" s="4" t="s">
        <v>10</v>
      </c>
      <c r="J512" s="4" t="str">
        <f>VLOOKUP(I512,citySet!$B$5:$C$46,2,0)</f>
        <v>武威</v>
      </c>
      <c r="K512" s="2" t="s">
        <v>360</v>
      </c>
      <c r="L512" s="2" t="s">
        <v>1682</v>
      </c>
      <c r="N512" s="4"/>
      <c r="O512" s="2" t="s">
        <v>1943</v>
      </c>
      <c r="P512" s="2" t="s">
        <v>1943</v>
      </c>
      <c r="Q512" s="4">
        <v>0</v>
      </c>
      <c r="R512" s="2" t="s">
        <v>370</v>
      </c>
      <c r="S512" s="2" t="s">
        <v>585</v>
      </c>
      <c r="T512" s="2" t="s">
        <v>725</v>
      </c>
      <c r="U512" s="2" t="s">
        <v>417</v>
      </c>
      <c r="V512" s="2" t="s">
        <v>153</v>
      </c>
      <c r="W512" s="4">
        <v>1</v>
      </c>
      <c r="X512" s="2" t="s">
        <v>365</v>
      </c>
      <c r="Y512" s="4">
        <v>3</v>
      </c>
      <c r="Z512" s="4" t="s">
        <v>696</v>
      </c>
      <c r="AA512" s="2" t="s">
        <v>134</v>
      </c>
      <c r="AB512" s="2" t="s">
        <v>321</v>
      </c>
      <c r="AC512" s="2" t="s">
        <v>261</v>
      </c>
      <c r="AD512" s="4">
        <v>48</v>
      </c>
      <c r="AE512" s="2" t="s">
        <v>101</v>
      </c>
      <c r="AF512" s="2" t="s">
        <v>321</v>
      </c>
      <c r="AG512" s="2" t="s">
        <v>488</v>
      </c>
      <c r="AH512" s="2" t="s">
        <v>185</v>
      </c>
      <c r="AI512" s="2" t="s">
        <v>2189</v>
      </c>
      <c r="AJ512" s="4" t="s">
        <v>543</v>
      </c>
      <c r="AK512" s="2" t="s">
        <v>38</v>
      </c>
      <c r="AL512" s="4"/>
      <c r="AN512" s="4"/>
      <c r="AP512" s="4"/>
      <c r="AQ512" s="4"/>
      <c r="AS512" s="4">
        <v>1</v>
      </c>
      <c r="AT512" s="4">
        <v>1</v>
      </c>
      <c r="AU512" s="4">
        <v>0</v>
      </c>
      <c r="AV512" s="4">
        <v>3</v>
      </c>
      <c r="AW512" s="4">
        <v>0</v>
      </c>
      <c r="AX512" s="4">
        <v>0</v>
      </c>
      <c r="AZ512" s="2" t="s">
        <v>60</v>
      </c>
    </row>
    <row r="513" spans="2:52" x14ac:dyDescent="0.15">
      <c r="B513" s="2" t="s">
        <v>1214</v>
      </c>
      <c r="C513" s="2" t="s">
        <v>2194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106</v>
      </c>
      <c r="J513" s="4" t="str">
        <f>VLOOKUP(I513,citySet!$B$5:$C$46,2,0)</f>
        <v>安定</v>
      </c>
      <c r="K513" s="2" t="s">
        <v>360</v>
      </c>
      <c r="L513" s="2" t="s">
        <v>2195</v>
      </c>
      <c r="M513" s="2" t="s">
        <v>2196</v>
      </c>
      <c r="N513" s="4"/>
      <c r="O513" s="2" t="s">
        <v>2117</v>
      </c>
      <c r="P513" s="2" t="s">
        <v>2117</v>
      </c>
      <c r="Q513" s="4">
        <v>0</v>
      </c>
      <c r="R513" s="2" t="s">
        <v>370</v>
      </c>
      <c r="S513" s="2" t="s">
        <v>702</v>
      </c>
      <c r="T513" s="2" t="s">
        <v>950</v>
      </c>
      <c r="U513" s="2" t="s">
        <v>679</v>
      </c>
      <c r="V513" s="2" t="s">
        <v>208</v>
      </c>
      <c r="W513" s="4">
        <v>2</v>
      </c>
      <c r="X513" s="2" t="s">
        <v>2983</v>
      </c>
      <c r="Y513" s="4">
        <v>0</v>
      </c>
      <c r="Z513" s="4" t="s">
        <v>39</v>
      </c>
      <c r="AA513" s="2" t="s">
        <v>60</v>
      </c>
      <c r="AB513" s="2" t="s">
        <v>35</v>
      </c>
      <c r="AC513" s="2" t="s">
        <v>34</v>
      </c>
      <c r="AD513" s="4">
        <v>60</v>
      </c>
      <c r="AE513" s="2" t="s">
        <v>153</v>
      </c>
      <c r="AF513" s="2" t="s">
        <v>237</v>
      </c>
      <c r="AG513" s="2" t="s">
        <v>96</v>
      </c>
      <c r="AH513" s="2" t="s">
        <v>185</v>
      </c>
      <c r="AI513" s="2" t="s">
        <v>1217</v>
      </c>
      <c r="AJ513" s="4"/>
      <c r="AL513" s="4"/>
      <c r="AN513" s="4"/>
      <c r="AP513" s="4"/>
      <c r="AQ513" s="4"/>
      <c r="AS513" s="4">
        <v>0</v>
      </c>
      <c r="AT513" s="4">
        <v>0</v>
      </c>
      <c r="AU513" s="4">
        <v>0</v>
      </c>
      <c r="AV513" s="4">
        <v>0</v>
      </c>
      <c r="AW513" s="4">
        <v>3</v>
      </c>
      <c r="AX513" s="4">
        <v>0</v>
      </c>
      <c r="AZ513" s="2" t="s">
        <v>60</v>
      </c>
    </row>
    <row r="514" spans="2:52" x14ac:dyDescent="0.15">
      <c r="B514" s="2" t="s">
        <v>1659</v>
      </c>
      <c r="C514" s="2" t="s">
        <v>2197</v>
      </c>
      <c r="D514" s="2" t="s">
        <v>25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25</v>
      </c>
      <c r="H514" s="4" t="str">
        <f>VLOOKUP(G514,corpsSet!$B$5:$C$46,2,0)</f>
        <v>张角</v>
      </c>
      <c r="I514" s="4" t="s">
        <v>20</v>
      </c>
      <c r="J514" s="4" t="str">
        <f>VLOOKUP(I514,citySet!$B$5:$C$46,2,0)</f>
        <v>濮阳</v>
      </c>
      <c r="K514" s="2" t="s">
        <v>2199</v>
      </c>
      <c r="L514" s="2" t="s">
        <v>2200</v>
      </c>
      <c r="N514" s="4"/>
      <c r="O514" s="2" t="s">
        <v>2198</v>
      </c>
      <c r="P514" s="2" t="s">
        <v>2198</v>
      </c>
      <c r="Q514" s="4">
        <v>0</v>
      </c>
      <c r="R514" s="2" t="s">
        <v>370</v>
      </c>
      <c r="S514" s="2" t="s">
        <v>435</v>
      </c>
      <c r="T514" s="2" t="s">
        <v>415</v>
      </c>
      <c r="U514" s="2" t="s">
        <v>435</v>
      </c>
      <c r="V514" s="2" t="s">
        <v>415</v>
      </c>
      <c r="W514" s="4">
        <v>1</v>
      </c>
      <c r="X514" s="2" t="s">
        <v>365</v>
      </c>
      <c r="Y514" s="4">
        <v>1</v>
      </c>
      <c r="Z514" s="4" t="s">
        <v>1243</v>
      </c>
      <c r="AA514" s="2" t="s">
        <v>185</v>
      </c>
      <c r="AB514" s="2" t="s">
        <v>515</v>
      </c>
      <c r="AC514" s="2" t="s">
        <v>367</v>
      </c>
      <c r="AD514" s="4">
        <v>52</v>
      </c>
      <c r="AE514" s="2" t="s">
        <v>196</v>
      </c>
      <c r="AF514" s="2" t="s">
        <v>95</v>
      </c>
      <c r="AG514" s="2" t="s">
        <v>86</v>
      </c>
      <c r="AH514" s="2" t="s">
        <v>185</v>
      </c>
      <c r="AI514" s="2" t="s">
        <v>1214</v>
      </c>
      <c r="AJ514" s="4"/>
      <c r="AL514" s="4"/>
      <c r="AN514" s="4"/>
      <c r="AP514" s="4"/>
      <c r="AQ514" s="4"/>
      <c r="AS514" s="4">
        <v>2</v>
      </c>
      <c r="AT514" s="4">
        <v>1</v>
      </c>
      <c r="AU514" s="4">
        <v>0</v>
      </c>
      <c r="AV514" s="4">
        <v>0</v>
      </c>
      <c r="AW514" s="4">
        <v>2</v>
      </c>
      <c r="AX514" s="4">
        <v>0</v>
      </c>
      <c r="AZ514" s="2" t="s">
        <v>60</v>
      </c>
    </row>
    <row r="515" spans="2:52" x14ac:dyDescent="0.15">
      <c r="B515" s="2" t="s">
        <v>1569</v>
      </c>
      <c r="C515" s="2" t="s">
        <v>2201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107</v>
      </c>
      <c r="J515" s="4" t="str">
        <f>VLOOKUP(I515,citySet!$B$5:$C$46,2,0)</f>
        <v>天水</v>
      </c>
      <c r="K515" s="2" t="s">
        <v>360</v>
      </c>
      <c r="L515" s="2" t="s">
        <v>1285</v>
      </c>
      <c r="N515" s="4"/>
      <c r="O515" s="2" t="s">
        <v>1775</v>
      </c>
      <c r="P515" s="2" t="s">
        <v>1775</v>
      </c>
      <c r="Q515" s="4">
        <v>0</v>
      </c>
      <c r="R515" s="2" t="s">
        <v>370</v>
      </c>
      <c r="S515" s="2" t="s">
        <v>332</v>
      </c>
      <c r="T515" s="2" t="s">
        <v>327</v>
      </c>
      <c r="U515" s="2" t="s">
        <v>408</v>
      </c>
      <c r="V515" s="2" t="s">
        <v>105</v>
      </c>
      <c r="W515" s="4">
        <v>2</v>
      </c>
      <c r="X515" s="2" t="s">
        <v>2983</v>
      </c>
      <c r="Y515" s="4">
        <v>0</v>
      </c>
      <c r="Z515" s="4" t="s">
        <v>39</v>
      </c>
      <c r="AA515" s="2" t="s">
        <v>60</v>
      </c>
      <c r="AB515" s="2" t="s">
        <v>207</v>
      </c>
      <c r="AC515" s="2" t="s">
        <v>14</v>
      </c>
      <c r="AD515" s="4">
        <v>31</v>
      </c>
      <c r="AE515" s="2" t="s">
        <v>7</v>
      </c>
      <c r="AF515" s="2" t="s">
        <v>414</v>
      </c>
      <c r="AG515" s="2" t="s">
        <v>456</v>
      </c>
      <c r="AH515" s="2" t="s">
        <v>185</v>
      </c>
      <c r="AI515" s="2" t="s">
        <v>1659</v>
      </c>
      <c r="AJ515" s="4"/>
      <c r="AL515" s="4"/>
      <c r="AN515" s="4"/>
      <c r="AP515" s="4"/>
      <c r="AQ515" s="4"/>
      <c r="AS515" s="4">
        <v>0</v>
      </c>
      <c r="AT515" s="4">
        <v>0</v>
      </c>
      <c r="AU515" s="4">
        <v>0</v>
      </c>
      <c r="AV515" s="4">
        <v>1</v>
      </c>
      <c r="AW515" s="4">
        <v>0</v>
      </c>
      <c r="AX515" s="4">
        <v>0</v>
      </c>
      <c r="AZ515" s="2" t="s">
        <v>60</v>
      </c>
    </row>
    <row r="516" spans="2:52" x14ac:dyDescent="0.15">
      <c r="B516" s="2" t="s">
        <v>973</v>
      </c>
      <c r="C516" s="2" t="s">
        <v>2202</v>
      </c>
      <c r="D516" s="2" t="s">
        <v>35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35</v>
      </c>
      <c r="H516" s="4" t="str">
        <f>VLOOKUP(G516,corpsSet!$B$5:$C$46,2,0)</f>
        <v>刘备</v>
      </c>
      <c r="I516" s="4" t="s">
        <v>213</v>
      </c>
      <c r="J516" s="4" t="str">
        <f>VLOOKUP(I516,citySet!$B$5:$C$46,2,0)</f>
        <v>江陵</v>
      </c>
      <c r="K516" s="2" t="s">
        <v>360</v>
      </c>
      <c r="L516" s="2" t="s">
        <v>2204</v>
      </c>
      <c r="M516" s="2" t="s">
        <v>2205</v>
      </c>
      <c r="N516" s="4"/>
      <c r="O516" s="2" t="s">
        <v>227</v>
      </c>
      <c r="P516" s="2" t="s">
        <v>227</v>
      </c>
      <c r="Q516" s="4">
        <v>0</v>
      </c>
      <c r="R516" s="2" t="s">
        <v>370</v>
      </c>
      <c r="S516" s="2" t="s">
        <v>490</v>
      </c>
      <c r="T516" s="2" t="s">
        <v>372</v>
      </c>
      <c r="U516" s="2" t="s">
        <v>667</v>
      </c>
      <c r="V516" s="2" t="s">
        <v>329</v>
      </c>
      <c r="W516" s="4">
        <v>1</v>
      </c>
      <c r="X516" s="2" t="s">
        <v>365</v>
      </c>
      <c r="Y516" s="4">
        <v>0</v>
      </c>
      <c r="Z516" s="4" t="s">
        <v>39</v>
      </c>
      <c r="AA516" s="2" t="s">
        <v>185</v>
      </c>
      <c r="AB516" s="2" t="s">
        <v>269</v>
      </c>
      <c r="AC516" s="2" t="s">
        <v>445</v>
      </c>
      <c r="AD516" s="4">
        <v>87</v>
      </c>
      <c r="AE516" s="2" t="s">
        <v>321</v>
      </c>
      <c r="AF516" s="2" t="s">
        <v>445</v>
      </c>
      <c r="AG516" s="2" t="s">
        <v>1485</v>
      </c>
      <c r="AH516" s="2" t="s">
        <v>185</v>
      </c>
      <c r="AI516" s="2" t="s">
        <v>602</v>
      </c>
      <c r="AJ516" s="4"/>
      <c r="AK516" s="2" t="s">
        <v>2203</v>
      </c>
      <c r="AL516" s="4"/>
      <c r="AN516" s="4"/>
      <c r="AP516" s="4"/>
      <c r="AQ516" s="4"/>
      <c r="AS516" s="4">
        <v>1</v>
      </c>
      <c r="AT516" s="4">
        <v>0</v>
      </c>
      <c r="AU516" s="4">
        <v>1</v>
      </c>
      <c r="AV516" s="4">
        <v>1</v>
      </c>
      <c r="AW516" s="4">
        <v>0</v>
      </c>
      <c r="AX516" s="4">
        <v>0</v>
      </c>
      <c r="AZ516" s="2" t="s">
        <v>60</v>
      </c>
    </row>
    <row r="517" spans="2:52" x14ac:dyDescent="0.15">
      <c r="B517" s="2" t="s">
        <v>1420</v>
      </c>
      <c r="C517" s="2" t="s">
        <v>2206</v>
      </c>
      <c r="D517" s="2" t="s">
        <v>37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37</v>
      </c>
      <c r="H517" s="4" t="str">
        <f>VLOOKUP(G517,corpsSet!$B$5:$C$46,2,0)</f>
        <v>马腾</v>
      </c>
      <c r="I517" s="4" t="s">
        <v>10</v>
      </c>
      <c r="J517" s="4" t="str">
        <f>VLOOKUP(I517,citySet!$B$5:$C$46,2,0)</f>
        <v>武威</v>
      </c>
      <c r="K517" s="2" t="s">
        <v>360</v>
      </c>
      <c r="L517" s="2" t="s">
        <v>2207</v>
      </c>
      <c r="N517" s="4"/>
      <c r="O517" s="2" t="s">
        <v>200</v>
      </c>
      <c r="P517" s="2" t="s">
        <v>200</v>
      </c>
      <c r="Q517" s="4">
        <v>0</v>
      </c>
      <c r="R517" s="2" t="s">
        <v>370</v>
      </c>
      <c r="S517" s="2" t="s">
        <v>425</v>
      </c>
      <c r="T517" s="2" t="s">
        <v>426</v>
      </c>
      <c r="U517" s="2" t="s">
        <v>786</v>
      </c>
      <c r="V517" s="2" t="s">
        <v>153</v>
      </c>
      <c r="W517" s="4">
        <v>1</v>
      </c>
      <c r="X517" s="2" t="s">
        <v>365</v>
      </c>
      <c r="Y517" s="4">
        <v>1</v>
      </c>
      <c r="Z517" s="4" t="s">
        <v>1243</v>
      </c>
      <c r="AA517" s="2" t="s">
        <v>134</v>
      </c>
      <c r="AB517" s="2" t="s">
        <v>235</v>
      </c>
      <c r="AC517" s="2" t="s">
        <v>256</v>
      </c>
      <c r="AD517" s="4">
        <v>56</v>
      </c>
      <c r="AE517" s="2" t="s">
        <v>3</v>
      </c>
      <c r="AF517" s="2" t="s">
        <v>367</v>
      </c>
      <c r="AG517" s="2" t="s">
        <v>1485</v>
      </c>
      <c r="AH517" s="2" t="s">
        <v>185</v>
      </c>
      <c r="AI517" s="2" t="s">
        <v>2189</v>
      </c>
      <c r="AJ517" s="4"/>
      <c r="AK517" s="2" t="s">
        <v>1624</v>
      </c>
      <c r="AL517" s="4"/>
      <c r="AN517" s="4"/>
      <c r="AP517" s="4"/>
      <c r="AQ517" s="4"/>
      <c r="AS517" s="4">
        <v>1</v>
      </c>
      <c r="AT517" s="4">
        <v>1</v>
      </c>
      <c r="AU517" s="4">
        <v>1</v>
      </c>
      <c r="AV517" s="4">
        <v>3</v>
      </c>
      <c r="AW517" s="4">
        <v>1</v>
      </c>
      <c r="AX517" s="4">
        <v>0</v>
      </c>
      <c r="AZ517" s="2" t="s">
        <v>60</v>
      </c>
    </row>
    <row r="518" spans="2:52" x14ac:dyDescent="0.15">
      <c r="B518" s="2" t="s">
        <v>1625</v>
      </c>
      <c r="C518" s="2" t="s">
        <v>2208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204</v>
      </c>
      <c r="J518" s="4" t="str">
        <f>VLOOKUP(I518,citySet!$B$5:$C$46,2,0)</f>
        <v>柴桑</v>
      </c>
      <c r="K518" s="2" t="s">
        <v>360</v>
      </c>
      <c r="L518" s="2" t="s">
        <v>676</v>
      </c>
      <c r="N518" s="4"/>
      <c r="O518" s="2" t="s">
        <v>2111</v>
      </c>
      <c r="P518" s="2" t="s">
        <v>2111</v>
      </c>
      <c r="Q518" s="4">
        <v>0</v>
      </c>
      <c r="R518" s="2" t="s">
        <v>370</v>
      </c>
      <c r="S518" s="2" t="s">
        <v>90</v>
      </c>
      <c r="T518" s="2" t="s">
        <v>707</v>
      </c>
      <c r="U518" s="2" t="s">
        <v>512</v>
      </c>
      <c r="V518" s="2" t="s">
        <v>684</v>
      </c>
      <c r="W518" s="4">
        <v>2</v>
      </c>
      <c r="X518" s="2" t="s">
        <v>2983</v>
      </c>
      <c r="Y518" s="4">
        <v>0</v>
      </c>
      <c r="Z518" s="4" t="s">
        <v>39</v>
      </c>
      <c r="AA518" s="2" t="s">
        <v>60</v>
      </c>
      <c r="AB518" s="2" t="s">
        <v>445</v>
      </c>
      <c r="AC518" s="2" t="s">
        <v>422</v>
      </c>
      <c r="AD518" s="4">
        <v>64</v>
      </c>
      <c r="AE518" s="2" t="s">
        <v>15</v>
      </c>
      <c r="AF518" s="2" t="s">
        <v>207</v>
      </c>
      <c r="AG518" s="2" t="s">
        <v>650</v>
      </c>
      <c r="AH518" s="2" t="s">
        <v>185</v>
      </c>
      <c r="AI518" s="2" t="s">
        <v>1420</v>
      </c>
      <c r="AJ518" s="4"/>
      <c r="AL518" s="4"/>
      <c r="AN518" s="4"/>
      <c r="AP518" s="4"/>
      <c r="AQ518" s="4"/>
      <c r="AS518" s="4">
        <v>0</v>
      </c>
      <c r="AT518" s="4">
        <v>2</v>
      </c>
      <c r="AU518" s="4">
        <v>1</v>
      </c>
      <c r="AV518" s="4">
        <v>0</v>
      </c>
      <c r="AW518" s="4">
        <v>0</v>
      </c>
      <c r="AX518" s="4">
        <v>1</v>
      </c>
      <c r="AZ518" s="2" t="s">
        <v>60</v>
      </c>
    </row>
    <row r="519" spans="2:52" x14ac:dyDescent="0.15">
      <c r="B519" s="2" t="s">
        <v>249</v>
      </c>
      <c r="C519" s="2" t="s">
        <v>2208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207</v>
      </c>
      <c r="J519" s="4" t="str">
        <f>VLOOKUP(I519,citySet!$B$5:$C$46,2,0)</f>
        <v>梓潼</v>
      </c>
      <c r="K519" s="2" t="s">
        <v>360</v>
      </c>
      <c r="L519" s="2" t="s">
        <v>676</v>
      </c>
      <c r="M519" s="2" t="s">
        <v>2209</v>
      </c>
      <c r="N519" s="4"/>
      <c r="O519" s="2" t="s">
        <v>489</v>
      </c>
      <c r="P519" s="2" t="s">
        <v>489</v>
      </c>
      <c r="Q519" s="4">
        <v>0</v>
      </c>
      <c r="R519" s="2" t="s">
        <v>370</v>
      </c>
      <c r="S519" s="2" t="s">
        <v>90</v>
      </c>
      <c r="T519" s="2" t="s">
        <v>544</v>
      </c>
      <c r="U519" s="2" t="s">
        <v>732</v>
      </c>
      <c r="V519" s="2" t="s">
        <v>454</v>
      </c>
      <c r="W519" s="4">
        <v>2</v>
      </c>
      <c r="X519" s="2" t="s">
        <v>2983</v>
      </c>
      <c r="Y519" s="4">
        <v>0</v>
      </c>
      <c r="Z519" s="4" t="s">
        <v>39</v>
      </c>
      <c r="AA519" s="2" t="s">
        <v>60</v>
      </c>
      <c r="AB519" s="2" t="s">
        <v>431</v>
      </c>
      <c r="AC519" s="2" t="s">
        <v>374</v>
      </c>
      <c r="AD519" s="4">
        <v>68</v>
      </c>
      <c r="AE519" s="2" t="s">
        <v>431</v>
      </c>
      <c r="AF519" s="2" t="s">
        <v>88</v>
      </c>
      <c r="AG519" s="2" t="s">
        <v>1800</v>
      </c>
      <c r="AH519" s="2" t="s">
        <v>185</v>
      </c>
      <c r="AI519" s="2" t="s">
        <v>1625</v>
      </c>
      <c r="AJ519" s="4"/>
      <c r="AL519" s="4"/>
      <c r="AN519" s="4"/>
      <c r="AP519" s="4"/>
      <c r="AQ519" s="4"/>
      <c r="AS519" s="4">
        <v>1</v>
      </c>
      <c r="AT519" s="4">
        <v>2</v>
      </c>
      <c r="AU519" s="4">
        <v>2</v>
      </c>
      <c r="AV519" s="4">
        <v>0</v>
      </c>
      <c r="AW519" s="4">
        <v>2</v>
      </c>
      <c r="AX519" s="4">
        <v>0</v>
      </c>
      <c r="AZ519" s="2" t="s">
        <v>60</v>
      </c>
    </row>
    <row r="520" spans="2:52" x14ac:dyDescent="0.15">
      <c r="B520" s="2" t="s">
        <v>2213</v>
      </c>
      <c r="C520" s="2" t="s">
        <v>85</v>
      </c>
      <c r="D520" s="2" t="s">
        <v>37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37</v>
      </c>
      <c r="H520" s="4" t="str">
        <f>VLOOKUP(G520,corpsSet!$B$5:$C$46,2,0)</f>
        <v>马腾</v>
      </c>
      <c r="I520" s="4" t="s">
        <v>10</v>
      </c>
      <c r="J520" s="4" t="str">
        <f>VLOOKUP(I520,citySet!$B$5:$C$46,2,0)</f>
        <v>武威</v>
      </c>
      <c r="K520" s="2" t="s">
        <v>360</v>
      </c>
      <c r="L520" s="2" t="s">
        <v>2211</v>
      </c>
      <c r="M520" s="2" t="s">
        <v>2212</v>
      </c>
      <c r="N520" s="4"/>
      <c r="O520" s="2" t="s">
        <v>2210</v>
      </c>
      <c r="P520" s="2" t="s">
        <v>2210</v>
      </c>
      <c r="Q520" s="4">
        <v>0</v>
      </c>
      <c r="R520" s="2" t="s">
        <v>370</v>
      </c>
      <c r="S520" s="2" t="s">
        <v>393</v>
      </c>
      <c r="T520" s="2" t="s">
        <v>504</v>
      </c>
      <c r="U520" s="2" t="s">
        <v>395</v>
      </c>
      <c r="V520" s="2" t="s">
        <v>153</v>
      </c>
      <c r="W520" s="4">
        <v>1</v>
      </c>
      <c r="X520" s="2" t="s">
        <v>365</v>
      </c>
      <c r="Y520" s="4">
        <v>4</v>
      </c>
      <c r="Z520" s="4" t="s">
        <v>1091</v>
      </c>
      <c r="AA520" s="2" t="s">
        <v>134</v>
      </c>
      <c r="AB520" s="2" t="s">
        <v>123</v>
      </c>
      <c r="AC520" s="2" t="s">
        <v>413</v>
      </c>
      <c r="AD520" s="4">
        <v>44</v>
      </c>
      <c r="AE520" s="2" t="s">
        <v>200</v>
      </c>
      <c r="AF520" s="2" t="s">
        <v>554</v>
      </c>
      <c r="AG520" s="2" t="s">
        <v>1328</v>
      </c>
      <c r="AH520" s="2" t="s">
        <v>185</v>
      </c>
      <c r="AI520" s="2" t="s">
        <v>2189</v>
      </c>
      <c r="AJ520" s="4" t="s">
        <v>543</v>
      </c>
      <c r="AK520" s="2" t="s">
        <v>38</v>
      </c>
      <c r="AL520" s="4"/>
      <c r="AN520" s="4"/>
      <c r="AP520" s="4"/>
      <c r="AQ520" s="4"/>
      <c r="AS520" s="4">
        <v>2</v>
      </c>
      <c r="AT520" s="4">
        <v>1</v>
      </c>
      <c r="AU520" s="4">
        <v>0</v>
      </c>
      <c r="AV520" s="4">
        <v>3</v>
      </c>
      <c r="AW520" s="4">
        <v>1</v>
      </c>
      <c r="AX520" s="4">
        <v>0</v>
      </c>
      <c r="AZ520" s="2" t="s">
        <v>60</v>
      </c>
    </row>
    <row r="521" spans="2:52" x14ac:dyDescent="0.15">
      <c r="B521" s="2" t="s">
        <v>2189</v>
      </c>
      <c r="C521" s="2" t="s">
        <v>2214</v>
      </c>
      <c r="D521" s="2" t="s">
        <v>37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37</v>
      </c>
      <c r="H521" s="4" t="str">
        <f>VLOOKUP(G521,corpsSet!$B$5:$C$46,2,0)</f>
        <v>马腾</v>
      </c>
      <c r="I521" s="4" t="s">
        <v>10</v>
      </c>
      <c r="J521" s="4" t="str">
        <f>VLOOKUP(I521,citySet!$B$5:$C$46,2,0)</f>
        <v>武威</v>
      </c>
      <c r="K521" s="2" t="s">
        <v>360</v>
      </c>
      <c r="L521" s="2" t="s">
        <v>2215</v>
      </c>
      <c r="N521" s="4"/>
      <c r="O521" s="2" t="s">
        <v>276</v>
      </c>
      <c r="P521" s="2" t="s">
        <v>276</v>
      </c>
      <c r="Q521" s="4">
        <v>0</v>
      </c>
      <c r="R521" s="2" t="s">
        <v>370</v>
      </c>
      <c r="S521" s="2" t="s">
        <v>467</v>
      </c>
      <c r="T521" s="2" t="s">
        <v>498</v>
      </c>
      <c r="U521" s="2" t="s">
        <v>417</v>
      </c>
      <c r="V521" s="2" t="s">
        <v>153</v>
      </c>
      <c r="W521" s="4">
        <v>1</v>
      </c>
      <c r="X521" s="2" t="s">
        <v>365</v>
      </c>
      <c r="Y521" s="4">
        <v>2</v>
      </c>
      <c r="Z521" s="4" t="s">
        <v>443</v>
      </c>
      <c r="AA521" s="2" t="s">
        <v>134</v>
      </c>
      <c r="AB521" s="2" t="s">
        <v>153</v>
      </c>
      <c r="AC521" s="2" t="s">
        <v>423</v>
      </c>
      <c r="AD521" s="4">
        <v>56</v>
      </c>
      <c r="AE521" s="2" t="s">
        <v>14</v>
      </c>
      <c r="AF521" s="2" t="s">
        <v>423</v>
      </c>
      <c r="AG521" s="2" t="s">
        <v>488</v>
      </c>
      <c r="AH521" s="2" t="s">
        <v>185</v>
      </c>
      <c r="AI521" s="2" t="s">
        <v>2189</v>
      </c>
      <c r="AJ521" s="4" t="s">
        <v>543</v>
      </c>
      <c r="AK521" s="2" t="s">
        <v>38</v>
      </c>
      <c r="AL521" s="4"/>
      <c r="AN521" s="4"/>
      <c r="AP521" s="4"/>
      <c r="AQ521" s="4"/>
      <c r="AS521" s="4">
        <v>0</v>
      </c>
      <c r="AT521" s="4">
        <v>0</v>
      </c>
      <c r="AU521" s="4">
        <v>1</v>
      </c>
      <c r="AV521" s="4">
        <v>3</v>
      </c>
      <c r="AW521" s="4">
        <v>1</v>
      </c>
      <c r="AX521" s="4">
        <v>0</v>
      </c>
      <c r="AZ521" s="2" t="s">
        <v>60</v>
      </c>
    </row>
    <row r="522" spans="2:52" x14ac:dyDescent="0.15">
      <c r="B522" s="2" t="s">
        <v>543</v>
      </c>
      <c r="C522" s="2" t="s">
        <v>38</v>
      </c>
      <c r="D522" s="2" t="s">
        <v>37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37</v>
      </c>
      <c r="H522" s="4" t="str">
        <f>VLOOKUP(G522,corpsSet!$B$5:$C$46,2,0)</f>
        <v>马腾</v>
      </c>
      <c r="I522" s="4" t="s">
        <v>10</v>
      </c>
      <c r="J522" s="4" t="str">
        <f>VLOOKUP(I522,citySet!$B$5:$C$46,2,0)</f>
        <v>武威</v>
      </c>
      <c r="K522" s="2" t="s">
        <v>360</v>
      </c>
      <c r="L522" s="2" t="s">
        <v>2216</v>
      </c>
      <c r="M522" s="2" t="s">
        <v>2217</v>
      </c>
      <c r="N522" s="4"/>
      <c r="O522" s="2" t="s">
        <v>204</v>
      </c>
      <c r="P522" s="2" t="s">
        <v>204</v>
      </c>
      <c r="Q522" s="4">
        <v>0</v>
      </c>
      <c r="R522" s="2" t="s">
        <v>370</v>
      </c>
      <c r="S522" s="2" t="s">
        <v>435</v>
      </c>
      <c r="T522" s="2" t="s">
        <v>1007</v>
      </c>
      <c r="U522" s="2" t="s">
        <v>417</v>
      </c>
      <c r="V522" s="2" t="s">
        <v>153</v>
      </c>
      <c r="W522" s="4">
        <v>3</v>
      </c>
      <c r="X522" s="2" t="s">
        <v>2</v>
      </c>
      <c r="Y522" s="4">
        <v>0</v>
      </c>
      <c r="Z522" s="4" t="s">
        <v>39</v>
      </c>
      <c r="AA522" s="2" t="s">
        <v>185</v>
      </c>
      <c r="AB522" s="2" t="s">
        <v>554</v>
      </c>
      <c r="AC522" s="2" t="s">
        <v>329</v>
      </c>
      <c r="AD522" s="4">
        <v>51</v>
      </c>
      <c r="AE522" s="2" t="s">
        <v>486</v>
      </c>
      <c r="AF522" s="2" t="s">
        <v>78</v>
      </c>
      <c r="AG522" s="2" t="s">
        <v>710</v>
      </c>
      <c r="AH522" s="2" t="s">
        <v>185</v>
      </c>
      <c r="AI522" s="2" t="s">
        <v>2189</v>
      </c>
      <c r="AJ522" s="4"/>
      <c r="AL522" s="4"/>
      <c r="AN522" s="4"/>
      <c r="AP522" s="4">
        <v>11</v>
      </c>
      <c r="AQ522" s="4"/>
      <c r="AS522" s="4">
        <v>1</v>
      </c>
      <c r="AT522" s="4">
        <v>2</v>
      </c>
      <c r="AU522" s="4">
        <v>0</v>
      </c>
      <c r="AV522" s="4">
        <v>3</v>
      </c>
      <c r="AW522" s="4">
        <v>0</v>
      </c>
      <c r="AX522" s="4">
        <v>0</v>
      </c>
      <c r="AZ522" s="2" t="s">
        <v>60</v>
      </c>
    </row>
    <row r="523" spans="2:52" x14ac:dyDescent="0.15">
      <c r="B523" s="2" t="s">
        <v>602</v>
      </c>
      <c r="C523" s="2" t="s">
        <v>2218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207</v>
      </c>
      <c r="J523" s="4" t="str">
        <f>VLOOKUP(I523,citySet!$B$5:$C$46,2,0)</f>
        <v>梓潼</v>
      </c>
      <c r="K523" s="2" t="s">
        <v>360</v>
      </c>
      <c r="L523" s="2" t="s">
        <v>1036</v>
      </c>
      <c r="N523" s="4"/>
      <c r="O523" s="2" t="s">
        <v>621</v>
      </c>
      <c r="P523" s="2" t="s">
        <v>621</v>
      </c>
      <c r="Q523" s="4">
        <v>0</v>
      </c>
      <c r="R523" s="2" t="s">
        <v>370</v>
      </c>
      <c r="S523" s="2" t="s">
        <v>977</v>
      </c>
      <c r="T523" s="2" t="s">
        <v>437</v>
      </c>
      <c r="U523" s="2" t="s">
        <v>854</v>
      </c>
      <c r="V523" s="2" t="s">
        <v>4</v>
      </c>
      <c r="W523" s="4">
        <v>2</v>
      </c>
      <c r="X523" s="2" t="s">
        <v>2983</v>
      </c>
      <c r="Y523" s="4">
        <v>0</v>
      </c>
      <c r="Z523" s="4" t="s">
        <v>39</v>
      </c>
      <c r="AA523" s="2" t="s">
        <v>60</v>
      </c>
      <c r="AB523" s="2" t="s">
        <v>105</v>
      </c>
      <c r="AC523" s="2" t="s">
        <v>20</v>
      </c>
      <c r="AD523" s="4">
        <v>7</v>
      </c>
      <c r="AE523" s="2" t="s">
        <v>220</v>
      </c>
      <c r="AF523" s="2" t="s">
        <v>20</v>
      </c>
      <c r="AG523" s="2" t="s">
        <v>256</v>
      </c>
      <c r="AH523" s="2" t="s">
        <v>185</v>
      </c>
      <c r="AI523" s="2" t="s">
        <v>543</v>
      </c>
      <c r="AJ523" s="4"/>
      <c r="AL523" s="4"/>
      <c r="AN523" s="4"/>
      <c r="AP523" s="4"/>
      <c r="AQ523" s="4"/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Z523" s="2" t="s">
        <v>60</v>
      </c>
    </row>
    <row r="524" spans="2:52" x14ac:dyDescent="0.15">
      <c r="B524" s="2" t="s">
        <v>692</v>
      </c>
      <c r="C524" s="2" t="s">
        <v>2219</v>
      </c>
      <c r="D524" s="2" t="s">
        <v>35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35</v>
      </c>
      <c r="H524" s="4" t="str">
        <f>VLOOKUP(G524,corpsSet!$B$5:$C$46,2,0)</f>
        <v>刘备</v>
      </c>
      <c r="I524" s="4" t="s">
        <v>213</v>
      </c>
      <c r="J524" s="4" t="str">
        <f>VLOOKUP(I524,citySet!$B$5:$C$46,2,0)</f>
        <v>江陵</v>
      </c>
      <c r="K524" s="2" t="s">
        <v>360</v>
      </c>
      <c r="L524" s="2" t="s">
        <v>746</v>
      </c>
      <c r="M524" s="2" t="s">
        <v>2220</v>
      </c>
      <c r="N524" s="4"/>
      <c r="O524" s="2" t="s">
        <v>396</v>
      </c>
      <c r="P524" s="2" t="s">
        <v>396</v>
      </c>
      <c r="Q524" s="4">
        <v>0</v>
      </c>
      <c r="R524" s="2" t="s">
        <v>370</v>
      </c>
      <c r="S524" s="2" t="s">
        <v>326</v>
      </c>
      <c r="T524" s="2" t="s">
        <v>544</v>
      </c>
      <c r="U524" s="2" t="s">
        <v>512</v>
      </c>
      <c r="V524" s="2" t="s">
        <v>422</v>
      </c>
      <c r="W524" s="4">
        <v>1</v>
      </c>
      <c r="X524" s="2" t="s">
        <v>365</v>
      </c>
      <c r="Y524" s="4">
        <v>0</v>
      </c>
      <c r="Z524" s="4" t="s">
        <v>39</v>
      </c>
      <c r="AA524" s="2" t="s">
        <v>185</v>
      </c>
      <c r="AB524" s="2" t="s">
        <v>102</v>
      </c>
      <c r="AC524" s="2" t="s">
        <v>189</v>
      </c>
      <c r="AD524" s="4">
        <v>85</v>
      </c>
      <c r="AE524" s="2" t="s">
        <v>176</v>
      </c>
      <c r="AF524" s="2" t="s">
        <v>258</v>
      </c>
      <c r="AG524" s="2" t="s">
        <v>1208</v>
      </c>
      <c r="AH524" s="2" t="s">
        <v>185</v>
      </c>
      <c r="AI524" s="2" t="s">
        <v>602</v>
      </c>
      <c r="AJ524" s="4"/>
      <c r="AK524" s="2" t="s">
        <v>2203</v>
      </c>
      <c r="AL524" s="4"/>
      <c r="AN524" s="4"/>
      <c r="AP524" s="4"/>
      <c r="AQ524" s="4"/>
      <c r="AS524" s="4">
        <v>0</v>
      </c>
      <c r="AT524" s="4">
        <v>0</v>
      </c>
      <c r="AU524" s="4">
        <v>1</v>
      </c>
      <c r="AV524" s="4">
        <v>0</v>
      </c>
      <c r="AW524" s="4">
        <v>1</v>
      </c>
      <c r="AX524" s="4">
        <v>1</v>
      </c>
      <c r="AZ524" s="2" t="s">
        <v>60</v>
      </c>
    </row>
    <row r="525" spans="2:52" x14ac:dyDescent="0.15">
      <c r="B525" s="2" t="s">
        <v>1201</v>
      </c>
      <c r="C525" s="2" t="s">
        <v>2221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189</v>
      </c>
      <c r="J525" s="4" t="str">
        <f>VLOOKUP(I525,citySet!$B$5:$C$46,2,0)</f>
        <v>建业</v>
      </c>
      <c r="K525" s="2" t="s">
        <v>2222</v>
      </c>
      <c r="L525" s="2" t="s">
        <v>1443</v>
      </c>
      <c r="N525" s="4"/>
      <c r="O525" s="2" t="s">
        <v>1955</v>
      </c>
      <c r="P525" s="2" t="s">
        <v>1955</v>
      </c>
      <c r="Q525" s="4">
        <v>0</v>
      </c>
      <c r="R525" s="2" t="s">
        <v>370</v>
      </c>
      <c r="S525" s="2" t="s">
        <v>548</v>
      </c>
      <c r="T525" s="2" t="s">
        <v>977</v>
      </c>
      <c r="U525" s="2" t="s">
        <v>658</v>
      </c>
      <c r="V525" s="2" t="s">
        <v>147</v>
      </c>
      <c r="W525" s="4">
        <v>2</v>
      </c>
      <c r="X525" s="2" t="s">
        <v>2983</v>
      </c>
      <c r="Y525" s="4">
        <v>0</v>
      </c>
      <c r="Z525" s="4" t="s">
        <v>39</v>
      </c>
      <c r="AA525" s="2" t="s">
        <v>60</v>
      </c>
      <c r="AB525" s="2" t="s">
        <v>107</v>
      </c>
      <c r="AC525" s="2" t="s">
        <v>196</v>
      </c>
      <c r="AD525" s="4">
        <v>71</v>
      </c>
      <c r="AE525" s="2" t="s">
        <v>257</v>
      </c>
      <c r="AF525" s="2" t="s">
        <v>237</v>
      </c>
      <c r="AG525" s="2" t="s">
        <v>489</v>
      </c>
      <c r="AH525" s="2" t="s">
        <v>185</v>
      </c>
      <c r="AI525" s="2" t="s">
        <v>692</v>
      </c>
      <c r="AJ525" s="4"/>
      <c r="AL525" s="4"/>
      <c r="AN525" s="4"/>
      <c r="AP525" s="4"/>
      <c r="AQ525" s="4"/>
      <c r="AS525" s="4">
        <v>0</v>
      </c>
      <c r="AT525" s="4">
        <v>0</v>
      </c>
      <c r="AU525" s="4">
        <v>0</v>
      </c>
      <c r="AV525" s="4">
        <v>0</v>
      </c>
      <c r="AW525" s="4">
        <v>1</v>
      </c>
      <c r="AX525" s="4">
        <v>0</v>
      </c>
      <c r="AZ525" s="2" t="s">
        <v>60</v>
      </c>
    </row>
    <row r="526" spans="2:52" x14ac:dyDescent="0.15">
      <c r="B526" s="2" t="s">
        <v>1997</v>
      </c>
      <c r="C526" s="2" t="s">
        <v>2223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208</v>
      </c>
      <c r="J526" s="4" t="str">
        <f>VLOOKUP(I526,citySet!$B$5:$C$46,2,0)</f>
        <v>新野</v>
      </c>
      <c r="K526" s="2" t="s">
        <v>2224</v>
      </c>
      <c r="L526" s="2" t="s">
        <v>1052</v>
      </c>
      <c r="M526" s="2" t="s">
        <v>2225</v>
      </c>
      <c r="N526" s="4"/>
      <c r="O526" s="2" t="s">
        <v>1790</v>
      </c>
      <c r="P526" s="2" t="s">
        <v>1790</v>
      </c>
      <c r="Q526" s="4">
        <v>0</v>
      </c>
      <c r="R526" s="2" t="s">
        <v>370</v>
      </c>
      <c r="S526" s="2" t="s">
        <v>633</v>
      </c>
      <c r="T526" s="2" t="s">
        <v>90</v>
      </c>
      <c r="U526" s="2" t="s">
        <v>418</v>
      </c>
      <c r="V526" s="2" t="s">
        <v>431</v>
      </c>
      <c r="W526" s="4">
        <v>2</v>
      </c>
      <c r="X526" s="2" t="s">
        <v>2983</v>
      </c>
      <c r="Y526" s="4">
        <v>0</v>
      </c>
      <c r="Z526" s="4" t="s">
        <v>39</v>
      </c>
      <c r="AA526" s="2" t="s">
        <v>60</v>
      </c>
      <c r="AB526" s="2" t="s">
        <v>237</v>
      </c>
      <c r="AC526" s="2" t="s">
        <v>193</v>
      </c>
      <c r="AD526" s="4">
        <v>71</v>
      </c>
      <c r="AE526" s="2" t="s">
        <v>422</v>
      </c>
      <c r="AF526" s="2" t="s">
        <v>261</v>
      </c>
      <c r="AG526" s="2" t="s">
        <v>446</v>
      </c>
      <c r="AH526" s="2" t="s">
        <v>185</v>
      </c>
      <c r="AI526" s="2" t="s">
        <v>1201</v>
      </c>
      <c r="AJ526" s="4"/>
      <c r="AL526" s="4"/>
      <c r="AN526" s="4"/>
      <c r="AP526" s="4"/>
      <c r="AQ526" s="4"/>
      <c r="AS526" s="4">
        <v>0</v>
      </c>
      <c r="AT526" s="4">
        <v>0</v>
      </c>
      <c r="AU526" s="4">
        <v>1</v>
      </c>
      <c r="AV526" s="4">
        <v>0</v>
      </c>
      <c r="AW526" s="4">
        <v>1</v>
      </c>
      <c r="AX526" s="4">
        <v>0</v>
      </c>
      <c r="AZ526" s="2" t="s">
        <v>60</v>
      </c>
    </row>
    <row r="527" spans="2:52" x14ac:dyDescent="0.15">
      <c r="B527" s="2" t="s">
        <v>2067</v>
      </c>
      <c r="C527" s="2" t="s">
        <v>2226</v>
      </c>
      <c r="D527" s="2" t="s">
        <v>95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95</v>
      </c>
      <c r="H527" s="4" t="str">
        <f>VLOOKUP(G527,corpsSet!$B$5:$C$46,2,0)</f>
        <v>赵范</v>
      </c>
      <c r="I527" s="4" t="s">
        <v>219</v>
      </c>
      <c r="J527" s="4" t="str">
        <f>VLOOKUP(I527,citySet!$B$5:$C$46,2,0)</f>
        <v>桂阳</v>
      </c>
      <c r="K527" s="2" t="s">
        <v>2224</v>
      </c>
      <c r="L527" s="2" t="s">
        <v>1326</v>
      </c>
      <c r="N527" s="4"/>
      <c r="O527" s="2" t="s">
        <v>2227</v>
      </c>
      <c r="P527" s="2" t="s">
        <v>2227</v>
      </c>
      <c r="Q527" s="4">
        <v>1</v>
      </c>
      <c r="R527" s="2" t="s">
        <v>577</v>
      </c>
      <c r="S527" s="2" t="s">
        <v>950</v>
      </c>
      <c r="T527" s="2" t="s">
        <v>504</v>
      </c>
      <c r="U527" s="2" t="s">
        <v>332</v>
      </c>
      <c r="V527" s="2" t="s">
        <v>434</v>
      </c>
      <c r="W527" s="4">
        <v>1</v>
      </c>
      <c r="X527" s="2" t="s">
        <v>365</v>
      </c>
      <c r="Y527" s="4">
        <v>0</v>
      </c>
      <c r="Z527" s="4" t="s">
        <v>39</v>
      </c>
      <c r="AA527" s="2" t="s">
        <v>185</v>
      </c>
      <c r="AB527" s="2" t="s">
        <v>189</v>
      </c>
      <c r="AC527" s="2" t="s">
        <v>10</v>
      </c>
      <c r="AD527" s="4">
        <v>72</v>
      </c>
      <c r="AE527" s="2" t="s">
        <v>454</v>
      </c>
      <c r="AF527" s="2" t="s">
        <v>434</v>
      </c>
      <c r="AG527" s="2" t="s">
        <v>877</v>
      </c>
      <c r="AH527" s="2" t="s">
        <v>185</v>
      </c>
      <c r="AI527" s="2" t="s">
        <v>1997</v>
      </c>
      <c r="AJ527" s="4"/>
      <c r="AL527" s="4"/>
      <c r="AN527" s="4"/>
      <c r="AP527" s="4"/>
      <c r="AQ527" s="4"/>
      <c r="AS527" s="4">
        <v>0</v>
      </c>
      <c r="AT527" s="4">
        <v>0</v>
      </c>
      <c r="AU527" s="4">
        <v>1</v>
      </c>
      <c r="AV527" s="4">
        <v>1</v>
      </c>
      <c r="AW527" s="4">
        <v>0</v>
      </c>
      <c r="AX527" s="4">
        <v>1</v>
      </c>
      <c r="AZ527" s="2" t="s">
        <v>60</v>
      </c>
    </row>
    <row r="528" spans="2:52" x14ac:dyDescent="0.15">
      <c r="B528" s="2" t="s">
        <v>987</v>
      </c>
      <c r="C528" s="2" t="s">
        <v>3109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95</v>
      </c>
      <c r="J528" s="4" t="str">
        <f>VLOOKUP(I528,citySet!$B$5:$C$46,2,0)</f>
        <v>武陵</v>
      </c>
      <c r="K528" s="2" t="s">
        <v>2228</v>
      </c>
      <c r="L528" s="2" t="s">
        <v>655</v>
      </c>
      <c r="M528" s="2" t="s">
        <v>2229</v>
      </c>
      <c r="N528" s="4"/>
      <c r="O528" s="2" t="s">
        <v>1062</v>
      </c>
      <c r="P528" s="2" t="s">
        <v>1062</v>
      </c>
      <c r="Q528" s="4">
        <v>0</v>
      </c>
      <c r="R528" s="2" t="s">
        <v>370</v>
      </c>
      <c r="S528" s="2" t="s">
        <v>467</v>
      </c>
      <c r="T528" s="2" t="s">
        <v>1001</v>
      </c>
      <c r="U528" s="2" t="s">
        <v>427</v>
      </c>
      <c r="V528" s="2" t="s">
        <v>100</v>
      </c>
      <c r="W528" s="4">
        <v>2</v>
      </c>
      <c r="X528" s="2" t="s">
        <v>2983</v>
      </c>
      <c r="Y528" s="4">
        <v>0</v>
      </c>
      <c r="Z528" s="4" t="s">
        <v>39</v>
      </c>
      <c r="AA528" s="2" t="s">
        <v>60</v>
      </c>
      <c r="AB528" s="2" t="s">
        <v>269</v>
      </c>
      <c r="AC528" s="2" t="s">
        <v>104</v>
      </c>
      <c r="AD528" s="4">
        <v>67</v>
      </c>
      <c r="AE528" s="2" t="s">
        <v>554</v>
      </c>
      <c r="AF528" s="2" t="s">
        <v>107</v>
      </c>
      <c r="AG528" s="2" t="s">
        <v>732</v>
      </c>
      <c r="AH528" s="2" t="s">
        <v>185</v>
      </c>
      <c r="AI528" s="2" t="s">
        <v>2067</v>
      </c>
      <c r="AJ528" s="4"/>
      <c r="AL528" s="4"/>
      <c r="AN528" s="4"/>
      <c r="AP528" s="4"/>
      <c r="AQ528" s="4"/>
      <c r="AS528" s="4">
        <v>0</v>
      </c>
      <c r="AT528" s="4">
        <v>1</v>
      </c>
      <c r="AU528" s="4">
        <v>0</v>
      </c>
      <c r="AV528" s="4">
        <v>0</v>
      </c>
      <c r="AW528" s="4">
        <v>0</v>
      </c>
      <c r="AX528" s="4">
        <v>0</v>
      </c>
      <c r="AZ528" s="2" t="s">
        <v>60</v>
      </c>
    </row>
    <row r="529" spans="2:52" x14ac:dyDescent="0.15">
      <c r="B529" s="2" t="s">
        <v>244</v>
      </c>
      <c r="C529" s="2" t="s">
        <v>2230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41</v>
      </c>
      <c r="J529" s="4" t="str">
        <f>VLOOKUP(I529,citySet!$B$5:$C$46,2,0)</f>
        <v>陈留</v>
      </c>
      <c r="K529" s="2" t="s">
        <v>2228</v>
      </c>
      <c r="L529" s="2" t="s">
        <v>2231</v>
      </c>
      <c r="M529" s="2" t="s">
        <v>2232</v>
      </c>
      <c r="N529" s="4"/>
      <c r="O529" s="2" t="s">
        <v>633</v>
      </c>
      <c r="P529" s="2" t="s">
        <v>633</v>
      </c>
      <c r="Q529" s="4">
        <v>0</v>
      </c>
      <c r="R529" s="2" t="s">
        <v>370</v>
      </c>
      <c r="S529" s="2" t="s">
        <v>327</v>
      </c>
      <c r="T529" s="2" t="s">
        <v>565</v>
      </c>
      <c r="U529" s="2" t="s">
        <v>512</v>
      </c>
      <c r="V529" s="2" t="s">
        <v>603</v>
      </c>
      <c r="W529" s="4">
        <v>2</v>
      </c>
      <c r="X529" s="2" t="s">
        <v>2983</v>
      </c>
      <c r="Y529" s="4">
        <v>0</v>
      </c>
      <c r="Z529" s="4" t="s">
        <v>39</v>
      </c>
      <c r="AA529" s="2" t="s">
        <v>60</v>
      </c>
      <c r="AB529" s="2" t="s">
        <v>434</v>
      </c>
      <c r="AC529" s="2" t="s">
        <v>329</v>
      </c>
      <c r="AD529" s="4">
        <v>70</v>
      </c>
      <c r="AE529" s="2" t="s">
        <v>25</v>
      </c>
      <c r="AF529" s="2" t="s">
        <v>20</v>
      </c>
      <c r="AG529" s="2" t="s">
        <v>604</v>
      </c>
      <c r="AH529" s="2" t="s">
        <v>185</v>
      </c>
      <c r="AI529" s="2" t="s">
        <v>987</v>
      </c>
      <c r="AJ529" s="4"/>
      <c r="AL529" s="4"/>
      <c r="AN529" s="4"/>
      <c r="AP529" s="4"/>
      <c r="AQ529" s="4"/>
      <c r="AS529" s="4">
        <v>1</v>
      </c>
      <c r="AT529" s="4">
        <v>2</v>
      </c>
      <c r="AU529" s="4">
        <v>2</v>
      </c>
      <c r="AV529" s="4">
        <v>1</v>
      </c>
      <c r="AW529" s="4">
        <v>0</v>
      </c>
      <c r="AX529" s="4">
        <v>3</v>
      </c>
      <c r="AZ529" s="2" t="s">
        <v>60</v>
      </c>
    </row>
    <row r="530" spans="2:52" x14ac:dyDescent="0.15">
      <c r="B530" s="2" t="s">
        <v>323</v>
      </c>
      <c r="C530" s="2" t="s">
        <v>2233</v>
      </c>
      <c r="D530" s="2" t="s">
        <v>36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36</v>
      </c>
      <c r="H530" s="4" t="str">
        <f>VLOOKUP(G530,corpsSet!$B$5:$C$46,2,0)</f>
        <v>董卓</v>
      </c>
      <c r="I530" s="4" t="s">
        <v>106</v>
      </c>
      <c r="J530" s="4" t="str">
        <f>VLOOKUP(I530,citySet!$B$5:$C$46,2,0)</f>
        <v>安定</v>
      </c>
      <c r="K530" s="2" t="s">
        <v>2224</v>
      </c>
      <c r="L530" s="2" t="s">
        <v>2235</v>
      </c>
      <c r="N530" s="4"/>
      <c r="O530" s="2" t="s">
        <v>1308</v>
      </c>
      <c r="P530" s="2" t="s">
        <v>1308</v>
      </c>
      <c r="Q530" s="4">
        <v>0</v>
      </c>
      <c r="R530" s="2" t="s">
        <v>370</v>
      </c>
      <c r="S530" s="2" t="s">
        <v>435</v>
      </c>
      <c r="T530" s="2" t="s">
        <v>1007</v>
      </c>
      <c r="U530" s="2" t="s">
        <v>585</v>
      </c>
      <c r="V530" s="2" t="s">
        <v>1007</v>
      </c>
      <c r="W530" s="4">
        <v>1</v>
      </c>
      <c r="X530" s="2" t="s">
        <v>365</v>
      </c>
      <c r="Y530" s="4">
        <v>0</v>
      </c>
      <c r="Z530" s="4" t="s">
        <v>39</v>
      </c>
      <c r="AA530" s="2" t="s">
        <v>185</v>
      </c>
      <c r="AB530" s="2" t="s">
        <v>404</v>
      </c>
      <c r="AC530" s="2" t="s">
        <v>261</v>
      </c>
      <c r="AD530" s="4">
        <v>31</v>
      </c>
      <c r="AE530" s="2" t="s">
        <v>193</v>
      </c>
      <c r="AF530" s="2" t="s">
        <v>21</v>
      </c>
      <c r="AG530" s="2" t="s">
        <v>762</v>
      </c>
      <c r="AH530" s="2" t="s">
        <v>185</v>
      </c>
      <c r="AI530" s="2" t="s">
        <v>244</v>
      </c>
      <c r="AJ530" s="4"/>
      <c r="AL530" s="4"/>
      <c r="AN530" s="4"/>
      <c r="AP530" s="4"/>
      <c r="AQ530" s="4"/>
      <c r="AS530" s="4">
        <v>0</v>
      </c>
      <c r="AT530" s="4">
        <v>0</v>
      </c>
      <c r="AU530" s="4">
        <v>0</v>
      </c>
      <c r="AV530" s="4">
        <v>2</v>
      </c>
      <c r="AW530" s="4">
        <v>0</v>
      </c>
      <c r="AX530" s="4">
        <v>0</v>
      </c>
      <c r="AZ530" s="2" t="s">
        <v>60</v>
      </c>
    </row>
    <row r="531" spans="2:52" x14ac:dyDescent="0.15">
      <c r="B531" s="2" t="s">
        <v>1926</v>
      </c>
      <c r="C531" s="2" t="s">
        <v>2236</v>
      </c>
      <c r="D531" s="2" t="s">
        <v>193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193</v>
      </c>
      <c r="H531" s="4" t="str">
        <f>VLOOKUP(G531,corpsSet!$B$5:$C$46,2,0)</f>
        <v>刘繇</v>
      </c>
      <c r="I531" s="4" t="s">
        <v>189</v>
      </c>
      <c r="J531" s="4" t="str">
        <f>VLOOKUP(I531,citySet!$B$5:$C$46,2,0)</f>
        <v>建业</v>
      </c>
      <c r="K531" s="2" t="s">
        <v>2224</v>
      </c>
      <c r="L531" s="2" t="s">
        <v>2238</v>
      </c>
      <c r="N531" s="4"/>
      <c r="O531" s="2" t="s">
        <v>2237</v>
      </c>
      <c r="P531" s="2" t="s">
        <v>2237</v>
      </c>
      <c r="Q531" s="4">
        <v>0</v>
      </c>
      <c r="R531" s="2" t="s">
        <v>370</v>
      </c>
      <c r="S531" s="2" t="s">
        <v>435</v>
      </c>
      <c r="T531" s="2" t="s">
        <v>545</v>
      </c>
      <c r="U531" s="2" t="s">
        <v>83</v>
      </c>
      <c r="V531" s="2" t="s">
        <v>30</v>
      </c>
      <c r="W531" s="4">
        <v>1</v>
      </c>
      <c r="X531" s="2" t="s">
        <v>365</v>
      </c>
      <c r="Y531" s="4">
        <v>2</v>
      </c>
      <c r="Z531" s="4" t="s">
        <v>443</v>
      </c>
      <c r="AA531" s="2" t="s">
        <v>228</v>
      </c>
      <c r="AB531" s="2" t="s">
        <v>454</v>
      </c>
      <c r="AC531" s="2" t="s">
        <v>269</v>
      </c>
      <c r="AD531" s="4">
        <v>36</v>
      </c>
      <c r="AE531" s="2" t="s">
        <v>213</v>
      </c>
      <c r="AF531" s="2" t="s">
        <v>414</v>
      </c>
      <c r="AG531" s="2" t="s">
        <v>453</v>
      </c>
      <c r="AH531" s="2" t="s">
        <v>185</v>
      </c>
      <c r="AI531" s="2" t="s">
        <v>323</v>
      </c>
      <c r="AJ531" s="4"/>
      <c r="AL531" s="4"/>
      <c r="AN531" s="4"/>
      <c r="AP531" s="4"/>
      <c r="AQ531" s="4"/>
      <c r="AS531" s="4">
        <v>0</v>
      </c>
      <c r="AT531" s="4">
        <v>1</v>
      </c>
      <c r="AU531" s="4">
        <v>1</v>
      </c>
      <c r="AV531" s="4">
        <v>0</v>
      </c>
      <c r="AW531" s="4">
        <v>0</v>
      </c>
      <c r="AX531" s="4">
        <v>0</v>
      </c>
      <c r="AZ531" s="2" t="s">
        <v>60</v>
      </c>
    </row>
    <row r="532" spans="2:52" x14ac:dyDescent="0.15">
      <c r="B532" s="2" t="s">
        <v>1172</v>
      </c>
      <c r="C532" s="2" t="s">
        <v>2239</v>
      </c>
      <c r="D532" s="2" t="s">
        <v>8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8</v>
      </c>
      <c r="H532" s="4" t="str">
        <f>VLOOKUP(G532,corpsSet!$B$5:$C$46,2,0)</f>
        <v>韩馥</v>
      </c>
      <c r="I532" s="4" t="s">
        <v>34</v>
      </c>
      <c r="J532" s="4" t="str">
        <f>VLOOKUP(I532,citySet!$B$5:$C$46,2,0)</f>
        <v>邺</v>
      </c>
      <c r="K532" s="2" t="s">
        <v>2228</v>
      </c>
      <c r="L532" s="2" t="s">
        <v>2241</v>
      </c>
      <c r="N532" s="4"/>
      <c r="O532" s="2" t="s">
        <v>1939</v>
      </c>
      <c r="P532" s="2" t="s">
        <v>1939</v>
      </c>
      <c r="Q532" s="4">
        <v>0</v>
      </c>
      <c r="R532" s="2" t="s">
        <v>370</v>
      </c>
      <c r="S532" s="2" t="s">
        <v>435</v>
      </c>
      <c r="T532" s="2" t="s">
        <v>524</v>
      </c>
      <c r="U532" s="2" t="s">
        <v>372</v>
      </c>
      <c r="V532" s="2" t="s">
        <v>175</v>
      </c>
      <c r="W532" s="4">
        <v>1</v>
      </c>
      <c r="X532" s="2" t="s">
        <v>365</v>
      </c>
      <c r="Y532" s="4">
        <v>2</v>
      </c>
      <c r="Z532" s="4" t="s">
        <v>443</v>
      </c>
      <c r="AA532" s="2" t="s">
        <v>403</v>
      </c>
      <c r="AB532" s="2" t="s">
        <v>201</v>
      </c>
      <c r="AC532" s="2" t="s">
        <v>422</v>
      </c>
      <c r="AD532" s="4">
        <v>4</v>
      </c>
      <c r="AE532" s="2" t="s">
        <v>17</v>
      </c>
      <c r="AF532" s="2" t="s">
        <v>196</v>
      </c>
      <c r="AG532" s="2" t="s">
        <v>504</v>
      </c>
      <c r="AH532" s="2" t="s">
        <v>185</v>
      </c>
      <c r="AI532" s="2" t="s">
        <v>1926</v>
      </c>
      <c r="AJ532" s="4"/>
      <c r="AL532" s="4"/>
      <c r="AN532" s="4"/>
      <c r="AP532" s="4"/>
      <c r="AQ532" s="4"/>
      <c r="AS532" s="4">
        <v>0</v>
      </c>
      <c r="AT532" s="4">
        <v>0</v>
      </c>
      <c r="AU532" s="4">
        <v>0</v>
      </c>
      <c r="AV532" s="4">
        <v>1</v>
      </c>
      <c r="AW532" s="4">
        <v>0</v>
      </c>
      <c r="AX532" s="4">
        <v>0</v>
      </c>
      <c r="AZ532" s="2" t="s">
        <v>60</v>
      </c>
    </row>
    <row r="533" spans="2:52" x14ac:dyDescent="0.15">
      <c r="B533" s="2" t="s">
        <v>1143</v>
      </c>
      <c r="C533" s="2" t="s">
        <v>3110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25</v>
      </c>
      <c r="J533" s="4" t="str">
        <f>VLOOKUP(I533,citySet!$B$5:$C$46,2,0)</f>
        <v>江夏</v>
      </c>
      <c r="K533" s="2" t="s">
        <v>2242</v>
      </c>
      <c r="L533" s="2" t="s">
        <v>1103</v>
      </c>
      <c r="M533" s="2" t="s">
        <v>2243</v>
      </c>
      <c r="N533" s="4"/>
      <c r="O533" s="2" t="s">
        <v>319</v>
      </c>
      <c r="P533" s="2" t="s">
        <v>319</v>
      </c>
      <c r="Q533" s="4">
        <v>0</v>
      </c>
      <c r="R533" s="2" t="s">
        <v>370</v>
      </c>
      <c r="S533" s="2" t="s">
        <v>689</v>
      </c>
      <c r="T533" s="2" t="s">
        <v>467</v>
      </c>
      <c r="U533" s="2" t="s">
        <v>548</v>
      </c>
      <c r="V533" s="2" t="s">
        <v>422</v>
      </c>
      <c r="W533" s="4">
        <v>2</v>
      </c>
      <c r="X533" s="2" t="s">
        <v>2983</v>
      </c>
      <c r="Y533" s="4">
        <v>0</v>
      </c>
      <c r="Z533" s="4" t="s">
        <v>39</v>
      </c>
      <c r="AA533" s="2" t="s">
        <v>60</v>
      </c>
      <c r="AB533" s="2" t="s">
        <v>422</v>
      </c>
      <c r="AC533" s="2" t="s">
        <v>119</v>
      </c>
      <c r="AD533" s="4">
        <v>83</v>
      </c>
      <c r="AE533" s="2" t="s">
        <v>150</v>
      </c>
      <c r="AF533" s="2" t="s">
        <v>397</v>
      </c>
      <c r="AG533" s="2" t="s">
        <v>1461</v>
      </c>
      <c r="AH533" s="2" t="s">
        <v>185</v>
      </c>
      <c r="AI533" s="2" t="s">
        <v>1172</v>
      </c>
      <c r="AJ533" s="4"/>
      <c r="AL533" s="4"/>
      <c r="AN533" s="4"/>
      <c r="AP533" s="4"/>
      <c r="AQ533" s="4"/>
      <c r="AS533" s="4">
        <v>1</v>
      </c>
      <c r="AT533" s="4">
        <v>1</v>
      </c>
      <c r="AU533" s="4">
        <v>2</v>
      </c>
      <c r="AV533" s="4">
        <v>0</v>
      </c>
      <c r="AW533" s="4">
        <v>2</v>
      </c>
      <c r="AX533" s="4">
        <v>1</v>
      </c>
      <c r="AZ533" s="2" t="s">
        <v>60</v>
      </c>
    </row>
    <row r="534" spans="2:52" x14ac:dyDescent="0.15">
      <c r="B534" s="2" t="s">
        <v>896</v>
      </c>
      <c r="C534" s="2" t="s">
        <v>2244</v>
      </c>
      <c r="D534" s="2" t="s">
        <v>41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41</v>
      </c>
      <c r="H534" s="4" t="str">
        <f>VLOOKUP(G534,corpsSet!$B$5:$C$46,2,0)</f>
        <v>公孙度</v>
      </c>
      <c r="I534" s="4" t="s">
        <v>27</v>
      </c>
      <c r="J534" s="4" t="str">
        <f>VLOOKUP(I534,citySet!$B$5:$C$46,2,0)</f>
        <v>襄平</v>
      </c>
      <c r="K534" s="2" t="s">
        <v>2245</v>
      </c>
      <c r="L534" s="2" t="s">
        <v>2246</v>
      </c>
      <c r="N534" s="4"/>
      <c r="O534" s="2" t="s">
        <v>691</v>
      </c>
      <c r="P534" s="2" t="s">
        <v>691</v>
      </c>
      <c r="Q534" s="4">
        <v>0</v>
      </c>
      <c r="R534" s="2" t="s">
        <v>370</v>
      </c>
      <c r="S534" s="2" t="s">
        <v>332</v>
      </c>
      <c r="T534" s="2" t="s">
        <v>327</v>
      </c>
      <c r="U534" s="2" t="s">
        <v>843</v>
      </c>
      <c r="V534" s="2" t="s">
        <v>697</v>
      </c>
      <c r="W534" s="4">
        <v>1</v>
      </c>
      <c r="X534" s="2" t="s">
        <v>365</v>
      </c>
      <c r="Y534" s="4">
        <v>2</v>
      </c>
      <c r="Z534" s="4" t="s">
        <v>443</v>
      </c>
      <c r="AA534" s="2" t="s">
        <v>228</v>
      </c>
      <c r="AB534" s="2" t="s">
        <v>93</v>
      </c>
      <c r="AC534" s="2" t="s">
        <v>404</v>
      </c>
      <c r="AD534" s="4">
        <v>21</v>
      </c>
      <c r="AE534" s="2" t="s">
        <v>119</v>
      </c>
      <c r="AF534" s="2" t="s">
        <v>102</v>
      </c>
      <c r="AG534" s="2" t="s">
        <v>489</v>
      </c>
      <c r="AH534" s="2" t="s">
        <v>185</v>
      </c>
      <c r="AI534" s="2" t="s">
        <v>1143</v>
      </c>
      <c r="AJ534" s="4"/>
      <c r="AL534" s="4"/>
      <c r="AN534" s="4"/>
      <c r="AP534" s="4"/>
      <c r="AQ534" s="4"/>
      <c r="AS534" s="4">
        <v>0</v>
      </c>
      <c r="AT534" s="4">
        <v>0</v>
      </c>
      <c r="AU534" s="4">
        <v>1</v>
      </c>
      <c r="AV534" s="4">
        <v>1</v>
      </c>
      <c r="AW534" s="4">
        <v>0</v>
      </c>
      <c r="AX534" s="4">
        <v>0</v>
      </c>
      <c r="AZ534" s="2" t="s">
        <v>60</v>
      </c>
    </row>
    <row r="535" spans="2:52" x14ac:dyDescent="0.15">
      <c r="B535" s="2" t="s">
        <v>2105</v>
      </c>
      <c r="C535" s="2" t="s">
        <v>2247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107</v>
      </c>
      <c r="J535" s="4" t="str">
        <f>VLOOKUP(I535,citySet!$B$5:$C$46,2,0)</f>
        <v>天水</v>
      </c>
      <c r="K535" s="2" t="s">
        <v>2242</v>
      </c>
      <c r="L535" s="2" t="s">
        <v>2249</v>
      </c>
      <c r="M535" s="2" t="s">
        <v>2250</v>
      </c>
      <c r="N535" s="4"/>
      <c r="O535" s="2" t="s">
        <v>2248</v>
      </c>
      <c r="P535" s="2" t="s">
        <v>2248</v>
      </c>
      <c r="Q535" s="4">
        <v>0</v>
      </c>
      <c r="R535" s="2" t="s">
        <v>370</v>
      </c>
      <c r="S535" s="2" t="s">
        <v>83</v>
      </c>
      <c r="T535" s="2" t="s">
        <v>504</v>
      </c>
      <c r="U535" s="2" t="s">
        <v>977</v>
      </c>
      <c r="V535" s="2" t="s">
        <v>404</v>
      </c>
      <c r="W535" s="4">
        <v>2</v>
      </c>
      <c r="X535" s="2" t="s">
        <v>2983</v>
      </c>
      <c r="Y535" s="4">
        <v>0</v>
      </c>
      <c r="Z535" s="4" t="s">
        <v>39</v>
      </c>
      <c r="AA535" s="2" t="s">
        <v>60</v>
      </c>
      <c r="AB535" s="2" t="s">
        <v>8</v>
      </c>
      <c r="AC535" s="2" t="s">
        <v>25</v>
      </c>
      <c r="AD535" s="4">
        <v>64</v>
      </c>
      <c r="AE535" s="2" t="s">
        <v>367</v>
      </c>
      <c r="AF535" s="2" t="s">
        <v>404</v>
      </c>
      <c r="AG535" s="2" t="s">
        <v>861</v>
      </c>
      <c r="AH535" s="2" t="s">
        <v>185</v>
      </c>
      <c r="AI535" s="2" t="s">
        <v>896</v>
      </c>
      <c r="AJ535" s="4"/>
      <c r="AL535" s="4"/>
      <c r="AN535" s="4"/>
      <c r="AP535" s="4"/>
      <c r="AQ535" s="4"/>
      <c r="AS535" s="4">
        <v>0</v>
      </c>
      <c r="AT535" s="4">
        <v>0</v>
      </c>
      <c r="AU535" s="4">
        <v>0</v>
      </c>
      <c r="AV535" s="4">
        <v>0</v>
      </c>
      <c r="AW535" s="4">
        <v>1</v>
      </c>
      <c r="AX535" s="4">
        <v>0</v>
      </c>
      <c r="AZ535" s="2" t="s">
        <v>60</v>
      </c>
    </row>
    <row r="536" spans="2:52" x14ac:dyDescent="0.15">
      <c r="B536" s="2" t="s">
        <v>2075</v>
      </c>
      <c r="C536" s="2" t="s">
        <v>2251</v>
      </c>
      <c r="D536" s="2" t="s">
        <v>35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35</v>
      </c>
      <c r="H536" s="4" t="str">
        <f>VLOOKUP(G536,corpsSet!$B$5:$C$46,2,0)</f>
        <v>刘备</v>
      </c>
      <c r="I536" s="4" t="s">
        <v>213</v>
      </c>
      <c r="J536" s="4" t="str">
        <f>VLOOKUP(I536,citySet!$B$5:$C$46,2,0)</f>
        <v>江陵</v>
      </c>
      <c r="K536" s="2" t="s">
        <v>2254</v>
      </c>
      <c r="L536" s="2" t="s">
        <v>1326</v>
      </c>
      <c r="N536" s="4"/>
      <c r="O536" s="2" t="s">
        <v>2252</v>
      </c>
      <c r="P536" s="2" t="s">
        <v>2252</v>
      </c>
      <c r="Q536" s="4">
        <v>1</v>
      </c>
      <c r="R536" s="2" t="s">
        <v>577</v>
      </c>
      <c r="S536" s="2" t="s">
        <v>407</v>
      </c>
      <c r="T536" s="2" t="s">
        <v>504</v>
      </c>
      <c r="U536" s="2" t="s">
        <v>406</v>
      </c>
      <c r="V536" s="2" t="s">
        <v>481</v>
      </c>
      <c r="W536" s="4">
        <v>1</v>
      </c>
      <c r="X536" s="2" t="s">
        <v>365</v>
      </c>
      <c r="Y536" s="4">
        <v>0</v>
      </c>
      <c r="Z536" s="4" t="s">
        <v>39</v>
      </c>
      <c r="AA536" s="2" t="s">
        <v>466</v>
      </c>
      <c r="AB536" s="2" t="s">
        <v>20</v>
      </c>
      <c r="AC536" s="2" t="s">
        <v>36</v>
      </c>
      <c r="AD536" s="4">
        <v>66</v>
      </c>
      <c r="AE536" s="2" t="s">
        <v>153</v>
      </c>
      <c r="AF536" s="2" t="s">
        <v>88</v>
      </c>
      <c r="AG536" s="2" t="s">
        <v>762</v>
      </c>
      <c r="AH536" s="2" t="s">
        <v>185</v>
      </c>
      <c r="AI536" s="2" t="s">
        <v>2075</v>
      </c>
      <c r="AJ536" s="4"/>
      <c r="AK536" s="2" t="s">
        <v>2253</v>
      </c>
      <c r="AL536" s="4"/>
      <c r="AN536" s="4" t="s">
        <v>999</v>
      </c>
      <c r="AO536" s="2" t="s">
        <v>11</v>
      </c>
      <c r="AP536" s="4"/>
      <c r="AQ536" s="4"/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Z536" s="2" t="s">
        <v>60</v>
      </c>
    </row>
    <row r="537" spans="2:52" x14ac:dyDescent="0.15">
      <c r="B537" s="2" t="s">
        <v>2258</v>
      </c>
      <c r="C537" s="2" t="s">
        <v>2255</v>
      </c>
      <c r="D537" s="2" t="s">
        <v>35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35</v>
      </c>
      <c r="H537" s="4" t="str">
        <f>VLOOKUP(G537,corpsSet!$B$5:$C$46,2,0)</f>
        <v>刘备</v>
      </c>
      <c r="I537" s="4" t="s">
        <v>213</v>
      </c>
      <c r="J537" s="4" t="str">
        <f>VLOOKUP(I537,citySet!$B$5:$C$46,2,0)</f>
        <v>江陵</v>
      </c>
      <c r="K537" s="2" t="s">
        <v>2254</v>
      </c>
      <c r="L537" s="2" t="s">
        <v>2256</v>
      </c>
      <c r="M537" s="2" t="s">
        <v>2257</v>
      </c>
      <c r="N537" s="4"/>
      <c r="O537" s="2" t="s">
        <v>394</v>
      </c>
      <c r="P537" s="2" t="s">
        <v>394</v>
      </c>
      <c r="Q537" s="4">
        <v>0</v>
      </c>
      <c r="R537" s="2" t="s">
        <v>370</v>
      </c>
      <c r="S537" s="2" t="s">
        <v>435</v>
      </c>
      <c r="T537" s="2" t="s">
        <v>499</v>
      </c>
      <c r="U537" s="2" t="s">
        <v>456</v>
      </c>
      <c r="V537" s="2" t="s">
        <v>422</v>
      </c>
      <c r="W537" s="4">
        <v>1</v>
      </c>
      <c r="X537" s="2" t="s">
        <v>365</v>
      </c>
      <c r="Y537" s="4">
        <v>0</v>
      </c>
      <c r="Z537" s="4" t="s">
        <v>39</v>
      </c>
      <c r="AA537" s="2" t="s">
        <v>185</v>
      </c>
      <c r="AB537" s="2" t="s">
        <v>95</v>
      </c>
      <c r="AC537" s="2" t="s">
        <v>208</v>
      </c>
      <c r="AD537" s="4">
        <v>77</v>
      </c>
      <c r="AE537" s="2" t="s">
        <v>397</v>
      </c>
      <c r="AF537" s="2" t="s">
        <v>256</v>
      </c>
      <c r="AG537" s="2" t="s">
        <v>568</v>
      </c>
      <c r="AH537" s="2" t="s">
        <v>185</v>
      </c>
      <c r="AI537" s="2" t="s">
        <v>2075</v>
      </c>
      <c r="AJ537" s="4"/>
      <c r="AK537" s="2" t="s">
        <v>2253</v>
      </c>
      <c r="AL537" s="4"/>
      <c r="AN537" s="4"/>
      <c r="AP537" s="4"/>
      <c r="AQ537" s="4"/>
      <c r="AS537" s="4">
        <v>0</v>
      </c>
      <c r="AT537" s="4">
        <v>0</v>
      </c>
      <c r="AU537" s="4">
        <v>1</v>
      </c>
      <c r="AV537" s="4">
        <v>0</v>
      </c>
      <c r="AW537" s="4">
        <v>0</v>
      </c>
      <c r="AX537" s="4">
        <v>0</v>
      </c>
      <c r="AZ537" s="2" t="s">
        <v>60</v>
      </c>
    </row>
    <row r="538" spans="2:52" x14ac:dyDescent="0.15">
      <c r="B538" s="2" t="s">
        <v>2005</v>
      </c>
      <c r="C538" s="2" t="s">
        <v>2259</v>
      </c>
      <c r="D538" s="2" t="s">
        <v>35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35</v>
      </c>
      <c r="H538" s="4" t="str">
        <f>VLOOKUP(G538,corpsSet!$B$5:$C$46,2,0)</f>
        <v>刘备</v>
      </c>
      <c r="I538" s="4" t="s">
        <v>213</v>
      </c>
      <c r="J538" s="4" t="str">
        <f>VLOOKUP(I538,citySet!$B$5:$C$46,2,0)</f>
        <v>江陵</v>
      </c>
      <c r="K538" s="2" t="s">
        <v>2254</v>
      </c>
      <c r="L538" s="2" t="s">
        <v>1733</v>
      </c>
      <c r="M538" s="2" t="s">
        <v>2260</v>
      </c>
      <c r="N538" s="4"/>
      <c r="O538" s="2" t="s">
        <v>478</v>
      </c>
      <c r="P538" s="2" t="s">
        <v>478</v>
      </c>
      <c r="Q538" s="4">
        <v>0</v>
      </c>
      <c r="R538" s="2" t="s">
        <v>370</v>
      </c>
      <c r="S538" s="2" t="s">
        <v>438</v>
      </c>
      <c r="T538" s="2" t="s">
        <v>477</v>
      </c>
      <c r="U538" s="2" t="s">
        <v>512</v>
      </c>
      <c r="V538" s="2" t="s">
        <v>227</v>
      </c>
      <c r="W538" s="4">
        <v>1</v>
      </c>
      <c r="X538" s="2" t="s">
        <v>365</v>
      </c>
      <c r="Y538" s="4">
        <v>0</v>
      </c>
      <c r="Z538" s="4" t="s">
        <v>39</v>
      </c>
      <c r="AA538" s="2" t="s">
        <v>185</v>
      </c>
      <c r="AB538" s="2" t="s">
        <v>3</v>
      </c>
      <c r="AC538" s="2" t="s">
        <v>269</v>
      </c>
      <c r="AD538" s="4">
        <v>32</v>
      </c>
      <c r="AE538" s="2" t="s">
        <v>189</v>
      </c>
      <c r="AF538" s="2" t="s">
        <v>189</v>
      </c>
      <c r="AG538" s="2" t="s">
        <v>467</v>
      </c>
      <c r="AH538" s="2" t="s">
        <v>185</v>
      </c>
      <c r="AI538" s="2" t="s">
        <v>2075</v>
      </c>
      <c r="AJ538" s="4"/>
      <c r="AK538" s="2" t="s">
        <v>2253</v>
      </c>
      <c r="AL538" s="4"/>
      <c r="AN538" s="4"/>
      <c r="AP538" s="4"/>
      <c r="AQ538" s="4"/>
      <c r="AS538" s="4">
        <v>1</v>
      </c>
      <c r="AT538" s="4">
        <v>0</v>
      </c>
      <c r="AU538" s="4">
        <v>1</v>
      </c>
      <c r="AV538" s="4">
        <v>0</v>
      </c>
      <c r="AW538" s="4">
        <v>0</v>
      </c>
      <c r="AX538" s="4">
        <v>0</v>
      </c>
      <c r="AZ538" s="2" t="s">
        <v>60</v>
      </c>
    </row>
    <row r="539" spans="2:52" x14ac:dyDescent="0.15">
      <c r="B539" s="2" t="s">
        <v>1465</v>
      </c>
      <c r="C539" s="2" t="s">
        <v>2261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107</v>
      </c>
      <c r="J539" s="4" t="str">
        <f>VLOOKUP(I539,citySet!$B$5:$C$46,2,0)</f>
        <v>天水</v>
      </c>
      <c r="K539" s="2" t="s">
        <v>2242</v>
      </c>
      <c r="L539" s="2" t="s">
        <v>2262</v>
      </c>
      <c r="N539" s="4"/>
      <c r="O539" s="2" t="s">
        <v>1225</v>
      </c>
      <c r="P539" s="2" t="s">
        <v>1225</v>
      </c>
      <c r="Q539" s="4">
        <v>0</v>
      </c>
      <c r="R539" s="2" t="s">
        <v>370</v>
      </c>
      <c r="S539" s="2" t="s">
        <v>417</v>
      </c>
      <c r="T539" s="2" t="s">
        <v>585</v>
      </c>
      <c r="U539" s="2" t="s">
        <v>667</v>
      </c>
      <c r="V539" s="2" t="s">
        <v>200</v>
      </c>
      <c r="W539" s="4">
        <v>2</v>
      </c>
      <c r="X539" s="2" t="s">
        <v>2983</v>
      </c>
      <c r="Y539" s="4">
        <v>0</v>
      </c>
      <c r="Z539" s="4" t="s">
        <v>39</v>
      </c>
      <c r="AA539" s="2" t="s">
        <v>60</v>
      </c>
      <c r="AB539" s="2" t="s">
        <v>153</v>
      </c>
      <c r="AC539" s="2" t="s">
        <v>404</v>
      </c>
      <c r="AD539" s="4">
        <v>73</v>
      </c>
      <c r="AE539" s="2" t="s">
        <v>423</v>
      </c>
      <c r="AF539" s="2" t="s">
        <v>445</v>
      </c>
      <c r="AG539" s="2" t="s">
        <v>1339</v>
      </c>
      <c r="AH539" s="2" t="s">
        <v>185</v>
      </c>
      <c r="AI539" s="2" t="s">
        <v>2005</v>
      </c>
      <c r="AJ539" s="4"/>
      <c r="AL539" s="4"/>
      <c r="AN539" s="4"/>
      <c r="AP539" s="4"/>
      <c r="AQ539" s="4"/>
      <c r="AS539" s="4">
        <v>1</v>
      </c>
      <c r="AT539" s="4">
        <v>1</v>
      </c>
      <c r="AU539" s="4">
        <v>0</v>
      </c>
      <c r="AV539" s="4">
        <v>1</v>
      </c>
      <c r="AW539" s="4">
        <v>1</v>
      </c>
      <c r="AX539" s="4">
        <v>0</v>
      </c>
      <c r="AZ539" s="2" t="s">
        <v>60</v>
      </c>
    </row>
    <row r="540" spans="2:52" x14ac:dyDescent="0.15">
      <c r="B540" s="2" t="s">
        <v>1470</v>
      </c>
      <c r="C540" s="2" t="s">
        <v>2263</v>
      </c>
      <c r="D540" s="2" t="s">
        <v>103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103</v>
      </c>
      <c r="H540" s="4" t="str">
        <f>VLOOKUP(G540,corpsSet!$B$5:$C$46,2,0)</f>
        <v>孔融</v>
      </c>
      <c r="I540" s="4" t="s">
        <v>30</v>
      </c>
      <c r="J540" s="4" t="str">
        <f>VLOOKUP(I540,citySet!$B$5:$C$46,2,0)</f>
        <v>北海</v>
      </c>
      <c r="K540" s="2" t="s">
        <v>2057</v>
      </c>
      <c r="L540" s="2" t="s">
        <v>963</v>
      </c>
      <c r="N540" s="4"/>
      <c r="O540" s="2" t="s">
        <v>1977</v>
      </c>
      <c r="P540" s="2" t="s">
        <v>1977</v>
      </c>
      <c r="Q540" s="4">
        <v>0</v>
      </c>
      <c r="R540" s="2" t="s">
        <v>370</v>
      </c>
      <c r="S540" s="2" t="s">
        <v>435</v>
      </c>
      <c r="T540" s="2" t="s">
        <v>824</v>
      </c>
      <c r="U540" s="2" t="s">
        <v>372</v>
      </c>
      <c r="V540" s="2" t="s">
        <v>99</v>
      </c>
      <c r="W540" s="4">
        <v>1</v>
      </c>
      <c r="X540" s="2" t="s">
        <v>365</v>
      </c>
      <c r="Y540" s="4">
        <v>3</v>
      </c>
      <c r="Z540" s="4" t="s">
        <v>696</v>
      </c>
      <c r="AA540" s="2" t="s">
        <v>228</v>
      </c>
      <c r="AB540" s="2" t="s">
        <v>445</v>
      </c>
      <c r="AC540" s="2" t="s">
        <v>397</v>
      </c>
      <c r="AD540" s="4">
        <v>34</v>
      </c>
      <c r="AE540" s="2" t="s">
        <v>95</v>
      </c>
      <c r="AF540" s="2" t="s">
        <v>15</v>
      </c>
      <c r="AG540" s="2" t="s">
        <v>548</v>
      </c>
      <c r="AH540" s="2" t="s">
        <v>185</v>
      </c>
      <c r="AI540" s="2" t="s">
        <v>1465</v>
      </c>
      <c r="AJ540" s="4"/>
      <c r="AL540" s="4"/>
      <c r="AN540" s="4"/>
      <c r="AP540" s="4"/>
      <c r="AQ540" s="4"/>
      <c r="AS540" s="4">
        <v>1</v>
      </c>
      <c r="AT540" s="4">
        <v>0</v>
      </c>
      <c r="AU540" s="4">
        <v>0</v>
      </c>
      <c r="AV540" s="4">
        <v>1</v>
      </c>
      <c r="AW540" s="4">
        <v>0</v>
      </c>
      <c r="AX540" s="4">
        <v>0</v>
      </c>
      <c r="AZ540" s="2" t="s">
        <v>60</v>
      </c>
    </row>
    <row r="541" spans="2:52" x14ac:dyDescent="0.15">
      <c r="B541" s="2" t="s">
        <v>1511</v>
      </c>
      <c r="C541" s="2" t="s">
        <v>2264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213</v>
      </c>
      <c r="J541" s="4" t="str">
        <f>VLOOKUP(I541,citySet!$B$5:$C$46,2,0)</f>
        <v>江陵</v>
      </c>
      <c r="K541" s="2" t="s">
        <v>2265</v>
      </c>
      <c r="L541" s="2" t="s">
        <v>2266</v>
      </c>
      <c r="M541" s="2" t="s">
        <v>2267</v>
      </c>
      <c r="N541" s="4"/>
      <c r="O541" s="2" t="s">
        <v>1963</v>
      </c>
      <c r="P541" s="2" t="s">
        <v>1963</v>
      </c>
      <c r="Q541" s="4">
        <v>0</v>
      </c>
      <c r="R541" s="2" t="s">
        <v>370</v>
      </c>
      <c r="S541" s="2" t="s">
        <v>772</v>
      </c>
      <c r="T541" s="2" t="s">
        <v>981</v>
      </c>
      <c r="U541" s="2" t="s">
        <v>512</v>
      </c>
      <c r="V541" s="2" t="s">
        <v>367</v>
      </c>
      <c r="W541" s="4">
        <v>2</v>
      </c>
      <c r="X541" s="2" t="s">
        <v>2983</v>
      </c>
      <c r="Y541" s="4">
        <v>0</v>
      </c>
      <c r="Z541" s="4" t="s">
        <v>39</v>
      </c>
      <c r="AA541" s="2" t="s">
        <v>60</v>
      </c>
      <c r="AB541" s="2" t="s">
        <v>374</v>
      </c>
      <c r="AC541" s="2" t="s">
        <v>515</v>
      </c>
      <c r="AD541" s="4">
        <v>39</v>
      </c>
      <c r="AE541" s="2" t="s">
        <v>237</v>
      </c>
      <c r="AF541" s="2" t="s">
        <v>423</v>
      </c>
      <c r="AG541" s="2" t="s">
        <v>496</v>
      </c>
      <c r="AH541" s="2" t="s">
        <v>185</v>
      </c>
      <c r="AI541" s="2" t="s">
        <v>1470</v>
      </c>
      <c r="AJ541" s="4"/>
      <c r="AL541" s="4"/>
      <c r="AN541" s="4"/>
      <c r="AP541" s="4"/>
      <c r="AQ541" s="4"/>
      <c r="AS541" s="4">
        <v>2</v>
      </c>
      <c r="AT541" s="4">
        <v>1</v>
      </c>
      <c r="AU541" s="4">
        <v>0</v>
      </c>
      <c r="AV541" s="4">
        <v>1</v>
      </c>
      <c r="AW541" s="4">
        <v>0</v>
      </c>
      <c r="AX541" s="4">
        <v>0</v>
      </c>
      <c r="AZ541" s="2" t="s">
        <v>60</v>
      </c>
    </row>
    <row r="542" spans="2:52" x14ac:dyDescent="0.15">
      <c r="B542" s="2" t="s">
        <v>1805</v>
      </c>
      <c r="C542" s="2" t="s">
        <v>2268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104</v>
      </c>
      <c r="J542" s="4" t="str">
        <f>VLOOKUP(I542,citySet!$B$5:$C$46,2,0)</f>
        <v>长安</v>
      </c>
      <c r="K542" s="2" t="s">
        <v>2271</v>
      </c>
      <c r="L542" s="2" t="s">
        <v>2272</v>
      </c>
      <c r="M542" s="2" t="s">
        <v>2273</v>
      </c>
      <c r="N542" s="4"/>
      <c r="O542" s="2" t="s">
        <v>2269</v>
      </c>
      <c r="P542" s="2" t="s">
        <v>2269</v>
      </c>
      <c r="Q542" s="4">
        <v>0</v>
      </c>
      <c r="R542" s="2" t="s">
        <v>370</v>
      </c>
      <c r="S542" s="2" t="s">
        <v>667</v>
      </c>
      <c r="T542" s="2" t="s">
        <v>490</v>
      </c>
      <c r="U542" s="2" t="s">
        <v>86</v>
      </c>
      <c r="V542" s="2" t="s">
        <v>25</v>
      </c>
      <c r="W542" s="4">
        <v>2</v>
      </c>
      <c r="X542" s="2" t="s">
        <v>2983</v>
      </c>
      <c r="Y542" s="4">
        <v>0</v>
      </c>
      <c r="Z542" s="4" t="s">
        <v>39</v>
      </c>
      <c r="AA542" s="2" t="s">
        <v>60</v>
      </c>
      <c r="AB542" s="2" t="s">
        <v>100</v>
      </c>
      <c r="AC542" s="2" t="s">
        <v>220</v>
      </c>
      <c r="AD542" s="4">
        <v>81</v>
      </c>
      <c r="AE542" s="2" t="s">
        <v>554</v>
      </c>
      <c r="AF542" s="2" t="s">
        <v>153</v>
      </c>
      <c r="AG542" s="2" t="s">
        <v>832</v>
      </c>
      <c r="AH542" s="2" t="s">
        <v>185</v>
      </c>
      <c r="AI542" s="2" t="s">
        <v>1511</v>
      </c>
      <c r="AJ542" s="4"/>
      <c r="AL542" s="4"/>
      <c r="AN542" s="4"/>
      <c r="AP542" s="4"/>
      <c r="AQ542" s="4"/>
      <c r="AS542" s="4">
        <v>0</v>
      </c>
      <c r="AT542" s="4">
        <v>0</v>
      </c>
      <c r="AU542" s="4">
        <v>1</v>
      </c>
      <c r="AV542" s="4">
        <v>0</v>
      </c>
      <c r="AW542" s="4">
        <v>1</v>
      </c>
      <c r="AX542" s="4">
        <v>0</v>
      </c>
      <c r="AZ542" s="2" t="s">
        <v>60</v>
      </c>
    </row>
    <row r="543" spans="2:52" x14ac:dyDescent="0.15">
      <c r="B543" s="2" t="s">
        <v>1510</v>
      </c>
      <c r="C543" s="2" t="s">
        <v>2274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31</v>
      </c>
      <c r="J543" s="4" t="str">
        <f>VLOOKUP(I543,citySet!$B$5:$C$46,2,0)</f>
        <v>蓟</v>
      </c>
      <c r="K543" s="2" t="s">
        <v>2275</v>
      </c>
      <c r="L543" s="2" t="s">
        <v>1711</v>
      </c>
      <c r="M543" s="2" t="s">
        <v>2276</v>
      </c>
      <c r="N543" s="4"/>
      <c r="O543" s="2" t="s">
        <v>1970</v>
      </c>
      <c r="P543" s="2" t="s">
        <v>1970</v>
      </c>
      <c r="Q543" s="4">
        <v>0</v>
      </c>
      <c r="R543" s="2" t="s">
        <v>370</v>
      </c>
      <c r="S543" s="2" t="s">
        <v>772</v>
      </c>
      <c r="T543" s="2" t="s">
        <v>981</v>
      </c>
      <c r="U543" s="2" t="s">
        <v>512</v>
      </c>
      <c r="V543" s="2" t="s">
        <v>227</v>
      </c>
      <c r="W543" s="4">
        <v>2</v>
      </c>
      <c r="X543" s="2" t="s">
        <v>2983</v>
      </c>
      <c r="Y543" s="4">
        <v>0</v>
      </c>
      <c r="Z543" s="4" t="s">
        <v>39</v>
      </c>
      <c r="AA543" s="2" t="s">
        <v>60</v>
      </c>
      <c r="AB543" s="2" t="s">
        <v>102</v>
      </c>
      <c r="AC543" s="2" t="s">
        <v>382</v>
      </c>
      <c r="AD543" s="4">
        <v>37</v>
      </c>
      <c r="AE543" s="2" t="s">
        <v>193</v>
      </c>
      <c r="AF543" s="2" t="s">
        <v>106</v>
      </c>
      <c r="AG543" s="2" t="s">
        <v>372</v>
      </c>
      <c r="AH543" s="2" t="s">
        <v>185</v>
      </c>
      <c r="AI543" s="2" t="s">
        <v>1805</v>
      </c>
      <c r="AJ543" s="4"/>
      <c r="AL543" s="4"/>
      <c r="AN543" s="4"/>
      <c r="AP543" s="4"/>
      <c r="AQ543" s="4"/>
      <c r="AS543" s="4">
        <v>0</v>
      </c>
      <c r="AT543" s="4">
        <v>1</v>
      </c>
      <c r="AU543" s="4">
        <v>1</v>
      </c>
      <c r="AV543" s="4">
        <v>0</v>
      </c>
      <c r="AW543" s="4">
        <v>0</v>
      </c>
      <c r="AX543" s="4">
        <v>0</v>
      </c>
      <c r="AZ543" s="2" t="s">
        <v>60</v>
      </c>
    </row>
    <row r="544" spans="2:52" x14ac:dyDescent="0.15">
      <c r="B544" s="2" t="s">
        <v>2146</v>
      </c>
      <c r="C544" s="2" t="s">
        <v>2277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208</v>
      </c>
      <c r="J544" s="4" t="str">
        <f>VLOOKUP(I544,citySet!$B$5:$C$46,2,0)</f>
        <v>新野</v>
      </c>
      <c r="K544" s="2" t="s">
        <v>2271</v>
      </c>
      <c r="L544" s="2" t="s">
        <v>2280</v>
      </c>
      <c r="N544" s="4"/>
      <c r="O544" s="2" t="s">
        <v>1972</v>
      </c>
      <c r="P544" s="2" t="s">
        <v>1972</v>
      </c>
      <c r="Q544" s="4">
        <v>0</v>
      </c>
      <c r="R544" s="2" t="s">
        <v>370</v>
      </c>
      <c r="S544" s="2" t="s">
        <v>424</v>
      </c>
      <c r="T544" s="2" t="s">
        <v>340</v>
      </c>
      <c r="U544" s="2" t="s">
        <v>919</v>
      </c>
      <c r="V544" s="2" t="s">
        <v>367</v>
      </c>
      <c r="W544" s="4">
        <v>2</v>
      </c>
      <c r="X544" s="2" t="s">
        <v>2983</v>
      </c>
      <c r="Y544" s="4">
        <v>0</v>
      </c>
      <c r="Z544" s="4" t="s">
        <v>39</v>
      </c>
      <c r="AA544" s="2" t="s">
        <v>60</v>
      </c>
      <c r="AB544" s="2" t="s">
        <v>261</v>
      </c>
      <c r="AC544" s="2" t="s">
        <v>256</v>
      </c>
      <c r="AD544" s="4">
        <v>72</v>
      </c>
      <c r="AE544" s="2" t="s">
        <v>102</v>
      </c>
      <c r="AF544" s="2" t="s">
        <v>423</v>
      </c>
      <c r="AG544" s="2" t="s">
        <v>1339</v>
      </c>
      <c r="AH544" s="2" t="s">
        <v>185</v>
      </c>
      <c r="AI544" s="2" t="s">
        <v>2278</v>
      </c>
      <c r="AJ544" s="4" t="s">
        <v>1395</v>
      </c>
      <c r="AK544" s="2" t="s">
        <v>2279</v>
      </c>
      <c r="AL544" s="4"/>
      <c r="AN544" s="4"/>
      <c r="AP544" s="4"/>
      <c r="AQ544" s="4"/>
      <c r="AS544" s="4">
        <v>1</v>
      </c>
      <c r="AT544" s="4">
        <v>2</v>
      </c>
      <c r="AU544" s="4">
        <v>0</v>
      </c>
      <c r="AV544" s="4">
        <v>2</v>
      </c>
      <c r="AW544" s="4">
        <v>1</v>
      </c>
      <c r="AX544" s="4">
        <v>0</v>
      </c>
      <c r="AZ544" s="2" t="s">
        <v>60</v>
      </c>
    </row>
    <row r="545" spans="2:52" x14ac:dyDescent="0.15">
      <c r="B545" s="2" t="s">
        <v>2278</v>
      </c>
      <c r="C545" s="2" t="s">
        <v>2281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104</v>
      </c>
      <c r="J545" s="4" t="str">
        <f>VLOOKUP(I545,citySet!$B$5:$C$46,2,0)</f>
        <v>长安</v>
      </c>
      <c r="K545" s="2" t="s">
        <v>2271</v>
      </c>
      <c r="L545" s="2" t="s">
        <v>2282</v>
      </c>
      <c r="M545" s="2" t="s">
        <v>2283</v>
      </c>
      <c r="N545" s="4"/>
      <c r="O545" s="2" t="s">
        <v>1975</v>
      </c>
      <c r="P545" s="2" t="s">
        <v>1975</v>
      </c>
      <c r="Q545" s="4">
        <v>0</v>
      </c>
      <c r="R545" s="2" t="s">
        <v>370</v>
      </c>
      <c r="S545" s="2" t="s">
        <v>435</v>
      </c>
      <c r="T545" s="2" t="s">
        <v>394</v>
      </c>
      <c r="U545" s="2" t="s">
        <v>424</v>
      </c>
      <c r="V545" s="2" t="s">
        <v>207</v>
      </c>
      <c r="W545" s="4">
        <v>2</v>
      </c>
      <c r="X545" s="2" t="s">
        <v>2983</v>
      </c>
      <c r="Y545" s="4">
        <v>0</v>
      </c>
      <c r="Z545" s="4" t="s">
        <v>39</v>
      </c>
      <c r="AA545" s="2" t="s">
        <v>60</v>
      </c>
      <c r="AB545" s="2" t="s">
        <v>17</v>
      </c>
      <c r="AC545" s="2" t="s">
        <v>41</v>
      </c>
      <c r="AD545" s="4">
        <v>69</v>
      </c>
      <c r="AE545" s="2" t="s">
        <v>374</v>
      </c>
      <c r="AF545" s="2" t="s">
        <v>102</v>
      </c>
      <c r="AG545" s="2" t="s">
        <v>675</v>
      </c>
      <c r="AH545" s="2" t="s">
        <v>185</v>
      </c>
      <c r="AI545" s="2" t="s">
        <v>2146</v>
      </c>
      <c r="AJ545" s="4"/>
      <c r="AL545" s="4"/>
      <c r="AN545" s="4"/>
      <c r="AP545" s="4"/>
      <c r="AQ545" s="4"/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Z545" s="2" t="s">
        <v>60</v>
      </c>
    </row>
    <row r="546" spans="2:52" x14ac:dyDescent="0.15">
      <c r="B546" s="2" t="s">
        <v>1395</v>
      </c>
      <c r="C546" s="2" t="s">
        <v>2279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208</v>
      </c>
      <c r="J546" s="4" t="str">
        <f>VLOOKUP(I546,citySet!$B$5:$C$46,2,0)</f>
        <v>新野</v>
      </c>
      <c r="K546" s="2" t="s">
        <v>2271</v>
      </c>
      <c r="L546" s="2" t="s">
        <v>2284</v>
      </c>
      <c r="N546" s="4"/>
      <c r="O546" s="2" t="s">
        <v>1603</v>
      </c>
      <c r="P546" s="2" t="s">
        <v>1603</v>
      </c>
      <c r="Q546" s="4">
        <v>0</v>
      </c>
      <c r="R546" s="2" t="s">
        <v>370</v>
      </c>
      <c r="S546" s="2" t="s">
        <v>505</v>
      </c>
      <c r="T546" s="2" t="s">
        <v>426</v>
      </c>
      <c r="U546" s="2" t="s">
        <v>512</v>
      </c>
      <c r="V546" s="2" t="s">
        <v>367</v>
      </c>
      <c r="W546" s="4">
        <v>2</v>
      </c>
      <c r="X546" s="2" t="s">
        <v>2983</v>
      </c>
      <c r="Y546" s="4">
        <v>0</v>
      </c>
      <c r="Z546" s="4" t="s">
        <v>39</v>
      </c>
      <c r="AA546" s="2" t="s">
        <v>60</v>
      </c>
      <c r="AB546" s="2" t="s">
        <v>404</v>
      </c>
      <c r="AC546" s="2" t="s">
        <v>374</v>
      </c>
      <c r="AD546" s="4">
        <v>46</v>
      </c>
      <c r="AE546" s="2" t="s">
        <v>98</v>
      </c>
      <c r="AF546" s="2" t="s">
        <v>382</v>
      </c>
      <c r="AG546" s="2" t="s">
        <v>325</v>
      </c>
      <c r="AH546" s="2" t="s">
        <v>185</v>
      </c>
      <c r="AI546" s="2" t="s">
        <v>2278</v>
      </c>
      <c r="AJ546" s="4"/>
      <c r="AL546" s="4"/>
      <c r="AN546" s="4"/>
      <c r="AP546" s="4"/>
      <c r="AQ546" s="4"/>
      <c r="AS546" s="4">
        <v>1</v>
      </c>
      <c r="AT546" s="4">
        <v>2</v>
      </c>
      <c r="AU546" s="4">
        <v>0</v>
      </c>
      <c r="AV546" s="4">
        <v>1</v>
      </c>
      <c r="AW546" s="4">
        <v>0</v>
      </c>
      <c r="AX546" s="4">
        <v>0</v>
      </c>
      <c r="AZ546" s="2" t="s">
        <v>60</v>
      </c>
    </row>
    <row r="547" spans="2:52" x14ac:dyDescent="0.15">
      <c r="B547" s="2" t="s">
        <v>672</v>
      </c>
      <c r="C547" s="2" t="s">
        <v>300</v>
      </c>
      <c r="D547" s="2" t="s">
        <v>226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226</v>
      </c>
      <c r="H547" s="4" t="str">
        <f>VLOOKUP(G547,corpsSet!$B$5:$C$46,2,0)</f>
        <v>毌丘俭</v>
      </c>
      <c r="I547" s="4" t="s">
        <v>24</v>
      </c>
      <c r="J547" s="4" t="str">
        <f>VLOOKUP(I547,citySet!$B$5:$C$46,2,0)</f>
        <v>寿春</v>
      </c>
      <c r="K547" s="2" t="s">
        <v>2286</v>
      </c>
      <c r="L547" s="2" t="s">
        <v>2287</v>
      </c>
      <c r="N547" s="4"/>
      <c r="O547" s="2" t="s">
        <v>499</v>
      </c>
      <c r="P547" s="2" t="s">
        <v>499</v>
      </c>
      <c r="Q547" s="4">
        <v>0</v>
      </c>
      <c r="R547" s="2" t="s">
        <v>370</v>
      </c>
      <c r="S547" s="2" t="s">
        <v>562</v>
      </c>
      <c r="T547" s="2" t="s">
        <v>512</v>
      </c>
      <c r="U547" s="2" t="s">
        <v>496</v>
      </c>
      <c r="V547" s="2" t="s">
        <v>207</v>
      </c>
      <c r="W547" s="4">
        <v>1</v>
      </c>
      <c r="X547" s="2" t="s">
        <v>365</v>
      </c>
      <c r="Y547" s="4">
        <v>2</v>
      </c>
      <c r="Z547" s="4" t="s">
        <v>443</v>
      </c>
      <c r="AA547" s="2" t="s">
        <v>228</v>
      </c>
      <c r="AB547" s="2" t="s">
        <v>434</v>
      </c>
      <c r="AC547" s="2" t="s">
        <v>148</v>
      </c>
      <c r="AD547" s="4">
        <v>60</v>
      </c>
      <c r="AE547" s="2" t="s">
        <v>5</v>
      </c>
      <c r="AF547" s="2" t="s">
        <v>382</v>
      </c>
      <c r="AG547" s="2" t="s">
        <v>240</v>
      </c>
      <c r="AH547" s="2" t="s">
        <v>185</v>
      </c>
      <c r="AI547" s="2" t="s">
        <v>672</v>
      </c>
      <c r="AJ547" s="4" t="s">
        <v>482</v>
      </c>
      <c r="AK547" s="2" t="s">
        <v>2285</v>
      </c>
      <c r="AL547" s="4"/>
      <c r="AN547" s="4"/>
      <c r="AP547" s="4"/>
      <c r="AQ547" s="4"/>
      <c r="AS547" s="4">
        <v>1</v>
      </c>
      <c r="AT547" s="4">
        <v>0</v>
      </c>
      <c r="AU547" s="4">
        <v>2</v>
      </c>
      <c r="AV547" s="4">
        <v>3</v>
      </c>
      <c r="AW547" s="4">
        <v>0</v>
      </c>
      <c r="AX547" s="4">
        <v>0</v>
      </c>
      <c r="AZ547" s="2" t="s">
        <v>60</v>
      </c>
    </row>
    <row r="548" spans="2:52" x14ac:dyDescent="0.15">
      <c r="B548" s="2" t="s">
        <v>482</v>
      </c>
      <c r="C548" s="2" t="s">
        <v>2285</v>
      </c>
      <c r="D548" s="2" t="s">
        <v>226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226</v>
      </c>
      <c r="H548" s="4" t="str">
        <f>VLOOKUP(G548,corpsSet!$B$5:$C$46,2,0)</f>
        <v>毌丘俭</v>
      </c>
      <c r="I548" s="4" t="s">
        <v>24</v>
      </c>
      <c r="J548" s="4" t="str">
        <f>VLOOKUP(I548,citySet!$B$5:$C$46,2,0)</f>
        <v>寿春</v>
      </c>
      <c r="K548" s="2" t="s">
        <v>2286</v>
      </c>
      <c r="L548" s="2" t="s">
        <v>1492</v>
      </c>
      <c r="M548" s="2" t="s">
        <v>2288</v>
      </c>
      <c r="N548" s="4"/>
      <c r="O548" s="2" t="s">
        <v>373</v>
      </c>
      <c r="P548" s="2" t="s">
        <v>373</v>
      </c>
      <c r="Q548" s="4">
        <v>0</v>
      </c>
      <c r="R548" s="2" t="s">
        <v>370</v>
      </c>
      <c r="S548" s="2" t="s">
        <v>371</v>
      </c>
      <c r="T548" s="2" t="s">
        <v>950</v>
      </c>
      <c r="U548" s="2" t="s">
        <v>447</v>
      </c>
      <c r="V548" s="2" t="s">
        <v>207</v>
      </c>
      <c r="W548" s="4">
        <v>1</v>
      </c>
      <c r="X548" s="2" t="s">
        <v>365</v>
      </c>
      <c r="Y548" s="4">
        <v>3</v>
      </c>
      <c r="Z548" s="4" t="s">
        <v>696</v>
      </c>
      <c r="AA548" s="2" t="s">
        <v>413</v>
      </c>
      <c r="AB548" s="2" t="s">
        <v>367</v>
      </c>
      <c r="AC548" s="2" t="s">
        <v>397</v>
      </c>
      <c r="AD548" s="4">
        <v>43</v>
      </c>
      <c r="AE548" s="2" t="s">
        <v>219</v>
      </c>
      <c r="AF548" s="2" t="s">
        <v>10</v>
      </c>
      <c r="AG548" s="2" t="s">
        <v>651</v>
      </c>
      <c r="AH548" s="2" t="s">
        <v>185</v>
      </c>
      <c r="AI548" s="2" t="s">
        <v>672</v>
      </c>
      <c r="AJ548" s="4"/>
      <c r="AL548" s="4"/>
      <c r="AN548" s="4"/>
      <c r="AP548" s="4"/>
      <c r="AQ548" s="4"/>
      <c r="AS548" s="4">
        <v>2</v>
      </c>
      <c r="AT548" s="4">
        <v>2</v>
      </c>
      <c r="AU548" s="4">
        <v>1</v>
      </c>
      <c r="AV548" s="4">
        <v>1</v>
      </c>
      <c r="AW548" s="4">
        <v>0</v>
      </c>
      <c r="AX548" s="4">
        <v>0</v>
      </c>
      <c r="AZ548" s="2" t="s">
        <v>60</v>
      </c>
    </row>
    <row r="549" spans="2:52" x14ac:dyDescent="0.15">
      <c r="B549" s="2" t="s">
        <v>1467</v>
      </c>
      <c r="C549" s="2" t="s">
        <v>2289</v>
      </c>
      <c r="D549" s="2" t="s">
        <v>226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226</v>
      </c>
      <c r="H549" s="4" t="str">
        <f>VLOOKUP(G549,corpsSet!$B$5:$C$46,2,0)</f>
        <v>毌丘俭</v>
      </c>
      <c r="I549" s="4" t="s">
        <v>24</v>
      </c>
      <c r="J549" s="4" t="str">
        <f>VLOOKUP(I549,citySet!$B$5:$C$46,2,0)</f>
        <v>寿春</v>
      </c>
      <c r="K549" s="2" t="s">
        <v>2286</v>
      </c>
      <c r="L549" s="2" t="s">
        <v>1913</v>
      </c>
      <c r="N549" s="4"/>
      <c r="O549" s="2" t="s">
        <v>2290</v>
      </c>
      <c r="P549" s="2" t="s">
        <v>2290</v>
      </c>
      <c r="Q549" s="4">
        <v>0</v>
      </c>
      <c r="R549" s="2" t="s">
        <v>370</v>
      </c>
      <c r="S549" s="2" t="s">
        <v>1136</v>
      </c>
      <c r="T549" s="2" t="s">
        <v>519</v>
      </c>
      <c r="U549" s="2" t="s">
        <v>907</v>
      </c>
      <c r="V549" s="2" t="s">
        <v>207</v>
      </c>
      <c r="W549" s="4">
        <v>1</v>
      </c>
      <c r="X549" s="2" t="s">
        <v>365</v>
      </c>
      <c r="Y549" s="4">
        <v>0</v>
      </c>
      <c r="Z549" s="4" t="s">
        <v>39</v>
      </c>
      <c r="AA549" s="2" t="s">
        <v>228</v>
      </c>
      <c r="AB549" s="2" t="s">
        <v>404</v>
      </c>
      <c r="AC549" s="2" t="s">
        <v>374</v>
      </c>
      <c r="AD549" s="4">
        <v>45</v>
      </c>
      <c r="AE549" s="2" t="s">
        <v>119</v>
      </c>
      <c r="AF549" s="2" t="s">
        <v>485</v>
      </c>
      <c r="AG549" s="2" t="s">
        <v>1014</v>
      </c>
      <c r="AH549" s="2" t="s">
        <v>185</v>
      </c>
      <c r="AI549" s="2" t="s">
        <v>672</v>
      </c>
      <c r="AJ549" s="4" t="s">
        <v>482</v>
      </c>
      <c r="AK549" s="2" t="s">
        <v>2285</v>
      </c>
      <c r="AL549" s="4"/>
      <c r="AN549" s="4"/>
      <c r="AP549" s="4"/>
      <c r="AQ549" s="4"/>
      <c r="AS549" s="4">
        <v>1</v>
      </c>
      <c r="AT549" s="4">
        <v>0</v>
      </c>
      <c r="AU549" s="4">
        <v>0</v>
      </c>
      <c r="AV549" s="4">
        <v>1</v>
      </c>
      <c r="AW549" s="4">
        <v>1</v>
      </c>
      <c r="AX549" s="4">
        <v>0</v>
      </c>
      <c r="AZ549" s="2" t="s">
        <v>60</v>
      </c>
    </row>
    <row r="550" spans="2:52" x14ac:dyDescent="0.15">
      <c r="B550" s="2" t="s">
        <v>2292</v>
      </c>
      <c r="C550" s="2" t="s">
        <v>3111</v>
      </c>
      <c r="D550" s="2" t="s">
        <v>30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30</v>
      </c>
      <c r="H550" s="4" t="str">
        <f>VLOOKUP(G550,corpsSet!$B$5:$C$46,2,0)</f>
        <v>袁绍</v>
      </c>
      <c r="I550" s="4" t="s">
        <v>37</v>
      </c>
      <c r="J550" s="4" t="str">
        <f>VLOOKUP(I550,citySet!$B$5:$C$46,2,0)</f>
        <v>南皮</v>
      </c>
      <c r="K550" s="2" t="s">
        <v>2286</v>
      </c>
      <c r="L550" s="2" t="s">
        <v>2291</v>
      </c>
      <c r="N550" s="4"/>
      <c r="O550" s="2" t="s">
        <v>24</v>
      </c>
      <c r="P550" s="2" t="s">
        <v>24</v>
      </c>
      <c r="Q550" s="4">
        <v>0</v>
      </c>
      <c r="R550" s="2" t="s">
        <v>370</v>
      </c>
      <c r="S550" s="2" t="s">
        <v>435</v>
      </c>
      <c r="T550" s="2" t="s">
        <v>759</v>
      </c>
      <c r="U550" s="2" t="s">
        <v>950</v>
      </c>
      <c r="V550" s="2" t="s">
        <v>366</v>
      </c>
      <c r="W550" s="4">
        <v>1</v>
      </c>
      <c r="X550" s="2" t="s">
        <v>365</v>
      </c>
      <c r="Y550" s="4">
        <v>3</v>
      </c>
      <c r="Z550" s="4" t="s">
        <v>696</v>
      </c>
      <c r="AA550" s="2" t="s">
        <v>185</v>
      </c>
      <c r="AB550" s="2" t="s">
        <v>431</v>
      </c>
      <c r="AC550" s="2" t="s">
        <v>175</v>
      </c>
      <c r="AD550" s="4">
        <v>25</v>
      </c>
      <c r="AE550" s="2" t="s">
        <v>196</v>
      </c>
      <c r="AF550" s="2" t="s">
        <v>207</v>
      </c>
      <c r="AG550" s="2" t="s">
        <v>408</v>
      </c>
      <c r="AH550" s="2" t="s">
        <v>185</v>
      </c>
      <c r="AI550" s="2" t="s">
        <v>1467</v>
      </c>
      <c r="AJ550" s="4"/>
      <c r="AL550" s="4"/>
      <c r="AN550" s="4"/>
      <c r="AP550" s="4"/>
      <c r="AQ550" s="4"/>
      <c r="AS550" s="4">
        <v>2</v>
      </c>
      <c r="AT550" s="4">
        <v>1</v>
      </c>
      <c r="AU550" s="4">
        <v>2</v>
      </c>
      <c r="AV550" s="4">
        <v>3</v>
      </c>
      <c r="AW550" s="4">
        <v>0</v>
      </c>
      <c r="AX550" s="4">
        <v>0</v>
      </c>
      <c r="AZ550" s="2" t="s">
        <v>60</v>
      </c>
    </row>
    <row r="551" spans="2:52" x14ac:dyDescent="0.15">
      <c r="B551" s="2" t="s">
        <v>2296</v>
      </c>
      <c r="C551" s="2" t="s">
        <v>2293</v>
      </c>
      <c r="D551" s="2" t="s">
        <v>34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34</v>
      </c>
      <c r="H551" s="4" t="str">
        <f>VLOOKUP(G551,corpsSet!$B$5:$C$46,2,0)</f>
        <v>刘表</v>
      </c>
      <c r="I551" s="4" t="s">
        <v>119</v>
      </c>
      <c r="J551" s="4" t="str">
        <f>VLOOKUP(I551,citySet!$B$5:$C$46,2,0)</f>
        <v>襄阳</v>
      </c>
      <c r="K551" s="2" t="s">
        <v>2286</v>
      </c>
      <c r="L551" s="2" t="s">
        <v>2294</v>
      </c>
      <c r="M551" s="2" t="s">
        <v>2295</v>
      </c>
      <c r="N551" s="4"/>
      <c r="O551" s="2" t="s">
        <v>231</v>
      </c>
      <c r="P551" s="2" t="s">
        <v>231</v>
      </c>
      <c r="Q551" s="4">
        <v>0</v>
      </c>
      <c r="R551" s="2" t="s">
        <v>370</v>
      </c>
      <c r="S551" s="2" t="s">
        <v>425</v>
      </c>
      <c r="T551" s="2" t="s">
        <v>725</v>
      </c>
      <c r="U551" s="2" t="s">
        <v>626</v>
      </c>
      <c r="V551" s="2" t="s">
        <v>25</v>
      </c>
      <c r="W551" s="4">
        <v>1</v>
      </c>
      <c r="X551" s="2" t="s">
        <v>365</v>
      </c>
      <c r="Y551" s="4">
        <v>0</v>
      </c>
      <c r="Z551" s="4" t="s">
        <v>39</v>
      </c>
      <c r="AA551" s="2" t="s">
        <v>185</v>
      </c>
      <c r="AB551" s="2" t="s">
        <v>258</v>
      </c>
      <c r="AC551" s="2" t="s">
        <v>554</v>
      </c>
      <c r="AD551" s="4">
        <v>66</v>
      </c>
      <c r="AE551" s="2" t="s">
        <v>454</v>
      </c>
      <c r="AF551" s="2" t="s">
        <v>374</v>
      </c>
      <c r="AG551" s="2" t="s">
        <v>1800</v>
      </c>
      <c r="AH551" s="2" t="s">
        <v>185</v>
      </c>
      <c r="AI551" s="2" t="s">
        <v>2292</v>
      </c>
      <c r="AJ551" s="4"/>
      <c r="AL551" s="4"/>
      <c r="AN551" s="4"/>
      <c r="AP551" s="4"/>
      <c r="AQ551" s="4"/>
      <c r="AS551" s="4">
        <v>2</v>
      </c>
      <c r="AT551" s="4">
        <v>3</v>
      </c>
      <c r="AU551" s="4">
        <v>1</v>
      </c>
      <c r="AV551" s="4">
        <v>0</v>
      </c>
      <c r="AW551" s="4">
        <v>1</v>
      </c>
      <c r="AX551" s="4">
        <v>2</v>
      </c>
      <c r="AZ551" s="2" t="s">
        <v>60</v>
      </c>
    </row>
    <row r="552" spans="2:52" x14ac:dyDescent="0.15">
      <c r="B552" s="2" t="s">
        <v>1225</v>
      </c>
      <c r="C552" s="2" t="s">
        <v>2297</v>
      </c>
      <c r="D552" s="2" t="s">
        <v>25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25</v>
      </c>
      <c r="H552" s="4" t="str">
        <f>VLOOKUP(G552,corpsSet!$B$5:$C$46,2,0)</f>
        <v>张角</v>
      </c>
      <c r="I552" s="4" t="s">
        <v>20</v>
      </c>
      <c r="J552" s="4" t="str">
        <f>VLOOKUP(I552,citySet!$B$5:$C$46,2,0)</f>
        <v>濮阳</v>
      </c>
      <c r="K552" s="2" t="s">
        <v>2298</v>
      </c>
      <c r="L552" s="2" t="s">
        <v>2299</v>
      </c>
      <c r="N552" s="4"/>
      <c r="O552" s="2" t="s">
        <v>1980</v>
      </c>
      <c r="P552" s="2" t="s">
        <v>1980</v>
      </c>
      <c r="Q552" s="4">
        <v>0</v>
      </c>
      <c r="R552" s="2" t="s">
        <v>370</v>
      </c>
      <c r="S552" s="2" t="s">
        <v>435</v>
      </c>
      <c r="T552" s="2" t="s">
        <v>477</v>
      </c>
      <c r="U552" s="2" t="s">
        <v>950</v>
      </c>
      <c r="V552" s="2" t="s">
        <v>30</v>
      </c>
      <c r="W552" s="4">
        <v>1</v>
      </c>
      <c r="X552" s="2" t="s">
        <v>365</v>
      </c>
      <c r="Y552" s="4">
        <v>0</v>
      </c>
      <c r="Z552" s="4" t="s">
        <v>39</v>
      </c>
      <c r="AA552" s="2" t="s">
        <v>403</v>
      </c>
      <c r="AB552" s="2" t="s">
        <v>201</v>
      </c>
      <c r="AC552" s="2" t="s">
        <v>153</v>
      </c>
      <c r="AD552" s="4">
        <v>59</v>
      </c>
      <c r="AE552" s="2" t="s">
        <v>226</v>
      </c>
      <c r="AF552" s="2" t="s">
        <v>193</v>
      </c>
      <c r="AG552" s="2" t="s">
        <v>786</v>
      </c>
      <c r="AH552" s="2" t="s">
        <v>185</v>
      </c>
      <c r="AI552" s="2" t="s">
        <v>2296</v>
      </c>
      <c r="AJ552" s="4"/>
      <c r="AL552" s="4"/>
      <c r="AN552" s="4"/>
      <c r="AP552" s="4"/>
      <c r="AQ552" s="4"/>
      <c r="AS552" s="4">
        <v>1</v>
      </c>
      <c r="AT552" s="4">
        <v>0</v>
      </c>
      <c r="AU552" s="4">
        <v>1</v>
      </c>
      <c r="AV552" s="4">
        <v>0</v>
      </c>
      <c r="AW552" s="4">
        <v>1</v>
      </c>
      <c r="AX552" s="4">
        <v>0</v>
      </c>
      <c r="AZ552" s="2" t="s">
        <v>60</v>
      </c>
    </row>
    <row r="553" spans="2:52" x14ac:dyDescent="0.15">
      <c r="B553" s="2" t="s">
        <v>2301</v>
      </c>
      <c r="C553" s="2" t="s">
        <v>1703</v>
      </c>
      <c r="D553" s="2" t="s">
        <v>27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27</v>
      </c>
      <c r="H553" s="4" t="str">
        <f>VLOOKUP(G553,corpsSet!$B$5:$C$46,2,0)</f>
        <v>曹操</v>
      </c>
      <c r="I553" s="4" t="s">
        <v>17</v>
      </c>
      <c r="J553" s="4" t="str">
        <f>VLOOKUP(I553,citySet!$B$5:$C$46,2,0)</f>
        <v>许昌</v>
      </c>
      <c r="K553" s="2" t="s">
        <v>2298</v>
      </c>
      <c r="L553" s="2" t="s">
        <v>1326</v>
      </c>
      <c r="N553" s="4"/>
      <c r="O553" s="2" t="s">
        <v>2300</v>
      </c>
      <c r="P553" s="2" t="s">
        <v>2300</v>
      </c>
      <c r="Q553" s="4">
        <v>1</v>
      </c>
      <c r="R553" s="2" t="s">
        <v>577</v>
      </c>
      <c r="S553" s="2" t="s">
        <v>435</v>
      </c>
      <c r="T553" s="2" t="s">
        <v>933</v>
      </c>
      <c r="U553" s="2" t="s">
        <v>424</v>
      </c>
      <c r="V553" s="2" t="s">
        <v>196</v>
      </c>
      <c r="W553" s="4">
        <v>1</v>
      </c>
      <c r="X553" s="2" t="s">
        <v>365</v>
      </c>
      <c r="Y553" s="4">
        <v>0</v>
      </c>
      <c r="Z553" s="4" t="s">
        <v>39</v>
      </c>
      <c r="AA553" s="2" t="s">
        <v>466</v>
      </c>
      <c r="AB553" s="2" t="s">
        <v>15</v>
      </c>
      <c r="AC553" s="2" t="s">
        <v>193</v>
      </c>
      <c r="AD553" s="4">
        <v>74</v>
      </c>
      <c r="AE553" s="2" t="s">
        <v>434</v>
      </c>
      <c r="AF553" s="2" t="s">
        <v>837</v>
      </c>
      <c r="AG553" s="2" t="s">
        <v>627</v>
      </c>
      <c r="AH553" s="2" t="s">
        <v>185</v>
      </c>
      <c r="AI553" s="2" t="s">
        <v>1225</v>
      </c>
      <c r="AJ553" s="4"/>
      <c r="AL553" s="4"/>
      <c r="AN553" s="4" t="s">
        <v>511</v>
      </c>
      <c r="AO553" s="2" t="s">
        <v>9</v>
      </c>
      <c r="AP553" s="4"/>
      <c r="AQ553" s="4"/>
      <c r="AS553" s="4">
        <v>0</v>
      </c>
      <c r="AT553" s="4">
        <v>0</v>
      </c>
      <c r="AU553" s="4">
        <v>0</v>
      </c>
      <c r="AV553" s="4">
        <v>1</v>
      </c>
      <c r="AW553" s="4">
        <v>0</v>
      </c>
      <c r="AX553" s="4">
        <v>0</v>
      </c>
      <c r="AZ553" s="2" t="s">
        <v>60</v>
      </c>
    </row>
    <row r="554" spans="2:52" x14ac:dyDescent="0.15">
      <c r="B554" s="2" t="s">
        <v>1384</v>
      </c>
      <c r="C554" s="2" t="s">
        <v>2302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36</v>
      </c>
      <c r="J554" s="4" t="str">
        <f>VLOOKUP(I554,citySet!$B$5:$C$46,2,0)</f>
        <v>晋阳</v>
      </c>
      <c r="K554" s="2" t="s">
        <v>2303</v>
      </c>
      <c r="L554" s="2" t="s">
        <v>2304</v>
      </c>
      <c r="N554" s="4"/>
      <c r="O554" s="2" t="s">
        <v>1395</v>
      </c>
      <c r="P554" s="2" t="s">
        <v>1395</v>
      </c>
      <c r="Q554" s="4">
        <v>0</v>
      </c>
      <c r="R554" s="2" t="s">
        <v>370</v>
      </c>
      <c r="S554" s="2" t="s">
        <v>435</v>
      </c>
      <c r="T554" s="2" t="s">
        <v>995</v>
      </c>
      <c r="U554" s="2" t="s">
        <v>372</v>
      </c>
      <c r="V554" s="2" t="s">
        <v>175</v>
      </c>
      <c r="W554" s="4">
        <v>2</v>
      </c>
      <c r="X554" s="2" t="s">
        <v>2983</v>
      </c>
      <c r="Y554" s="4">
        <v>0</v>
      </c>
      <c r="Z554" s="4" t="s">
        <v>39</v>
      </c>
      <c r="AA554" s="2" t="s">
        <v>60</v>
      </c>
      <c r="AB554" s="2" t="s">
        <v>321</v>
      </c>
      <c r="AC554" s="2" t="s">
        <v>329</v>
      </c>
      <c r="AD554" s="4">
        <v>44</v>
      </c>
      <c r="AE554" s="2" t="s">
        <v>102</v>
      </c>
      <c r="AF554" s="2" t="s">
        <v>254</v>
      </c>
      <c r="AG554" s="2" t="s">
        <v>330</v>
      </c>
      <c r="AH554" s="2" t="s">
        <v>185</v>
      </c>
      <c r="AI554" s="2" t="s">
        <v>2301</v>
      </c>
      <c r="AJ554" s="4"/>
      <c r="AL554" s="4"/>
      <c r="AN554" s="4"/>
      <c r="AP554" s="4"/>
      <c r="AQ554" s="4"/>
      <c r="AS554" s="4">
        <v>2</v>
      </c>
      <c r="AT554" s="4">
        <v>0</v>
      </c>
      <c r="AU554" s="4">
        <v>0</v>
      </c>
      <c r="AV554" s="4">
        <v>1</v>
      </c>
      <c r="AW554" s="4">
        <v>0</v>
      </c>
      <c r="AX554" s="4">
        <v>0</v>
      </c>
      <c r="AZ554" s="2" t="s">
        <v>60</v>
      </c>
    </row>
    <row r="555" spans="2:52" x14ac:dyDescent="0.15">
      <c r="B555" s="2" t="s">
        <v>1627</v>
      </c>
      <c r="C555" s="2" t="s">
        <v>2305</v>
      </c>
      <c r="D555" s="2" t="s">
        <v>37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37</v>
      </c>
      <c r="H555" s="4" t="str">
        <f>VLOOKUP(G555,corpsSet!$B$5:$C$46,2,0)</f>
        <v>马腾</v>
      </c>
      <c r="I555" s="4" t="s">
        <v>10</v>
      </c>
      <c r="J555" s="4" t="str">
        <f>VLOOKUP(I555,citySet!$B$5:$C$46,2,0)</f>
        <v>武威</v>
      </c>
      <c r="K555" s="2" t="s">
        <v>2307</v>
      </c>
      <c r="L555" s="2" t="s">
        <v>1481</v>
      </c>
      <c r="N555" s="4"/>
      <c r="O555" s="2" t="s">
        <v>2213</v>
      </c>
      <c r="P555" s="2" t="s">
        <v>2213</v>
      </c>
      <c r="Q555" s="4">
        <v>0</v>
      </c>
      <c r="R555" s="2" t="s">
        <v>370</v>
      </c>
      <c r="S555" s="2" t="s">
        <v>702</v>
      </c>
      <c r="T555" s="2" t="s">
        <v>90</v>
      </c>
      <c r="U555" s="2" t="s">
        <v>658</v>
      </c>
      <c r="V555" s="2" t="s">
        <v>257</v>
      </c>
      <c r="W555" s="4">
        <v>1</v>
      </c>
      <c r="X555" s="2" t="s">
        <v>365</v>
      </c>
      <c r="Y555" s="4">
        <v>0</v>
      </c>
      <c r="Z555" s="4" t="s">
        <v>39</v>
      </c>
      <c r="AA555" s="2" t="s">
        <v>403</v>
      </c>
      <c r="AB555" s="2" t="s">
        <v>454</v>
      </c>
      <c r="AC555" s="2" t="s">
        <v>481</v>
      </c>
      <c r="AD555" s="4">
        <v>49</v>
      </c>
      <c r="AE555" s="2" t="s">
        <v>98</v>
      </c>
      <c r="AF555" s="2" t="s">
        <v>14</v>
      </c>
      <c r="AG555" s="2" t="s">
        <v>1181</v>
      </c>
      <c r="AH555" s="2" t="s">
        <v>185</v>
      </c>
      <c r="AI555" s="2" t="s">
        <v>1653</v>
      </c>
      <c r="AJ555" s="4" t="s">
        <v>1645</v>
      </c>
      <c r="AK555" s="2" t="s">
        <v>2306</v>
      </c>
      <c r="AL555" s="4"/>
      <c r="AN555" s="4"/>
      <c r="AP555" s="4"/>
      <c r="AQ555" s="4"/>
      <c r="AS555" s="4">
        <v>1</v>
      </c>
      <c r="AT555" s="4">
        <v>0</v>
      </c>
      <c r="AU555" s="4">
        <v>0</v>
      </c>
      <c r="AV555" s="4">
        <v>2</v>
      </c>
      <c r="AW555" s="4">
        <v>2</v>
      </c>
      <c r="AX555" s="4">
        <v>0</v>
      </c>
      <c r="AZ555" s="2" t="s">
        <v>60</v>
      </c>
    </row>
    <row r="556" spans="2:52" x14ac:dyDescent="0.15">
      <c r="B556" s="2" t="s">
        <v>339</v>
      </c>
      <c r="C556" s="2" t="s">
        <v>2308</v>
      </c>
      <c r="D556" s="2" t="s">
        <v>200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200</v>
      </c>
      <c r="H556" s="4" t="str">
        <f>VLOOKUP(G556,corpsSet!$B$5:$C$46,2,0)</f>
        <v>孟获</v>
      </c>
      <c r="I556" s="4" t="s">
        <v>98</v>
      </c>
      <c r="J556" s="4" t="str">
        <f>VLOOKUP(I556,citySet!$B$5:$C$46,2,0)</f>
        <v>云南</v>
      </c>
      <c r="K556" s="2" t="s">
        <v>2309</v>
      </c>
      <c r="L556" s="2" t="s">
        <v>2310</v>
      </c>
      <c r="N556" s="4"/>
      <c r="O556" s="2" t="s">
        <v>888</v>
      </c>
      <c r="P556" s="2" t="s">
        <v>888</v>
      </c>
      <c r="Q556" s="4">
        <v>0</v>
      </c>
      <c r="R556" s="2" t="s">
        <v>370</v>
      </c>
      <c r="S556" s="2" t="s">
        <v>371</v>
      </c>
      <c r="T556" s="2" t="s">
        <v>564</v>
      </c>
      <c r="U556" s="2" t="s">
        <v>373</v>
      </c>
      <c r="V556" s="2" t="s">
        <v>7</v>
      </c>
      <c r="W556" s="4">
        <v>1</v>
      </c>
      <c r="X556" s="2" t="s">
        <v>365</v>
      </c>
      <c r="Y556" s="4">
        <v>0</v>
      </c>
      <c r="Z556" s="4" t="s">
        <v>39</v>
      </c>
      <c r="AA556" s="2" t="s">
        <v>185</v>
      </c>
      <c r="AB556" s="2" t="s">
        <v>101</v>
      </c>
      <c r="AC556" s="2" t="s">
        <v>88</v>
      </c>
      <c r="AD556" s="4">
        <v>3</v>
      </c>
      <c r="AE556" s="2" t="s">
        <v>35</v>
      </c>
      <c r="AF556" s="2" t="s">
        <v>29</v>
      </c>
      <c r="AG556" s="2" t="s">
        <v>740</v>
      </c>
      <c r="AH556" s="2" t="s">
        <v>185</v>
      </c>
      <c r="AI556" s="2" t="s">
        <v>1627</v>
      </c>
      <c r="AJ556" s="4"/>
      <c r="AL556" s="4"/>
      <c r="AN556" s="4"/>
      <c r="AP556" s="4"/>
      <c r="AQ556" s="4"/>
      <c r="AS556" s="4">
        <v>2</v>
      </c>
      <c r="AT556" s="4">
        <v>0</v>
      </c>
      <c r="AU556" s="4">
        <v>0</v>
      </c>
      <c r="AV556" s="4">
        <v>1</v>
      </c>
      <c r="AW556" s="4">
        <v>0</v>
      </c>
      <c r="AX556" s="4">
        <v>0</v>
      </c>
      <c r="AZ556" s="2" t="s">
        <v>60</v>
      </c>
    </row>
    <row r="557" spans="2:52" x14ac:dyDescent="0.15">
      <c r="B557" s="2" t="s">
        <v>1903</v>
      </c>
      <c r="C557" s="2" t="s">
        <v>2311</v>
      </c>
      <c r="D557" s="2" t="s">
        <v>30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30</v>
      </c>
      <c r="H557" s="4" t="str">
        <f>VLOOKUP(G557,corpsSet!$B$5:$C$46,2,0)</f>
        <v>袁绍</v>
      </c>
      <c r="I557" s="4" t="s">
        <v>37</v>
      </c>
      <c r="J557" s="4" t="str">
        <f>VLOOKUP(I557,citySet!$B$5:$C$46,2,0)</f>
        <v>南皮</v>
      </c>
      <c r="K557" s="2" t="s">
        <v>2312</v>
      </c>
      <c r="L557" s="2" t="s">
        <v>1099</v>
      </c>
      <c r="M557" s="2" t="s">
        <v>2313</v>
      </c>
      <c r="N557" s="4"/>
      <c r="O557" s="2" t="s">
        <v>449</v>
      </c>
      <c r="P557" s="2" t="s">
        <v>449</v>
      </c>
      <c r="Q557" s="4">
        <v>0</v>
      </c>
      <c r="R557" s="2" t="s">
        <v>370</v>
      </c>
      <c r="S557" s="2" t="s">
        <v>435</v>
      </c>
      <c r="T557" s="2" t="s">
        <v>995</v>
      </c>
      <c r="U557" s="2" t="s">
        <v>536</v>
      </c>
      <c r="V557" s="2" t="s">
        <v>319</v>
      </c>
      <c r="W557" s="4">
        <v>1</v>
      </c>
      <c r="X557" s="2" t="s">
        <v>365</v>
      </c>
      <c r="Y557" s="4">
        <v>6</v>
      </c>
      <c r="Z557" s="4" t="s">
        <v>614</v>
      </c>
      <c r="AA557" s="2" t="s">
        <v>403</v>
      </c>
      <c r="AB557" s="2" t="s">
        <v>204</v>
      </c>
      <c r="AC557" s="2" t="s">
        <v>107</v>
      </c>
      <c r="AD557" s="4">
        <v>84</v>
      </c>
      <c r="AE557" s="2" t="s">
        <v>153</v>
      </c>
      <c r="AF557" s="2" t="s">
        <v>21</v>
      </c>
      <c r="AG557" s="2" t="s">
        <v>1136</v>
      </c>
      <c r="AH557" s="2" t="s">
        <v>185</v>
      </c>
      <c r="AI557" s="2" t="s">
        <v>339</v>
      </c>
      <c r="AJ557" s="4"/>
      <c r="AL557" s="4"/>
      <c r="AN557" s="4"/>
      <c r="AP557" s="4"/>
      <c r="AQ557" s="4"/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Z557" s="2" t="s">
        <v>60</v>
      </c>
    </row>
    <row r="558" spans="2:52" x14ac:dyDescent="0.15">
      <c r="B558" s="2" t="s">
        <v>1093</v>
      </c>
      <c r="C558" s="2" t="s">
        <v>2314</v>
      </c>
      <c r="D558" s="2" t="s">
        <v>33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33</v>
      </c>
      <c r="H558" s="4" t="str">
        <f>VLOOKUP(G558,corpsSet!$B$5:$C$46,2,0)</f>
        <v>刘焉</v>
      </c>
      <c r="I558" s="4" t="s">
        <v>126</v>
      </c>
      <c r="J558" s="4" t="str">
        <f>VLOOKUP(I558,citySet!$B$5:$C$46,2,0)</f>
        <v>成都</v>
      </c>
      <c r="K558" s="2" t="s">
        <v>2307</v>
      </c>
      <c r="L558" s="2" t="s">
        <v>1680</v>
      </c>
      <c r="N558" s="4"/>
      <c r="O558" s="2" t="s">
        <v>1981</v>
      </c>
      <c r="P558" s="2" t="s">
        <v>1981</v>
      </c>
      <c r="Q558" s="4">
        <v>0</v>
      </c>
      <c r="R558" s="2" t="s">
        <v>370</v>
      </c>
      <c r="S558" s="2" t="s">
        <v>435</v>
      </c>
      <c r="T558" s="2" t="s">
        <v>995</v>
      </c>
      <c r="U558" s="2" t="s">
        <v>379</v>
      </c>
      <c r="V558" s="2" t="s">
        <v>254</v>
      </c>
      <c r="W558" s="4">
        <v>1</v>
      </c>
      <c r="X558" s="2" t="s">
        <v>365</v>
      </c>
      <c r="Y558" s="4">
        <v>0</v>
      </c>
      <c r="Z558" s="4" t="s">
        <v>39</v>
      </c>
      <c r="AA558" s="2" t="s">
        <v>228</v>
      </c>
      <c r="AB558" s="2" t="s">
        <v>93</v>
      </c>
      <c r="AC558" s="2" t="s">
        <v>207</v>
      </c>
      <c r="AD558" s="4">
        <v>68</v>
      </c>
      <c r="AE558" s="2" t="s">
        <v>367</v>
      </c>
      <c r="AF558" s="2" t="s">
        <v>432</v>
      </c>
      <c r="AG558" s="2" t="s">
        <v>627</v>
      </c>
      <c r="AH558" s="2" t="s">
        <v>185</v>
      </c>
      <c r="AI558" s="2" t="s">
        <v>1903</v>
      </c>
      <c r="AJ558" s="4"/>
      <c r="AL558" s="4"/>
      <c r="AN558" s="4"/>
      <c r="AP558" s="4"/>
      <c r="AQ558" s="4"/>
      <c r="AS558" s="4">
        <v>0</v>
      </c>
      <c r="AT558" s="4">
        <v>1</v>
      </c>
      <c r="AU558" s="4">
        <v>1</v>
      </c>
      <c r="AV558" s="4">
        <v>0</v>
      </c>
      <c r="AW558" s="4">
        <v>1</v>
      </c>
      <c r="AX558" s="4">
        <v>0</v>
      </c>
      <c r="AZ558" s="2" t="s">
        <v>60</v>
      </c>
    </row>
    <row r="559" spans="2:52" x14ac:dyDescent="0.15">
      <c r="B559" s="2" t="s">
        <v>2318</v>
      </c>
      <c r="C559" s="2" t="s">
        <v>2315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213</v>
      </c>
      <c r="J559" s="4" t="str">
        <f>VLOOKUP(I559,citySet!$B$5:$C$46,2,0)</f>
        <v>江陵</v>
      </c>
      <c r="K559" s="2" t="s">
        <v>2316</v>
      </c>
      <c r="L559" s="2" t="s">
        <v>2317</v>
      </c>
      <c r="N559" s="4"/>
      <c r="O559" s="2" t="s">
        <v>259</v>
      </c>
      <c r="P559" s="2" t="s">
        <v>259</v>
      </c>
      <c r="Q559" s="4">
        <v>1</v>
      </c>
      <c r="R559" s="2" t="s">
        <v>577</v>
      </c>
      <c r="S559" s="2" t="s">
        <v>456</v>
      </c>
      <c r="T559" s="2" t="s">
        <v>94</v>
      </c>
      <c r="U559" s="2" t="s">
        <v>646</v>
      </c>
      <c r="V559" s="2" t="s">
        <v>481</v>
      </c>
      <c r="W559" s="4">
        <v>2</v>
      </c>
      <c r="X559" s="2" t="s">
        <v>2983</v>
      </c>
      <c r="Y559" s="4">
        <v>0</v>
      </c>
      <c r="Z559" s="4" t="s">
        <v>39</v>
      </c>
      <c r="AA559" s="2" t="s">
        <v>60</v>
      </c>
      <c r="AB559" s="2" t="s">
        <v>374</v>
      </c>
      <c r="AC559" s="2" t="s">
        <v>397</v>
      </c>
      <c r="AD559" s="4">
        <v>56</v>
      </c>
      <c r="AE559" s="2" t="s">
        <v>15</v>
      </c>
      <c r="AF559" s="2" t="s">
        <v>481</v>
      </c>
      <c r="AG559" s="2" t="s">
        <v>240</v>
      </c>
      <c r="AH559" s="2" t="s">
        <v>185</v>
      </c>
      <c r="AI559" s="2" t="s">
        <v>1093</v>
      </c>
      <c r="AJ559" s="4"/>
      <c r="AL559" s="4"/>
      <c r="AN559" s="4"/>
      <c r="AP559" s="4"/>
      <c r="AQ559" s="4"/>
      <c r="AS559" s="4">
        <v>1</v>
      </c>
      <c r="AT559" s="4">
        <v>1</v>
      </c>
      <c r="AU559" s="4">
        <v>1</v>
      </c>
      <c r="AV559" s="4">
        <v>2</v>
      </c>
      <c r="AW559" s="4">
        <v>0</v>
      </c>
      <c r="AX559" s="4">
        <v>2</v>
      </c>
      <c r="AZ559" s="2" t="s">
        <v>60</v>
      </c>
    </row>
    <row r="560" spans="2:52" x14ac:dyDescent="0.15">
      <c r="B560" s="2" t="s">
        <v>1949</v>
      </c>
      <c r="C560" s="2" t="s">
        <v>152</v>
      </c>
      <c r="D560" s="2" t="s">
        <v>104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104</v>
      </c>
      <c r="H560" s="4" t="str">
        <f>VLOOKUP(G560,corpsSet!$B$5:$C$46,2,0)</f>
        <v>刘岱</v>
      </c>
      <c r="I560" s="4" t="s">
        <v>41</v>
      </c>
      <c r="J560" s="4" t="str">
        <f>VLOOKUP(I560,citySet!$B$5:$C$46,2,0)</f>
        <v>陈留</v>
      </c>
      <c r="K560" s="2" t="s">
        <v>2316</v>
      </c>
      <c r="L560" s="2" t="s">
        <v>2319</v>
      </c>
      <c r="N560" s="4"/>
      <c r="O560" s="2" t="s">
        <v>1085</v>
      </c>
      <c r="P560" s="2" t="s">
        <v>1085</v>
      </c>
      <c r="Q560" s="4">
        <v>0</v>
      </c>
      <c r="R560" s="2" t="s">
        <v>370</v>
      </c>
      <c r="S560" s="2" t="s">
        <v>435</v>
      </c>
      <c r="T560" s="2" t="s">
        <v>674</v>
      </c>
      <c r="U560" s="2" t="s">
        <v>585</v>
      </c>
      <c r="V560" s="2" t="s">
        <v>10</v>
      </c>
      <c r="W560" s="4">
        <v>1</v>
      </c>
      <c r="X560" s="2" t="s">
        <v>365</v>
      </c>
      <c r="Y560" s="4">
        <v>4</v>
      </c>
      <c r="Z560" s="4" t="s">
        <v>1091</v>
      </c>
      <c r="AA560" s="2" t="s">
        <v>228</v>
      </c>
      <c r="AB560" s="2" t="s">
        <v>422</v>
      </c>
      <c r="AC560" s="2" t="s">
        <v>445</v>
      </c>
      <c r="AD560" s="4">
        <v>81</v>
      </c>
      <c r="AE560" s="2" t="s">
        <v>261</v>
      </c>
      <c r="AF560" s="2" t="s">
        <v>431</v>
      </c>
      <c r="AG560" s="2" t="s">
        <v>1671</v>
      </c>
      <c r="AH560" s="2" t="s">
        <v>185</v>
      </c>
      <c r="AI560" s="2" t="s">
        <v>2318</v>
      </c>
      <c r="AJ560" s="4"/>
      <c r="AL560" s="4"/>
      <c r="AN560" s="4"/>
      <c r="AP560" s="4"/>
      <c r="AQ560" s="4"/>
      <c r="AS560" s="4">
        <v>1</v>
      </c>
      <c r="AT560" s="4">
        <v>2</v>
      </c>
      <c r="AU560" s="4">
        <v>1</v>
      </c>
      <c r="AV560" s="4">
        <v>0</v>
      </c>
      <c r="AW560" s="4">
        <v>1</v>
      </c>
      <c r="AX560" s="4">
        <v>0</v>
      </c>
      <c r="AZ560" s="2" t="s">
        <v>60</v>
      </c>
    </row>
    <row r="561" spans="2:52" x14ac:dyDescent="0.15">
      <c r="B561" s="2" t="s">
        <v>1938</v>
      </c>
      <c r="C561" s="2" t="s">
        <v>209</v>
      </c>
      <c r="D561" s="2" t="s">
        <v>35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35</v>
      </c>
      <c r="H561" s="4" t="str">
        <f>VLOOKUP(G561,corpsSet!$B$5:$C$46,2,0)</f>
        <v>刘备</v>
      </c>
      <c r="I561" s="4" t="s">
        <v>213</v>
      </c>
      <c r="J561" s="4" t="str">
        <f>VLOOKUP(I561,citySet!$B$5:$C$46,2,0)</f>
        <v>江陵</v>
      </c>
      <c r="K561" s="2" t="s">
        <v>2320</v>
      </c>
      <c r="L561" s="2" t="s">
        <v>1123</v>
      </c>
      <c r="M561" s="2" t="s">
        <v>2321</v>
      </c>
      <c r="N561" s="4"/>
      <c r="O561" s="2" t="s">
        <v>122</v>
      </c>
      <c r="P561" s="2" t="s">
        <v>122</v>
      </c>
      <c r="Q561" s="4">
        <v>0</v>
      </c>
      <c r="R561" s="2" t="s">
        <v>370</v>
      </c>
      <c r="S561" s="2" t="s">
        <v>83</v>
      </c>
      <c r="T561" s="2" t="s">
        <v>504</v>
      </c>
      <c r="U561" s="2" t="s">
        <v>456</v>
      </c>
      <c r="V561" s="2" t="s">
        <v>374</v>
      </c>
      <c r="W561" s="4">
        <v>1</v>
      </c>
      <c r="X561" s="2" t="s">
        <v>365</v>
      </c>
      <c r="Y561" s="4">
        <v>5</v>
      </c>
      <c r="Z561" s="4" t="s">
        <v>575</v>
      </c>
      <c r="AA561" s="2" t="s">
        <v>185</v>
      </c>
      <c r="AB561" s="2" t="s">
        <v>554</v>
      </c>
      <c r="AC561" s="2" t="s">
        <v>191</v>
      </c>
      <c r="AD561" s="4">
        <v>94</v>
      </c>
      <c r="AE561" s="2" t="s">
        <v>431</v>
      </c>
      <c r="AF561" s="2" t="s">
        <v>254</v>
      </c>
      <c r="AG561" s="2" t="s">
        <v>1370</v>
      </c>
      <c r="AH561" s="2" t="s">
        <v>185</v>
      </c>
      <c r="AI561" s="2" t="s">
        <v>1949</v>
      </c>
      <c r="AJ561" s="4"/>
      <c r="AL561" s="4"/>
      <c r="AN561" s="4"/>
      <c r="AP561" s="4"/>
      <c r="AQ561" s="4"/>
      <c r="AS561" s="4">
        <v>0</v>
      </c>
      <c r="AT561" s="4">
        <v>0</v>
      </c>
      <c r="AU561" s="4">
        <v>2</v>
      </c>
      <c r="AV561" s="4">
        <v>0</v>
      </c>
      <c r="AW561" s="4">
        <v>2</v>
      </c>
      <c r="AX561" s="4">
        <v>0</v>
      </c>
      <c r="AZ561" s="2" t="s">
        <v>60</v>
      </c>
    </row>
    <row r="562" spans="2:52" x14ac:dyDescent="0.15">
      <c r="B562" s="2" t="s">
        <v>1653</v>
      </c>
      <c r="C562" s="2" t="s">
        <v>26</v>
      </c>
      <c r="D562" s="2" t="s">
        <v>35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35</v>
      </c>
      <c r="H562" s="4" t="str">
        <f>VLOOKUP(G562,corpsSet!$B$5:$C$46,2,0)</f>
        <v>刘备</v>
      </c>
      <c r="I562" s="4" t="s">
        <v>213</v>
      </c>
      <c r="J562" s="4" t="str">
        <f>VLOOKUP(I562,citySet!$B$5:$C$46,2,0)</f>
        <v>江陵</v>
      </c>
      <c r="K562" s="2" t="s">
        <v>2307</v>
      </c>
      <c r="L562" s="2" t="s">
        <v>993</v>
      </c>
      <c r="M562" s="2" t="s">
        <v>2322</v>
      </c>
      <c r="N562" s="4"/>
      <c r="O562" s="2" t="s">
        <v>221</v>
      </c>
      <c r="P562" s="2" t="s">
        <v>221</v>
      </c>
      <c r="Q562" s="4">
        <v>0</v>
      </c>
      <c r="R562" s="2" t="s">
        <v>370</v>
      </c>
      <c r="S562" s="2" t="s">
        <v>406</v>
      </c>
      <c r="T562" s="2" t="s">
        <v>498</v>
      </c>
      <c r="U562" s="2" t="s">
        <v>675</v>
      </c>
      <c r="V562" s="2" t="s">
        <v>261</v>
      </c>
      <c r="W562" s="4">
        <v>1</v>
      </c>
      <c r="X562" s="2" t="s">
        <v>365</v>
      </c>
      <c r="Y562" s="4">
        <v>7</v>
      </c>
      <c r="Z562" s="4" t="s">
        <v>3078</v>
      </c>
      <c r="AA562" s="2" t="s">
        <v>185</v>
      </c>
      <c r="AB562" s="2" t="s">
        <v>431</v>
      </c>
      <c r="AC562" s="2" t="s">
        <v>219</v>
      </c>
      <c r="AD562" s="4">
        <v>97</v>
      </c>
      <c r="AE562" s="2" t="s">
        <v>256</v>
      </c>
      <c r="AF562" s="2" t="s">
        <v>454</v>
      </c>
      <c r="AG562" s="2" t="s">
        <v>1011</v>
      </c>
      <c r="AH562" s="2" t="s">
        <v>185</v>
      </c>
      <c r="AI562" s="2" t="s">
        <v>1938</v>
      </c>
      <c r="AJ562" s="4"/>
      <c r="AL562" s="4"/>
      <c r="AN562" s="4"/>
      <c r="AP562" s="4"/>
      <c r="AQ562" s="4"/>
      <c r="AS562" s="4">
        <v>1</v>
      </c>
      <c r="AT562" s="4">
        <v>1</v>
      </c>
      <c r="AU562" s="4">
        <v>0</v>
      </c>
      <c r="AV562" s="4">
        <v>0</v>
      </c>
      <c r="AW562" s="4">
        <v>1</v>
      </c>
      <c r="AX562" s="4">
        <v>1</v>
      </c>
      <c r="AZ562" s="2" t="s">
        <v>60</v>
      </c>
    </row>
    <row r="563" spans="2:52" x14ac:dyDescent="0.15">
      <c r="B563" s="2" t="s">
        <v>1645</v>
      </c>
      <c r="C563" s="2" t="s">
        <v>2306</v>
      </c>
      <c r="D563" s="2" t="s">
        <v>37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37</v>
      </c>
      <c r="H563" s="4" t="str">
        <f>VLOOKUP(G563,corpsSet!$B$5:$C$46,2,0)</f>
        <v>马腾</v>
      </c>
      <c r="I563" s="4" t="s">
        <v>10</v>
      </c>
      <c r="J563" s="4" t="str">
        <f>VLOOKUP(I563,citySet!$B$5:$C$46,2,0)</f>
        <v>武威</v>
      </c>
      <c r="K563" s="2" t="s">
        <v>2307</v>
      </c>
      <c r="L563" s="2" t="s">
        <v>869</v>
      </c>
      <c r="M563" s="2" t="s">
        <v>2323</v>
      </c>
      <c r="N563" s="4"/>
      <c r="O563" s="2" t="s">
        <v>25</v>
      </c>
      <c r="P563" s="2" t="s">
        <v>25</v>
      </c>
      <c r="Q563" s="4">
        <v>0</v>
      </c>
      <c r="R563" s="2" t="s">
        <v>370</v>
      </c>
      <c r="S563" s="2" t="s">
        <v>435</v>
      </c>
      <c r="T563" s="2" t="s">
        <v>555</v>
      </c>
      <c r="U563" s="2" t="s">
        <v>702</v>
      </c>
      <c r="V563" s="2" t="s">
        <v>257</v>
      </c>
      <c r="W563" s="4">
        <v>1</v>
      </c>
      <c r="X563" s="2" t="s">
        <v>365</v>
      </c>
      <c r="Y563" s="4">
        <v>8</v>
      </c>
      <c r="Z563" s="4" t="s">
        <v>3079</v>
      </c>
      <c r="AA563" s="2" t="s">
        <v>185</v>
      </c>
      <c r="AB563" s="2" t="s">
        <v>329</v>
      </c>
      <c r="AC563" s="2" t="s">
        <v>175</v>
      </c>
      <c r="AD563" s="4">
        <v>70</v>
      </c>
      <c r="AE563" s="2" t="s">
        <v>100</v>
      </c>
      <c r="AF563" s="2" t="s">
        <v>153</v>
      </c>
      <c r="AG563" s="2" t="s">
        <v>956</v>
      </c>
      <c r="AH563" s="2" t="s">
        <v>185</v>
      </c>
      <c r="AI563" s="2" t="s">
        <v>1653</v>
      </c>
      <c r="AJ563" s="4"/>
      <c r="AL563" s="4"/>
      <c r="AN563" s="4"/>
      <c r="AP563" s="4"/>
      <c r="AQ563" s="4"/>
      <c r="AS563" s="4">
        <v>1</v>
      </c>
      <c r="AT563" s="4">
        <v>2</v>
      </c>
      <c r="AU563" s="4">
        <v>2</v>
      </c>
      <c r="AV563" s="4">
        <v>3</v>
      </c>
      <c r="AW563" s="4">
        <v>1</v>
      </c>
      <c r="AX563" s="4">
        <v>0</v>
      </c>
      <c r="AZ563" s="2" t="s">
        <v>60</v>
      </c>
    </row>
    <row r="564" spans="2:52" x14ac:dyDescent="0.15">
      <c r="B564" s="2" t="s">
        <v>525</v>
      </c>
      <c r="C564" s="2" t="s">
        <v>2324</v>
      </c>
      <c r="D564" s="2" t="s">
        <v>95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95</v>
      </c>
      <c r="H564" s="4" t="str">
        <f>VLOOKUP(G564,corpsSet!$B$5:$C$46,2,0)</f>
        <v>赵范</v>
      </c>
      <c r="I564" s="4" t="s">
        <v>219</v>
      </c>
      <c r="J564" s="4" t="str">
        <f>VLOOKUP(I564,citySet!$B$5:$C$46,2,0)</f>
        <v>桂阳</v>
      </c>
      <c r="K564" s="2" t="s">
        <v>2316</v>
      </c>
      <c r="L564" s="2" t="s">
        <v>1232</v>
      </c>
      <c r="N564" s="4"/>
      <c r="O564" s="2" t="s">
        <v>1984</v>
      </c>
      <c r="P564" s="2" t="s">
        <v>1984</v>
      </c>
      <c r="Q564" s="4">
        <v>0</v>
      </c>
      <c r="R564" s="2" t="s">
        <v>370</v>
      </c>
      <c r="S564" s="2" t="s">
        <v>536</v>
      </c>
      <c r="T564" s="2" t="s">
        <v>1001</v>
      </c>
      <c r="U564" s="2" t="s">
        <v>406</v>
      </c>
      <c r="V564" s="2" t="s">
        <v>20</v>
      </c>
      <c r="W564" s="4">
        <v>1</v>
      </c>
      <c r="X564" s="2" t="s">
        <v>365</v>
      </c>
      <c r="Y564" s="4">
        <v>4</v>
      </c>
      <c r="Z564" s="4" t="s">
        <v>1091</v>
      </c>
      <c r="AA564" s="2" t="s">
        <v>403</v>
      </c>
      <c r="AB564" s="2" t="s">
        <v>485</v>
      </c>
      <c r="AC564" s="2" t="s">
        <v>434</v>
      </c>
      <c r="AD564" s="4">
        <v>49</v>
      </c>
      <c r="AE564" s="2" t="s">
        <v>189</v>
      </c>
      <c r="AF564" s="2" t="s">
        <v>119</v>
      </c>
      <c r="AG564" s="2" t="s">
        <v>562</v>
      </c>
      <c r="AH564" s="2" t="s">
        <v>185</v>
      </c>
      <c r="AI564" s="2" t="s">
        <v>1645</v>
      </c>
      <c r="AJ564" s="4"/>
      <c r="AL564" s="4"/>
      <c r="AN564" s="4"/>
      <c r="AP564" s="4"/>
      <c r="AQ564" s="4"/>
      <c r="AS564" s="4">
        <v>1</v>
      </c>
      <c r="AT564" s="4">
        <v>0</v>
      </c>
      <c r="AU564" s="4">
        <v>2</v>
      </c>
      <c r="AV564" s="4">
        <v>0</v>
      </c>
      <c r="AW564" s="4">
        <v>0</v>
      </c>
      <c r="AX564" s="4">
        <v>0</v>
      </c>
      <c r="AZ564" s="2" t="s">
        <v>60</v>
      </c>
    </row>
    <row r="565" spans="2:52" x14ac:dyDescent="0.15">
      <c r="B565" s="2" t="s">
        <v>733</v>
      </c>
      <c r="C565" s="2" t="s">
        <v>2325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24</v>
      </c>
      <c r="J565" s="4" t="str">
        <f>VLOOKUP(I565,citySet!$B$5:$C$46,2,0)</f>
        <v>寿春</v>
      </c>
      <c r="K565" s="2" t="s">
        <v>2328</v>
      </c>
      <c r="L565" s="2" t="s">
        <v>2329</v>
      </c>
      <c r="N565" s="4"/>
      <c r="O565" s="2" t="s">
        <v>251</v>
      </c>
      <c r="P565" s="2" t="s">
        <v>251</v>
      </c>
      <c r="Q565" s="4">
        <v>0</v>
      </c>
      <c r="R565" s="2" t="s">
        <v>370</v>
      </c>
      <c r="S565" s="2" t="s">
        <v>424</v>
      </c>
      <c r="T565" s="2" t="s">
        <v>340</v>
      </c>
      <c r="U565" s="2" t="s">
        <v>491</v>
      </c>
      <c r="V565" s="2" t="s">
        <v>557</v>
      </c>
      <c r="W565" s="4">
        <v>2</v>
      </c>
      <c r="X565" s="2" t="s">
        <v>2983</v>
      </c>
      <c r="Y565" s="4">
        <v>0</v>
      </c>
      <c r="Z565" s="4" t="s">
        <v>39</v>
      </c>
      <c r="AA565" s="2" t="s">
        <v>60</v>
      </c>
      <c r="AB565" s="2" t="s">
        <v>515</v>
      </c>
      <c r="AC565" s="2" t="s">
        <v>233</v>
      </c>
      <c r="AD565" s="4">
        <v>69</v>
      </c>
      <c r="AE565" s="2" t="s">
        <v>382</v>
      </c>
      <c r="AF565" s="2" t="s">
        <v>445</v>
      </c>
      <c r="AG565" s="2" t="s">
        <v>903</v>
      </c>
      <c r="AH565" s="2" t="s">
        <v>185</v>
      </c>
      <c r="AI565" s="2" t="s">
        <v>2326</v>
      </c>
      <c r="AJ565" s="4" t="s">
        <v>2234</v>
      </c>
      <c r="AK565" s="2" t="s">
        <v>2327</v>
      </c>
      <c r="AL565" s="4"/>
      <c r="AN565" s="4"/>
      <c r="AP565" s="4"/>
      <c r="AQ565" s="4"/>
      <c r="AS565" s="4">
        <v>0</v>
      </c>
      <c r="AT565" s="4">
        <v>1</v>
      </c>
      <c r="AU565" s="4">
        <v>2</v>
      </c>
      <c r="AV565" s="4">
        <v>0</v>
      </c>
      <c r="AW565" s="4">
        <v>1</v>
      </c>
      <c r="AX565" s="4">
        <v>2</v>
      </c>
      <c r="AZ565" s="2" t="s">
        <v>60</v>
      </c>
    </row>
    <row r="566" spans="2:52" x14ac:dyDescent="0.15">
      <c r="B566" s="2" t="s">
        <v>1742</v>
      </c>
      <c r="C566" s="2" t="s">
        <v>2330</v>
      </c>
      <c r="D566" s="2" t="s">
        <v>3151</v>
      </c>
      <c r="E566" s="4" t="str">
        <f>VLOOKUP(D566,forceSet!$B$5:$D$46,3,0)</f>
        <v>丁原</v>
      </c>
      <c r="F566" s="4" t="str">
        <f>VLOOKUP(I566,citySet!$B$5:$E$46,4,0)</f>
        <v>丁原</v>
      </c>
      <c r="G566" s="2" t="s">
        <v>3151</v>
      </c>
      <c r="H566" s="4" t="str">
        <f>VLOOKUP(G566,corpsSet!$B$5:$C$46,2,0)</f>
        <v>丁原</v>
      </c>
      <c r="I566" s="4" t="s">
        <v>36</v>
      </c>
      <c r="J566" s="4" t="str">
        <f>VLOOKUP(I566,citySet!$B$5:$C$46,2,0)</f>
        <v>晋阳</v>
      </c>
      <c r="K566" s="2" t="s">
        <v>2331</v>
      </c>
      <c r="L566" s="2" t="s">
        <v>1179</v>
      </c>
      <c r="N566" s="4"/>
      <c r="O566" s="2" t="s">
        <v>2127</v>
      </c>
      <c r="P566" s="2" t="s">
        <v>2127</v>
      </c>
      <c r="Q566" s="4">
        <v>0</v>
      </c>
      <c r="R566" s="2" t="s">
        <v>370</v>
      </c>
      <c r="S566" s="2" t="s">
        <v>435</v>
      </c>
      <c r="T566" s="2" t="s">
        <v>476</v>
      </c>
      <c r="U566" s="2" t="s">
        <v>372</v>
      </c>
      <c r="V566" s="2" t="s">
        <v>175</v>
      </c>
      <c r="W566" s="4">
        <v>1</v>
      </c>
      <c r="X566" s="2" t="s">
        <v>365</v>
      </c>
      <c r="Y566" s="4">
        <v>3</v>
      </c>
      <c r="Z566" s="4" t="s">
        <v>696</v>
      </c>
      <c r="AA566" s="2" t="s">
        <v>403</v>
      </c>
      <c r="AB566" s="2" t="s">
        <v>14</v>
      </c>
      <c r="AC566" s="2" t="s">
        <v>422</v>
      </c>
      <c r="AD566" s="4">
        <v>11</v>
      </c>
      <c r="AE566" s="2" t="s">
        <v>107</v>
      </c>
      <c r="AF566" s="2" t="s">
        <v>106</v>
      </c>
      <c r="AG566" s="2" t="s">
        <v>778</v>
      </c>
      <c r="AH566" s="2" t="s">
        <v>185</v>
      </c>
      <c r="AI566" s="2" t="s">
        <v>733</v>
      </c>
      <c r="AJ566" s="4"/>
      <c r="AL566" s="4"/>
      <c r="AN566" s="4"/>
      <c r="AP566" s="4"/>
      <c r="AQ566" s="4"/>
      <c r="AS566" s="4">
        <v>0</v>
      </c>
      <c r="AT566" s="4">
        <v>1</v>
      </c>
      <c r="AU566" s="4">
        <v>0</v>
      </c>
      <c r="AV566" s="4">
        <v>1</v>
      </c>
      <c r="AW566" s="4">
        <v>0</v>
      </c>
      <c r="AX566" s="4">
        <v>0</v>
      </c>
      <c r="AZ566" s="2" t="s">
        <v>60</v>
      </c>
    </row>
    <row r="567" spans="2:52" x14ac:dyDescent="0.15">
      <c r="B567" s="2" t="s">
        <v>2334</v>
      </c>
      <c r="C567" s="2" t="s">
        <v>2332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20</v>
      </c>
      <c r="J567" s="4" t="str">
        <f>VLOOKUP(I567,citySet!$B$5:$C$46,2,0)</f>
        <v>濮阳</v>
      </c>
      <c r="K567" s="2" t="s">
        <v>2333</v>
      </c>
      <c r="L567" s="2" t="s">
        <v>962</v>
      </c>
      <c r="M567" s="2" t="s">
        <v>1360</v>
      </c>
      <c r="N567" s="4"/>
      <c r="O567" s="2" t="s">
        <v>1350</v>
      </c>
      <c r="P567" s="2" t="s">
        <v>1350</v>
      </c>
      <c r="Q567" s="4">
        <v>0</v>
      </c>
      <c r="R567" s="2" t="s">
        <v>370</v>
      </c>
      <c r="S567" s="2" t="s">
        <v>198</v>
      </c>
      <c r="T567" s="2" t="s">
        <v>633</v>
      </c>
      <c r="U567" s="2" t="s">
        <v>491</v>
      </c>
      <c r="V567" s="2" t="s">
        <v>122</v>
      </c>
      <c r="W567" s="4">
        <v>2</v>
      </c>
      <c r="X567" s="2" t="s">
        <v>2983</v>
      </c>
      <c r="Y567" s="4">
        <v>0</v>
      </c>
      <c r="Z567" s="4" t="s">
        <v>39</v>
      </c>
      <c r="AA567" s="2" t="s">
        <v>60</v>
      </c>
      <c r="AB567" s="2" t="s">
        <v>226</v>
      </c>
      <c r="AC567" s="2" t="s">
        <v>5</v>
      </c>
      <c r="AD567" s="4">
        <v>70</v>
      </c>
      <c r="AE567" s="2" t="s">
        <v>374</v>
      </c>
      <c r="AF567" s="2" t="s">
        <v>486</v>
      </c>
      <c r="AG567" s="2" t="s">
        <v>418</v>
      </c>
      <c r="AH567" s="2" t="s">
        <v>185</v>
      </c>
      <c r="AI567" s="2" t="s">
        <v>1742</v>
      </c>
      <c r="AJ567" s="4"/>
      <c r="AL567" s="4"/>
      <c r="AN567" s="4"/>
      <c r="AP567" s="4"/>
      <c r="AQ567" s="4"/>
      <c r="AS567" s="4">
        <v>0</v>
      </c>
      <c r="AT567" s="4">
        <v>0</v>
      </c>
      <c r="AU567" s="4">
        <v>0</v>
      </c>
      <c r="AV567" s="4">
        <v>0</v>
      </c>
      <c r="AW567" s="4">
        <v>1</v>
      </c>
      <c r="AX567" s="4">
        <v>1</v>
      </c>
      <c r="AZ567" s="2" t="s">
        <v>60</v>
      </c>
    </row>
    <row r="568" spans="2:52" x14ac:dyDescent="0.15">
      <c r="B568" s="2" t="s">
        <v>2326</v>
      </c>
      <c r="C568" s="2" t="s">
        <v>2335</v>
      </c>
      <c r="D568" s="2" t="s">
        <v>200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200</v>
      </c>
      <c r="H568" s="4" t="str">
        <f>VLOOKUP(G568,corpsSet!$B$5:$C$46,2,0)</f>
        <v>孟获</v>
      </c>
      <c r="I568" s="4" t="s">
        <v>98</v>
      </c>
      <c r="J568" s="4" t="str">
        <f>VLOOKUP(I568,citySet!$B$5:$C$46,2,0)</f>
        <v>云南</v>
      </c>
      <c r="K568" s="2" t="s">
        <v>2336</v>
      </c>
      <c r="L568" s="2" t="s">
        <v>1860</v>
      </c>
      <c r="N568" s="4"/>
      <c r="O568" s="2" t="s">
        <v>415</v>
      </c>
      <c r="P568" s="2" t="s">
        <v>415</v>
      </c>
      <c r="Q568" s="4">
        <v>0</v>
      </c>
      <c r="R568" s="2" t="s">
        <v>370</v>
      </c>
      <c r="S568" s="2" t="s">
        <v>340</v>
      </c>
      <c r="T568" s="2" t="s">
        <v>435</v>
      </c>
      <c r="U568" s="2" t="s">
        <v>373</v>
      </c>
      <c r="V568" s="2" t="s">
        <v>7</v>
      </c>
      <c r="W568" s="4">
        <v>1</v>
      </c>
      <c r="X568" s="2" t="s">
        <v>365</v>
      </c>
      <c r="Y568" s="4">
        <v>1</v>
      </c>
      <c r="Z568" s="4" t="s">
        <v>1243</v>
      </c>
      <c r="AA568" s="2" t="s">
        <v>185</v>
      </c>
      <c r="AB568" s="2" t="s">
        <v>257</v>
      </c>
      <c r="AC568" s="2" t="s">
        <v>515</v>
      </c>
      <c r="AD568" s="4">
        <v>39</v>
      </c>
      <c r="AE568" s="2" t="s">
        <v>36</v>
      </c>
      <c r="AF568" s="2" t="s">
        <v>5</v>
      </c>
      <c r="AG568" s="2" t="s">
        <v>961</v>
      </c>
      <c r="AH568" s="2" t="s">
        <v>185</v>
      </c>
      <c r="AI568" s="2" t="s">
        <v>2334</v>
      </c>
      <c r="AJ568" s="4"/>
      <c r="AL568" s="4"/>
      <c r="AN568" s="4"/>
      <c r="AP568" s="4"/>
      <c r="AQ568" s="4"/>
      <c r="AS568" s="4">
        <v>0</v>
      </c>
      <c r="AT568" s="4">
        <v>2</v>
      </c>
      <c r="AU568" s="4">
        <v>0</v>
      </c>
      <c r="AV568" s="4">
        <v>0</v>
      </c>
      <c r="AW568" s="4">
        <v>0</v>
      </c>
      <c r="AX568" s="4">
        <v>0</v>
      </c>
      <c r="AZ568" s="2" t="s">
        <v>60</v>
      </c>
    </row>
    <row r="569" spans="2:52" x14ac:dyDescent="0.15">
      <c r="B569" s="2" t="s">
        <v>2234</v>
      </c>
      <c r="C569" s="2" t="s">
        <v>2327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24</v>
      </c>
      <c r="J569" s="4" t="str">
        <f>VLOOKUP(I569,citySet!$B$5:$C$46,2,0)</f>
        <v>寿春</v>
      </c>
      <c r="K569" s="2" t="s">
        <v>2328</v>
      </c>
      <c r="L569" s="2" t="s">
        <v>2337</v>
      </c>
      <c r="M569" s="2" t="s">
        <v>2338</v>
      </c>
      <c r="N569" s="4"/>
      <c r="O569" s="2" t="s">
        <v>395</v>
      </c>
      <c r="P569" s="2" t="s">
        <v>395</v>
      </c>
      <c r="Q569" s="4">
        <v>0</v>
      </c>
      <c r="R569" s="2" t="s">
        <v>370</v>
      </c>
      <c r="S569" s="2" t="s">
        <v>327</v>
      </c>
      <c r="T569" s="2" t="s">
        <v>565</v>
      </c>
      <c r="U569" s="2" t="s">
        <v>861</v>
      </c>
      <c r="V569" s="2" t="s">
        <v>557</v>
      </c>
      <c r="W569" s="4">
        <v>2</v>
      </c>
      <c r="X569" s="2" t="s">
        <v>2983</v>
      </c>
      <c r="Y569" s="4">
        <v>0</v>
      </c>
      <c r="Z569" s="4" t="s">
        <v>39</v>
      </c>
      <c r="AA569" s="2" t="s">
        <v>60</v>
      </c>
      <c r="AB569" s="2" t="s">
        <v>374</v>
      </c>
      <c r="AC569" s="2" t="s">
        <v>7</v>
      </c>
      <c r="AD569" s="4">
        <v>84</v>
      </c>
      <c r="AE569" s="2" t="s">
        <v>258</v>
      </c>
      <c r="AF569" s="2" t="s">
        <v>153</v>
      </c>
      <c r="AG569" s="2" t="s">
        <v>1011</v>
      </c>
      <c r="AH569" s="2" t="s">
        <v>185</v>
      </c>
      <c r="AI569" s="2" t="s">
        <v>2326</v>
      </c>
      <c r="AJ569" s="4"/>
      <c r="AL569" s="4"/>
      <c r="AN569" s="4"/>
      <c r="AP569" s="4"/>
      <c r="AQ569" s="4"/>
      <c r="AS569" s="4">
        <v>0</v>
      </c>
      <c r="AT569" s="4">
        <v>0</v>
      </c>
      <c r="AU569" s="4">
        <v>2</v>
      </c>
      <c r="AV569" s="4">
        <v>0</v>
      </c>
      <c r="AW569" s="4">
        <v>3</v>
      </c>
      <c r="AX569" s="4">
        <v>2</v>
      </c>
      <c r="AZ569" s="2" t="s">
        <v>60</v>
      </c>
    </row>
    <row r="570" spans="2:52" x14ac:dyDescent="0.15">
      <c r="B570" s="2" t="s">
        <v>1957</v>
      </c>
      <c r="C570" s="2" t="s">
        <v>2339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24</v>
      </c>
      <c r="J570" s="4" t="str">
        <f>VLOOKUP(I570,citySet!$B$5:$C$46,2,0)</f>
        <v>寿春</v>
      </c>
      <c r="K570" s="2" t="s">
        <v>2328</v>
      </c>
      <c r="L570" s="2" t="s">
        <v>2340</v>
      </c>
      <c r="N570" s="4"/>
      <c r="O570" s="2" t="s">
        <v>2170</v>
      </c>
      <c r="P570" s="2" t="s">
        <v>2170</v>
      </c>
      <c r="Q570" s="4">
        <v>0</v>
      </c>
      <c r="R570" s="2" t="s">
        <v>370</v>
      </c>
      <c r="S570" s="2" t="s">
        <v>562</v>
      </c>
      <c r="T570" s="2" t="s">
        <v>512</v>
      </c>
      <c r="U570" s="2" t="s">
        <v>658</v>
      </c>
      <c r="V570" s="2" t="s">
        <v>603</v>
      </c>
      <c r="W570" s="4">
        <v>2</v>
      </c>
      <c r="X570" s="2" t="s">
        <v>2983</v>
      </c>
      <c r="Y570" s="4">
        <v>0</v>
      </c>
      <c r="Z570" s="4" t="s">
        <v>39</v>
      </c>
      <c r="AA570" s="2" t="s">
        <v>60</v>
      </c>
      <c r="AB570" s="2" t="s">
        <v>515</v>
      </c>
      <c r="AC570" s="2" t="s">
        <v>93</v>
      </c>
      <c r="AD570" s="4">
        <v>71</v>
      </c>
      <c r="AE570" s="2" t="s">
        <v>444</v>
      </c>
      <c r="AF570" s="2" t="s">
        <v>423</v>
      </c>
      <c r="AG570" s="2" t="s">
        <v>1188</v>
      </c>
      <c r="AH570" s="2" t="s">
        <v>185</v>
      </c>
      <c r="AI570" s="2" t="s">
        <v>2326</v>
      </c>
      <c r="AJ570" s="4" t="s">
        <v>2234</v>
      </c>
      <c r="AK570" s="2" t="s">
        <v>2327</v>
      </c>
      <c r="AL570" s="4"/>
      <c r="AN570" s="4"/>
      <c r="AP570" s="4"/>
      <c r="AQ570" s="4"/>
      <c r="AS570" s="4">
        <v>0</v>
      </c>
      <c r="AT570" s="4">
        <v>2</v>
      </c>
      <c r="AU570" s="4">
        <v>1</v>
      </c>
      <c r="AV570" s="4">
        <v>0</v>
      </c>
      <c r="AW570" s="4">
        <v>0</v>
      </c>
      <c r="AX570" s="4">
        <v>2</v>
      </c>
      <c r="AZ570" s="2" t="s">
        <v>60</v>
      </c>
    </row>
    <row r="571" spans="2:52" x14ac:dyDescent="0.15">
      <c r="B571" s="2" t="s">
        <v>1840</v>
      </c>
      <c r="C571" s="2" t="s">
        <v>2341</v>
      </c>
      <c r="D571" s="2" t="s">
        <v>27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27</v>
      </c>
      <c r="H571" s="4" t="str">
        <f>VLOOKUP(G571,corpsSet!$B$5:$C$46,2,0)</f>
        <v>曹操</v>
      </c>
      <c r="I571" s="4" t="s">
        <v>17</v>
      </c>
      <c r="J571" s="4" t="str">
        <f>VLOOKUP(I571,citySet!$B$5:$C$46,2,0)</f>
        <v>许昌</v>
      </c>
      <c r="K571" s="2" t="s">
        <v>2106</v>
      </c>
      <c r="L571" s="2" t="s">
        <v>1503</v>
      </c>
      <c r="M571" s="2" t="s">
        <v>2342</v>
      </c>
      <c r="N571" s="4"/>
      <c r="O571" s="2" t="s">
        <v>673</v>
      </c>
      <c r="P571" s="2" t="s">
        <v>673</v>
      </c>
      <c r="Q571" s="4">
        <v>0</v>
      </c>
      <c r="R571" s="2" t="s">
        <v>370</v>
      </c>
      <c r="S571" s="2" t="s">
        <v>393</v>
      </c>
      <c r="T571" s="2" t="s">
        <v>555</v>
      </c>
      <c r="U571" s="2" t="s">
        <v>368</v>
      </c>
      <c r="V571" s="2" t="s">
        <v>208</v>
      </c>
      <c r="W571" s="4">
        <v>1</v>
      </c>
      <c r="X571" s="2" t="s">
        <v>365</v>
      </c>
      <c r="Y571" s="4">
        <v>0</v>
      </c>
      <c r="Z571" s="4" t="s">
        <v>39</v>
      </c>
      <c r="AA571" s="2" t="s">
        <v>185</v>
      </c>
      <c r="AB571" s="2" t="s">
        <v>391</v>
      </c>
      <c r="AC571" s="2" t="s">
        <v>444</v>
      </c>
      <c r="AD571" s="4">
        <v>82</v>
      </c>
      <c r="AE571" s="2" t="s">
        <v>391</v>
      </c>
      <c r="AF571" s="2" t="s">
        <v>329</v>
      </c>
      <c r="AG571" s="2" t="s">
        <v>1863</v>
      </c>
      <c r="AH571" s="2" t="s">
        <v>185</v>
      </c>
      <c r="AI571" s="2" t="s">
        <v>1957</v>
      </c>
      <c r="AJ571" s="4"/>
      <c r="AL571" s="4"/>
      <c r="AN571" s="4"/>
      <c r="AP571" s="4"/>
      <c r="AQ571" s="4"/>
      <c r="AS571" s="4">
        <v>0</v>
      </c>
      <c r="AT571" s="4">
        <v>3</v>
      </c>
      <c r="AU571" s="4">
        <v>2</v>
      </c>
      <c r="AV571" s="4">
        <v>0</v>
      </c>
      <c r="AW571" s="4">
        <v>2</v>
      </c>
      <c r="AX571" s="4">
        <v>0</v>
      </c>
      <c r="AZ571" s="2" t="s">
        <v>60</v>
      </c>
    </row>
    <row r="572" spans="2:52" x14ac:dyDescent="0.15">
      <c r="B572" s="2" t="s">
        <v>909</v>
      </c>
      <c r="C572" s="2" t="s">
        <v>2343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41</v>
      </c>
      <c r="J572" s="4" t="str">
        <f>VLOOKUP(I572,citySet!$B$5:$C$46,2,0)</f>
        <v>陈留</v>
      </c>
      <c r="K572" s="2" t="s">
        <v>2344</v>
      </c>
      <c r="L572" s="2" t="s">
        <v>2345</v>
      </c>
      <c r="M572" s="2" t="s">
        <v>2346</v>
      </c>
      <c r="N572" s="4"/>
      <c r="O572" s="2" t="s">
        <v>408</v>
      </c>
      <c r="P572" s="2" t="s">
        <v>408</v>
      </c>
      <c r="Q572" s="4">
        <v>0</v>
      </c>
      <c r="R572" s="2" t="s">
        <v>370</v>
      </c>
      <c r="S572" s="2" t="s">
        <v>435</v>
      </c>
      <c r="T572" s="2" t="s">
        <v>759</v>
      </c>
      <c r="U572" s="2" t="s">
        <v>340</v>
      </c>
      <c r="V572" s="2" t="s">
        <v>208</v>
      </c>
      <c r="W572" s="4">
        <v>2</v>
      </c>
      <c r="X572" s="2" t="s">
        <v>2983</v>
      </c>
      <c r="Y572" s="4">
        <v>0</v>
      </c>
      <c r="Z572" s="4" t="s">
        <v>39</v>
      </c>
      <c r="AA572" s="2" t="s">
        <v>60</v>
      </c>
      <c r="AB572" s="2" t="s">
        <v>382</v>
      </c>
      <c r="AC572" s="2" t="s">
        <v>21</v>
      </c>
      <c r="AD572" s="4">
        <v>59</v>
      </c>
      <c r="AE572" s="2" t="s">
        <v>431</v>
      </c>
      <c r="AF572" s="2" t="s">
        <v>269</v>
      </c>
      <c r="AG572" s="2" t="s">
        <v>158</v>
      </c>
      <c r="AH572" s="2" t="s">
        <v>185</v>
      </c>
      <c r="AI572" s="2" t="s">
        <v>1840</v>
      </c>
      <c r="AJ572" s="4"/>
      <c r="AL572" s="4"/>
      <c r="AN572" s="4"/>
      <c r="AP572" s="4"/>
      <c r="AQ572" s="4"/>
      <c r="AS572" s="4">
        <v>0</v>
      </c>
      <c r="AT572" s="4">
        <v>0</v>
      </c>
      <c r="AU572" s="4">
        <v>1</v>
      </c>
      <c r="AV572" s="4">
        <v>0</v>
      </c>
      <c r="AW572" s="4">
        <v>0</v>
      </c>
      <c r="AX572" s="4">
        <v>1</v>
      </c>
      <c r="AZ572" s="2" t="s">
        <v>60</v>
      </c>
    </row>
    <row r="573" spans="2:52" x14ac:dyDescent="0.15">
      <c r="B573" s="2" t="s">
        <v>1317</v>
      </c>
      <c r="C573" s="2" t="s">
        <v>910</v>
      </c>
      <c r="D573" s="2" t="s">
        <v>200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200</v>
      </c>
      <c r="H573" s="4" t="str">
        <f>VLOOKUP(G573,corpsSet!$B$5:$C$46,2,0)</f>
        <v>孟获</v>
      </c>
      <c r="I573" s="4" t="s">
        <v>98</v>
      </c>
      <c r="J573" s="4" t="str">
        <f>VLOOKUP(I573,citySet!$B$5:$C$46,2,0)</f>
        <v>云南</v>
      </c>
      <c r="K573" s="2" t="s">
        <v>2348</v>
      </c>
      <c r="L573" s="2" t="s">
        <v>2349</v>
      </c>
      <c r="N573" s="4"/>
      <c r="O573" s="2" t="s">
        <v>208</v>
      </c>
      <c r="P573" s="2" t="s">
        <v>208</v>
      </c>
      <c r="Q573" s="4">
        <v>0</v>
      </c>
      <c r="R573" s="2" t="s">
        <v>370</v>
      </c>
      <c r="S573" s="2" t="s">
        <v>689</v>
      </c>
      <c r="T573" s="2" t="s">
        <v>707</v>
      </c>
      <c r="U573" s="2" t="s">
        <v>453</v>
      </c>
      <c r="V573" s="2" t="s">
        <v>93</v>
      </c>
      <c r="W573" s="4">
        <v>3</v>
      </c>
      <c r="X573" s="2" t="s">
        <v>2</v>
      </c>
      <c r="Y573" s="4">
        <v>0</v>
      </c>
      <c r="Z573" s="4" t="s">
        <v>39</v>
      </c>
      <c r="AA573" s="2" t="s">
        <v>185</v>
      </c>
      <c r="AB573" s="2" t="s">
        <v>434</v>
      </c>
      <c r="AC573" s="2" t="s">
        <v>837</v>
      </c>
      <c r="AD573" s="4">
        <v>42</v>
      </c>
      <c r="AE573" s="2" t="s">
        <v>101</v>
      </c>
      <c r="AF573" s="2" t="s">
        <v>329</v>
      </c>
      <c r="AG573" s="2" t="s">
        <v>1208</v>
      </c>
      <c r="AH573" s="2" t="s">
        <v>185</v>
      </c>
      <c r="AI573" s="2" t="s">
        <v>909</v>
      </c>
      <c r="AJ573" s="4"/>
      <c r="AK573" s="2" t="s">
        <v>2347</v>
      </c>
      <c r="AL573" s="4"/>
      <c r="AN573" s="4" t="s">
        <v>732</v>
      </c>
      <c r="AO573" s="2" t="s">
        <v>911</v>
      </c>
      <c r="AP573" s="4"/>
      <c r="AQ573" s="4"/>
      <c r="AS573" s="4">
        <v>1</v>
      </c>
      <c r="AT573" s="4">
        <v>3</v>
      </c>
      <c r="AU573" s="4">
        <v>0</v>
      </c>
      <c r="AV573" s="4">
        <v>0</v>
      </c>
      <c r="AW573" s="4">
        <v>0</v>
      </c>
      <c r="AX573" s="4">
        <v>0</v>
      </c>
      <c r="AZ573" s="2" t="s">
        <v>60</v>
      </c>
    </row>
    <row r="574" spans="2:52" x14ac:dyDescent="0.15">
      <c r="B574" s="2" t="s">
        <v>1753</v>
      </c>
      <c r="C574" s="2" t="s">
        <v>2350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25</v>
      </c>
      <c r="J574" s="4" t="str">
        <f>VLOOKUP(I574,citySet!$B$5:$C$46,2,0)</f>
        <v>江夏</v>
      </c>
      <c r="K574" s="2" t="s">
        <v>2348</v>
      </c>
      <c r="L574" s="2" t="s">
        <v>2352</v>
      </c>
      <c r="M574" s="2" t="s">
        <v>2353</v>
      </c>
      <c r="N574" s="4"/>
      <c r="O574" s="2" t="s">
        <v>2351</v>
      </c>
      <c r="P574" s="2" t="s">
        <v>2351</v>
      </c>
      <c r="Q574" s="4">
        <v>0</v>
      </c>
      <c r="R574" s="2" t="s">
        <v>370</v>
      </c>
      <c r="S574" s="2" t="s">
        <v>887</v>
      </c>
      <c r="T574" s="2" t="s">
        <v>340</v>
      </c>
      <c r="U574" s="2" t="s">
        <v>1014</v>
      </c>
      <c r="V574" s="2" t="s">
        <v>134</v>
      </c>
      <c r="W574" s="4">
        <v>2</v>
      </c>
      <c r="X574" s="2" t="s">
        <v>2983</v>
      </c>
      <c r="Y574" s="4">
        <v>0</v>
      </c>
      <c r="Z574" s="4" t="s">
        <v>39</v>
      </c>
      <c r="AA574" s="2" t="s">
        <v>60</v>
      </c>
      <c r="AB574" s="2" t="s">
        <v>191</v>
      </c>
      <c r="AC574" s="2" t="s">
        <v>25</v>
      </c>
      <c r="AD574" s="4">
        <v>72</v>
      </c>
      <c r="AE574" s="2" t="s">
        <v>431</v>
      </c>
      <c r="AF574" s="2" t="s">
        <v>88</v>
      </c>
      <c r="AG574" s="2" t="s">
        <v>68</v>
      </c>
      <c r="AH574" s="2" t="s">
        <v>185</v>
      </c>
      <c r="AI574" s="2" t="s">
        <v>1317</v>
      </c>
      <c r="AJ574" s="4"/>
      <c r="AL574" s="4"/>
      <c r="AN574" s="4"/>
      <c r="AP574" s="4"/>
      <c r="AQ574" s="4"/>
      <c r="AS574" s="4">
        <v>0</v>
      </c>
      <c r="AT574" s="4">
        <v>0</v>
      </c>
      <c r="AU574" s="4">
        <v>1</v>
      </c>
      <c r="AV574" s="4">
        <v>0</v>
      </c>
      <c r="AW574" s="4">
        <v>2</v>
      </c>
      <c r="AX574" s="4">
        <v>1</v>
      </c>
      <c r="AZ574" s="2" t="s">
        <v>60</v>
      </c>
    </row>
    <row r="575" spans="2:52" x14ac:dyDescent="0.15">
      <c r="B575" s="2" t="s">
        <v>331</v>
      </c>
      <c r="C575" s="2" t="s">
        <v>2354</v>
      </c>
      <c r="D575" s="2" t="s">
        <v>33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33</v>
      </c>
      <c r="H575" s="4" t="str">
        <f>VLOOKUP(G575,corpsSet!$B$5:$C$46,2,0)</f>
        <v>刘焉</v>
      </c>
      <c r="I575" s="4" t="s">
        <v>126</v>
      </c>
      <c r="J575" s="4" t="str">
        <f>VLOOKUP(I575,citySet!$B$5:$C$46,2,0)</f>
        <v>成都</v>
      </c>
      <c r="K575" s="2" t="s">
        <v>2348</v>
      </c>
      <c r="L575" s="2" t="s">
        <v>2355</v>
      </c>
      <c r="M575" s="2" t="s">
        <v>2356</v>
      </c>
      <c r="N575" s="4"/>
      <c r="O575" s="2" t="s">
        <v>129</v>
      </c>
      <c r="P575" s="2" t="s">
        <v>129</v>
      </c>
      <c r="Q575" s="4">
        <v>0</v>
      </c>
      <c r="R575" s="2" t="s">
        <v>370</v>
      </c>
      <c r="S575" s="2" t="s">
        <v>564</v>
      </c>
      <c r="T575" s="2" t="s">
        <v>712</v>
      </c>
      <c r="U575" s="2" t="s">
        <v>667</v>
      </c>
      <c r="V575" s="2" t="s">
        <v>100</v>
      </c>
      <c r="W575" s="4">
        <v>1</v>
      </c>
      <c r="X575" s="2" t="s">
        <v>365</v>
      </c>
      <c r="Y575" s="4">
        <v>0</v>
      </c>
      <c r="Z575" s="4" t="s">
        <v>39</v>
      </c>
      <c r="AA575" s="2" t="s">
        <v>195</v>
      </c>
      <c r="AB575" s="2" t="s">
        <v>481</v>
      </c>
      <c r="AC575" s="2" t="s">
        <v>261</v>
      </c>
      <c r="AD575" s="4">
        <v>74</v>
      </c>
      <c r="AE575" s="2" t="s">
        <v>404</v>
      </c>
      <c r="AF575" s="2" t="s">
        <v>374</v>
      </c>
      <c r="AG575" s="2" t="s">
        <v>1210</v>
      </c>
      <c r="AH575" s="2" t="s">
        <v>185</v>
      </c>
      <c r="AI575" s="2" t="s">
        <v>1753</v>
      </c>
      <c r="AJ575" s="4"/>
      <c r="AL575" s="4"/>
      <c r="AN575" s="4"/>
      <c r="AP575" s="4"/>
      <c r="AQ575" s="4"/>
      <c r="AS575" s="4">
        <v>1</v>
      </c>
      <c r="AT575" s="4">
        <v>1</v>
      </c>
      <c r="AU575" s="4">
        <v>2</v>
      </c>
      <c r="AV575" s="4">
        <v>0</v>
      </c>
      <c r="AW575" s="4">
        <v>2</v>
      </c>
      <c r="AX575" s="4">
        <v>0</v>
      </c>
      <c r="AZ575" s="2" t="s">
        <v>60</v>
      </c>
    </row>
    <row r="576" spans="2:52" x14ac:dyDescent="0.15">
      <c r="B576" s="2" t="s">
        <v>1808</v>
      </c>
      <c r="C576" s="2" t="s">
        <v>3112</v>
      </c>
      <c r="D576" s="2" t="s">
        <v>200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200</v>
      </c>
      <c r="H576" s="4" t="str">
        <f>VLOOKUP(G576,corpsSet!$B$5:$C$46,2,0)</f>
        <v>孟获</v>
      </c>
      <c r="I576" s="4" t="s">
        <v>98</v>
      </c>
      <c r="J576" s="4" t="str">
        <f>VLOOKUP(I576,citySet!$B$5:$C$46,2,0)</f>
        <v>云南</v>
      </c>
      <c r="K576" s="2" t="s">
        <v>2348</v>
      </c>
      <c r="L576" s="2" t="s">
        <v>2357</v>
      </c>
      <c r="N576" s="4"/>
      <c r="O576" s="2" t="s">
        <v>719</v>
      </c>
      <c r="P576" s="2" t="s">
        <v>719</v>
      </c>
      <c r="Q576" s="4">
        <v>0</v>
      </c>
      <c r="R576" s="2" t="s">
        <v>370</v>
      </c>
      <c r="S576" s="2" t="s">
        <v>332</v>
      </c>
      <c r="T576" s="2" t="s">
        <v>372</v>
      </c>
      <c r="U576" s="2" t="s">
        <v>215</v>
      </c>
      <c r="V576" s="2" t="s">
        <v>93</v>
      </c>
      <c r="W576" s="4">
        <v>1</v>
      </c>
      <c r="X576" s="2" t="s">
        <v>365</v>
      </c>
      <c r="Y576" s="4">
        <v>2</v>
      </c>
      <c r="Z576" s="4" t="s">
        <v>443</v>
      </c>
      <c r="AA576" s="2" t="s">
        <v>134</v>
      </c>
      <c r="AB576" s="2" t="s">
        <v>4</v>
      </c>
      <c r="AC576" s="2" t="s">
        <v>321</v>
      </c>
      <c r="AD576" s="4">
        <v>22</v>
      </c>
      <c r="AE576" s="2" t="s">
        <v>104</v>
      </c>
      <c r="AF576" s="2" t="s">
        <v>226</v>
      </c>
      <c r="AG576" s="2" t="s">
        <v>83</v>
      </c>
      <c r="AH576" s="2" t="s">
        <v>185</v>
      </c>
      <c r="AI576" s="2" t="s">
        <v>909</v>
      </c>
      <c r="AJ576" s="4"/>
      <c r="AK576" s="2" t="s">
        <v>2347</v>
      </c>
      <c r="AL576" s="4"/>
      <c r="AN576" s="4"/>
      <c r="AP576" s="4"/>
      <c r="AQ576" s="4"/>
      <c r="AS576" s="4">
        <v>1</v>
      </c>
      <c r="AT576" s="4">
        <v>2</v>
      </c>
      <c r="AU576" s="4">
        <v>0</v>
      </c>
      <c r="AV576" s="4">
        <v>0</v>
      </c>
      <c r="AW576" s="4">
        <v>0</v>
      </c>
      <c r="AX576" s="4">
        <v>0</v>
      </c>
      <c r="AZ576" s="2" t="s">
        <v>60</v>
      </c>
    </row>
    <row r="577" spans="2:52" x14ac:dyDescent="0.15">
      <c r="B577" s="2" t="s">
        <v>2361</v>
      </c>
      <c r="C577" s="2" t="s">
        <v>2358</v>
      </c>
      <c r="D577" s="2" t="s">
        <v>29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29</v>
      </c>
      <c r="H577" s="4" t="str">
        <f>VLOOKUP(G577,corpsSet!$B$5:$C$46,2,0)</f>
        <v>袁术</v>
      </c>
      <c r="I577" s="4" t="s">
        <v>200</v>
      </c>
      <c r="J577" s="4" t="str">
        <f>VLOOKUP(I577,citySet!$B$5:$C$46,2,0)</f>
        <v>庐江</v>
      </c>
      <c r="K577" s="2" t="s">
        <v>2359</v>
      </c>
      <c r="L577" s="2" t="s">
        <v>2360</v>
      </c>
      <c r="N577" s="4"/>
      <c r="O577" s="2" t="s">
        <v>2278</v>
      </c>
      <c r="P577" s="2" t="s">
        <v>2278</v>
      </c>
      <c r="Q577" s="4">
        <v>0</v>
      </c>
      <c r="R577" s="2" t="s">
        <v>370</v>
      </c>
      <c r="S577" s="2" t="s">
        <v>435</v>
      </c>
      <c r="T577" s="2" t="s">
        <v>545</v>
      </c>
      <c r="U577" s="2" t="s">
        <v>372</v>
      </c>
      <c r="V577" s="2" t="s">
        <v>664</v>
      </c>
      <c r="W577" s="4">
        <v>1</v>
      </c>
      <c r="X577" s="2" t="s">
        <v>365</v>
      </c>
      <c r="Y577" s="4">
        <v>1</v>
      </c>
      <c r="Z577" s="4" t="s">
        <v>1243</v>
      </c>
      <c r="AA577" s="2" t="s">
        <v>403</v>
      </c>
      <c r="AB577" s="2" t="s">
        <v>423</v>
      </c>
      <c r="AC577" s="2" t="s">
        <v>88</v>
      </c>
      <c r="AD577" s="4">
        <v>24</v>
      </c>
      <c r="AE577" s="2" t="s">
        <v>189</v>
      </c>
      <c r="AF577" s="2" t="s">
        <v>95</v>
      </c>
      <c r="AG577" s="2" t="s">
        <v>437</v>
      </c>
      <c r="AH577" s="2" t="s">
        <v>185</v>
      </c>
      <c r="AI577" s="2" t="s">
        <v>1808</v>
      </c>
      <c r="AJ577" s="4"/>
      <c r="AL577" s="4"/>
      <c r="AN577" s="4"/>
      <c r="AP577" s="4"/>
      <c r="AQ577" s="4"/>
      <c r="AS577" s="4">
        <v>1</v>
      </c>
      <c r="AT577" s="4">
        <v>0</v>
      </c>
      <c r="AU577" s="4">
        <v>0</v>
      </c>
      <c r="AV577" s="4">
        <v>2</v>
      </c>
      <c r="AW577" s="4">
        <v>0</v>
      </c>
      <c r="AX577" s="4">
        <v>0</v>
      </c>
      <c r="AZ577" s="2" t="s">
        <v>60</v>
      </c>
    </row>
    <row r="578" spans="2:52" x14ac:dyDescent="0.15">
      <c r="B578" s="2" t="s">
        <v>988</v>
      </c>
      <c r="C578" s="2" t="s">
        <v>3113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207</v>
      </c>
      <c r="J578" s="4" t="str">
        <f>VLOOKUP(I578,citySet!$B$5:$C$46,2,0)</f>
        <v>梓潼</v>
      </c>
      <c r="K578" s="2" t="s">
        <v>1988</v>
      </c>
      <c r="L578" s="2" t="s">
        <v>2362</v>
      </c>
      <c r="N578" s="4"/>
      <c r="O578" s="2" t="s">
        <v>1990</v>
      </c>
      <c r="P578" s="2" t="s">
        <v>1990</v>
      </c>
      <c r="Q578" s="4">
        <v>0</v>
      </c>
      <c r="R578" s="2" t="s">
        <v>370</v>
      </c>
      <c r="S578" s="2" t="s">
        <v>707</v>
      </c>
      <c r="T578" s="2" t="s">
        <v>779</v>
      </c>
      <c r="U578" s="2" t="s">
        <v>689</v>
      </c>
      <c r="V578" s="2" t="s">
        <v>19</v>
      </c>
      <c r="W578" s="4">
        <v>2</v>
      </c>
      <c r="X578" s="2" t="s">
        <v>2983</v>
      </c>
      <c r="Y578" s="4">
        <v>0</v>
      </c>
      <c r="Z578" s="4" t="s">
        <v>39</v>
      </c>
      <c r="AA578" s="2" t="s">
        <v>60</v>
      </c>
      <c r="AB578" s="2" t="s">
        <v>423</v>
      </c>
      <c r="AC578" s="2" t="s">
        <v>321</v>
      </c>
      <c r="AD578" s="4">
        <v>68</v>
      </c>
      <c r="AE578" s="2" t="s">
        <v>423</v>
      </c>
      <c r="AF578" s="2" t="s">
        <v>19</v>
      </c>
      <c r="AG578" s="2" t="s">
        <v>850</v>
      </c>
      <c r="AH578" s="2" t="s">
        <v>185</v>
      </c>
      <c r="AI578" s="2" t="s">
        <v>2361</v>
      </c>
      <c r="AJ578" s="4"/>
      <c r="AL578" s="4"/>
      <c r="AN578" s="4"/>
      <c r="AP578" s="4"/>
      <c r="AQ578" s="4"/>
      <c r="AS578" s="4">
        <v>0</v>
      </c>
      <c r="AT578" s="4">
        <v>2</v>
      </c>
      <c r="AU578" s="4">
        <v>1</v>
      </c>
      <c r="AV578" s="4">
        <v>0</v>
      </c>
      <c r="AW578" s="4">
        <v>0</v>
      </c>
      <c r="AX578" s="4">
        <v>0</v>
      </c>
      <c r="AZ578" s="2" t="s">
        <v>60</v>
      </c>
    </row>
    <row r="579" spans="2:52" x14ac:dyDescent="0.15">
      <c r="B579" s="2" t="s">
        <v>2363</v>
      </c>
      <c r="C579" s="2" t="s">
        <v>3072</v>
      </c>
      <c r="D579" s="2" t="s">
        <v>204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204</v>
      </c>
      <c r="H579" s="4" t="str">
        <f>VLOOKUP(G579,corpsSet!$B$5:$C$46,2,0)</f>
        <v>雍闿</v>
      </c>
      <c r="I579" s="4" t="s">
        <v>237</v>
      </c>
      <c r="J579" s="4" t="str">
        <f>VLOOKUP(I579,citySet!$B$5:$C$46,2,0)</f>
        <v>建宁</v>
      </c>
      <c r="K579" s="2" t="s">
        <v>1016</v>
      </c>
      <c r="L579" s="2" t="s">
        <v>1888</v>
      </c>
      <c r="N579" s="4"/>
      <c r="O579" s="2" t="s">
        <v>1911</v>
      </c>
      <c r="P579" s="2" t="s">
        <v>1911</v>
      </c>
      <c r="Q579" s="4">
        <v>0</v>
      </c>
      <c r="R579" s="2" t="s">
        <v>370</v>
      </c>
      <c r="S579" s="2" t="s">
        <v>505</v>
      </c>
      <c r="T579" s="2" t="s">
        <v>438</v>
      </c>
      <c r="U579" s="2" t="s">
        <v>373</v>
      </c>
      <c r="V579" s="2" t="s">
        <v>14</v>
      </c>
      <c r="W579" s="4">
        <v>3</v>
      </c>
      <c r="X579" s="2" t="s">
        <v>2</v>
      </c>
      <c r="Y579" s="4">
        <v>0</v>
      </c>
      <c r="Z579" s="4" t="s">
        <v>39</v>
      </c>
      <c r="AA579" s="2" t="s">
        <v>185</v>
      </c>
      <c r="AB579" s="2" t="s">
        <v>235</v>
      </c>
      <c r="AC579" s="2" t="s">
        <v>481</v>
      </c>
      <c r="AD579" s="4">
        <v>54</v>
      </c>
      <c r="AE579" s="2" t="s">
        <v>201</v>
      </c>
      <c r="AF579" s="2" t="s">
        <v>321</v>
      </c>
      <c r="AG579" s="2" t="s">
        <v>980</v>
      </c>
      <c r="AH579" s="2" t="s">
        <v>185</v>
      </c>
      <c r="AI579" s="2" t="s">
        <v>988</v>
      </c>
      <c r="AJ579" s="4"/>
      <c r="AL579" s="4"/>
      <c r="AN579" s="4"/>
      <c r="AP579" s="4"/>
      <c r="AQ579" s="4"/>
      <c r="AS579" s="4">
        <v>2</v>
      </c>
      <c r="AT579" s="4">
        <v>2</v>
      </c>
      <c r="AU579" s="4">
        <v>0</v>
      </c>
      <c r="AV579" s="4">
        <v>0</v>
      </c>
      <c r="AW579" s="4">
        <v>3</v>
      </c>
      <c r="AX579" s="4">
        <v>0</v>
      </c>
      <c r="AZ579" s="2" t="s">
        <v>60</v>
      </c>
    </row>
    <row r="580" spans="2:52" x14ac:dyDescent="0.15">
      <c r="B580" s="2" t="s">
        <v>419</v>
      </c>
      <c r="C580" s="2" t="s">
        <v>2364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119</v>
      </c>
      <c r="J580" s="4" t="str">
        <f>VLOOKUP(I580,citySet!$B$5:$C$46,2,0)</f>
        <v>襄阳</v>
      </c>
      <c r="K580" s="2" t="s">
        <v>1988</v>
      </c>
      <c r="L580" s="2" t="s">
        <v>760</v>
      </c>
      <c r="M580" s="2" t="s">
        <v>2365</v>
      </c>
      <c r="N580" s="4"/>
      <c r="O580" s="2" t="s">
        <v>519</v>
      </c>
      <c r="P580" s="2" t="s">
        <v>519</v>
      </c>
      <c r="Q580" s="4">
        <v>0</v>
      </c>
      <c r="R580" s="2" t="s">
        <v>370</v>
      </c>
      <c r="S580" s="2" t="s">
        <v>490</v>
      </c>
      <c r="T580" s="2" t="s">
        <v>372</v>
      </c>
      <c r="U580" s="2" t="s">
        <v>887</v>
      </c>
      <c r="V580" s="2" t="s">
        <v>269</v>
      </c>
      <c r="W580" s="4">
        <v>2</v>
      </c>
      <c r="X580" s="2" t="s">
        <v>2983</v>
      </c>
      <c r="Y580" s="4">
        <v>0</v>
      </c>
      <c r="Z580" s="4" t="s">
        <v>39</v>
      </c>
      <c r="AA580" s="2" t="s">
        <v>60</v>
      </c>
      <c r="AB580" s="2" t="s">
        <v>321</v>
      </c>
      <c r="AC580" s="2" t="s">
        <v>126</v>
      </c>
      <c r="AD580" s="4">
        <v>82</v>
      </c>
      <c r="AE580" s="2" t="s">
        <v>88</v>
      </c>
      <c r="AF580" s="2" t="s">
        <v>189</v>
      </c>
      <c r="AG580" s="2" t="s">
        <v>1282</v>
      </c>
      <c r="AH580" s="2" t="s">
        <v>185</v>
      </c>
      <c r="AI580" s="2" t="s">
        <v>2363</v>
      </c>
      <c r="AJ580" s="4"/>
      <c r="AL580" s="4"/>
      <c r="AN580" s="4"/>
      <c r="AP580" s="4"/>
      <c r="AQ580" s="4"/>
      <c r="AS580" s="4">
        <v>0</v>
      </c>
      <c r="AT580" s="4">
        <v>1</v>
      </c>
      <c r="AU580" s="4">
        <v>1</v>
      </c>
      <c r="AV580" s="4">
        <v>0</v>
      </c>
      <c r="AW580" s="4">
        <v>1</v>
      </c>
      <c r="AX580" s="4">
        <v>0</v>
      </c>
      <c r="AZ580" s="2" t="s">
        <v>60</v>
      </c>
    </row>
    <row r="581" spans="2:52" x14ac:dyDescent="0.15">
      <c r="B581" s="2" t="s">
        <v>507</v>
      </c>
      <c r="C581" s="2" t="s">
        <v>2366</v>
      </c>
      <c r="D581" s="2" t="s">
        <v>15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15</v>
      </c>
      <c r="H581" s="4" t="str">
        <f>VLOOKUP(G581,corpsSet!$B$5:$C$46,2,0)</f>
        <v>邓艾</v>
      </c>
      <c r="I581" s="4" t="s">
        <v>21</v>
      </c>
      <c r="J581" s="4" t="str">
        <f>VLOOKUP(I581,citySet!$B$5:$C$46,2,0)</f>
        <v>江州</v>
      </c>
      <c r="K581" s="2" t="s">
        <v>1988</v>
      </c>
      <c r="L581" s="2" t="s">
        <v>2368</v>
      </c>
      <c r="N581" s="4"/>
      <c r="O581" s="2" t="s">
        <v>2367</v>
      </c>
      <c r="P581" s="2" t="s">
        <v>2367</v>
      </c>
      <c r="Q581" s="4">
        <v>0</v>
      </c>
      <c r="R581" s="2" t="s">
        <v>370</v>
      </c>
      <c r="S581" s="2" t="s">
        <v>427</v>
      </c>
      <c r="T581" s="2" t="s">
        <v>456</v>
      </c>
      <c r="U581" s="2" t="s">
        <v>570</v>
      </c>
      <c r="V581" s="2" t="s">
        <v>213</v>
      </c>
      <c r="W581" s="4">
        <v>1</v>
      </c>
      <c r="X581" s="2" t="s">
        <v>365</v>
      </c>
      <c r="Y581" s="4">
        <v>0</v>
      </c>
      <c r="Z581" s="4" t="s">
        <v>39</v>
      </c>
      <c r="AA581" s="2" t="s">
        <v>403</v>
      </c>
      <c r="AB581" s="2" t="s">
        <v>269</v>
      </c>
      <c r="AC581" s="2" t="s">
        <v>321</v>
      </c>
      <c r="AD581" s="4">
        <v>61</v>
      </c>
      <c r="AE581" s="2" t="s">
        <v>485</v>
      </c>
      <c r="AF581" s="2" t="s">
        <v>444</v>
      </c>
      <c r="AG581" s="2" t="s">
        <v>832</v>
      </c>
      <c r="AH581" s="2" t="s">
        <v>185</v>
      </c>
      <c r="AI581" s="2" t="s">
        <v>419</v>
      </c>
      <c r="AJ581" s="4"/>
      <c r="AL581" s="4"/>
      <c r="AN581" s="4"/>
      <c r="AP581" s="4"/>
      <c r="AQ581" s="4"/>
      <c r="AS581" s="4">
        <v>2</v>
      </c>
      <c r="AT581" s="4">
        <v>0</v>
      </c>
      <c r="AU581" s="4">
        <v>0</v>
      </c>
      <c r="AV581" s="4">
        <v>1</v>
      </c>
      <c r="AW581" s="4">
        <v>2</v>
      </c>
      <c r="AX581" s="4">
        <v>0</v>
      </c>
      <c r="AZ581" s="2" t="s">
        <v>60</v>
      </c>
    </row>
    <row r="582" spans="2:52" x14ac:dyDescent="0.15">
      <c r="B582" s="2" t="s">
        <v>2373</v>
      </c>
      <c r="C582" s="2" t="s">
        <v>2369</v>
      </c>
      <c r="D582" s="2" t="s">
        <v>18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18</v>
      </c>
      <c r="H582" s="4" t="str">
        <f>VLOOKUP(G582,corpsSet!$B$5:$C$46,2,0)</f>
        <v>司马懿</v>
      </c>
      <c r="I582" s="4" t="s">
        <v>18</v>
      </c>
      <c r="J582" s="4" t="str">
        <f>VLOOKUP(I582,citySet!$B$5:$C$46,2,0)</f>
        <v>洛阳</v>
      </c>
      <c r="K582" s="2" t="s">
        <v>2370</v>
      </c>
      <c r="L582" s="2" t="s">
        <v>2371</v>
      </c>
      <c r="M582" s="2" t="s">
        <v>2372</v>
      </c>
      <c r="N582" s="4"/>
      <c r="O582" s="2" t="s">
        <v>585</v>
      </c>
      <c r="P582" s="2" t="s">
        <v>585</v>
      </c>
      <c r="Q582" s="4">
        <v>0</v>
      </c>
      <c r="R582" s="2" t="s">
        <v>370</v>
      </c>
      <c r="S582" s="2" t="s">
        <v>977</v>
      </c>
      <c r="T582" s="2" t="s">
        <v>437</v>
      </c>
      <c r="U582" s="2" t="s">
        <v>570</v>
      </c>
      <c r="V582" s="2" t="s">
        <v>213</v>
      </c>
      <c r="W582" s="4">
        <v>1</v>
      </c>
      <c r="X582" s="2" t="s">
        <v>365</v>
      </c>
      <c r="Y582" s="4">
        <v>4</v>
      </c>
      <c r="Z582" s="4" t="s">
        <v>1091</v>
      </c>
      <c r="AA582" s="2" t="s">
        <v>134</v>
      </c>
      <c r="AB582" s="2" t="s">
        <v>176</v>
      </c>
      <c r="AC582" s="2" t="s">
        <v>444</v>
      </c>
      <c r="AD582" s="4">
        <v>84</v>
      </c>
      <c r="AE582" s="2" t="s">
        <v>837</v>
      </c>
      <c r="AF582" s="2" t="s">
        <v>78</v>
      </c>
      <c r="AG582" s="2" t="s">
        <v>758</v>
      </c>
      <c r="AH582" s="2" t="s">
        <v>185</v>
      </c>
      <c r="AI582" s="2" t="s">
        <v>507</v>
      </c>
      <c r="AJ582" s="4"/>
      <c r="AL582" s="4"/>
      <c r="AN582" s="4"/>
      <c r="AP582" s="4"/>
      <c r="AQ582" s="4"/>
      <c r="AS582" s="4">
        <v>3</v>
      </c>
      <c r="AT582" s="4">
        <v>1</v>
      </c>
      <c r="AU582" s="4">
        <v>3</v>
      </c>
      <c r="AV582" s="4">
        <v>2</v>
      </c>
      <c r="AW582" s="4">
        <v>1</v>
      </c>
      <c r="AX582" s="4">
        <v>2</v>
      </c>
      <c r="AZ582" s="2" t="s">
        <v>60</v>
      </c>
    </row>
    <row r="583" spans="2:52" x14ac:dyDescent="0.15">
      <c r="B583" s="2" t="s">
        <v>238</v>
      </c>
      <c r="C583" s="2" t="s">
        <v>2374</v>
      </c>
      <c r="D583" s="2" t="s">
        <v>29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29</v>
      </c>
      <c r="H583" s="4" t="str">
        <f>VLOOKUP(G583,corpsSet!$B$5:$C$46,2,0)</f>
        <v>袁术</v>
      </c>
      <c r="I583" s="4" t="s">
        <v>200</v>
      </c>
      <c r="J583" s="4" t="str">
        <f>VLOOKUP(I583,citySet!$B$5:$C$46,2,0)</f>
        <v>庐江</v>
      </c>
      <c r="K583" s="2" t="s">
        <v>1988</v>
      </c>
      <c r="L583" s="2" t="s">
        <v>1131</v>
      </c>
      <c r="N583" s="4"/>
      <c r="O583" s="2" t="s">
        <v>2189</v>
      </c>
      <c r="P583" s="2" t="s">
        <v>2189</v>
      </c>
      <c r="Q583" s="4">
        <v>0</v>
      </c>
      <c r="R583" s="2" t="s">
        <v>370</v>
      </c>
      <c r="S583" s="2" t="s">
        <v>435</v>
      </c>
      <c r="T583" s="2" t="s">
        <v>674</v>
      </c>
      <c r="U583" s="2" t="s">
        <v>479</v>
      </c>
      <c r="V583" s="2" t="s">
        <v>458</v>
      </c>
      <c r="W583" s="4">
        <v>1</v>
      </c>
      <c r="X583" s="2" t="s">
        <v>365</v>
      </c>
      <c r="Y583" s="4">
        <v>8</v>
      </c>
      <c r="Z583" s="4" t="s">
        <v>3079</v>
      </c>
      <c r="AA583" s="2" t="s">
        <v>185</v>
      </c>
      <c r="AB583" s="2" t="s">
        <v>104</v>
      </c>
      <c r="AC583" s="2" t="s">
        <v>8</v>
      </c>
      <c r="AD583" s="4">
        <v>76</v>
      </c>
      <c r="AE583" s="2" t="s">
        <v>93</v>
      </c>
      <c r="AF583" s="2" t="s">
        <v>101</v>
      </c>
      <c r="AG583" s="2" t="s">
        <v>675</v>
      </c>
      <c r="AH583" s="2" t="s">
        <v>185</v>
      </c>
      <c r="AI583" s="2" t="s">
        <v>2373</v>
      </c>
      <c r="AJ583" s="4"/>
      <c r="AL583" s="4"/>
      <c r="AN583" s="4"/>
      <c r="AP583" s="4"/>
      <c r="AQ583" s="4"/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Z583" s="2" t="s">
        <v>60</v>
      </c>
    </row>
    <row r="584" spans="2:52" x14ac:dyDescent="0.15">
      <c r="B584" s="2" t="s">
        <v>2375</v>
      </c>
      <c r="C584" s="2" t="s">
        <v>91</v>
      </c>
      <c r="D584" s="2" t="s">
        <v>3339</v>
      </c>
      <c r="E584" s="4" t="str">
        <f>VLOOKUP(D584,forceSet!$B$5:$D$46,3,0)</f>
        <v>张鲁</v>
      </c>
      <c r="F584" s="4" t="str">
        <f>VLOOKUP(I584,citySet!$B$5:$E$46,4,0)</f>
        <v>张鲁</v>
      </c>
      <c r="G584" s="2" t="s">
        <v>3339</v>
      </c>
      <c r="H584" s="4" t="str">
        <f>VLOOKUP(G584,corpsSet!$B$5:$C$46,2,0)</f>
        <v>张鲁</v>
      </c>
      <c r="I584" s="4" t="s">
        <v>226</v>
      </c>
      <c r="J584" s="4" t="str">
        <f>VLOOKUP(I584,citySet!$B$5:$C$46,2,0)</f>
        <v>汉中</v>
      </c>
      <c r="K584" s="2" t="s">
        <v>1988</v>
      </c>
      <c r="L584" s="2" t="s">
        <v>1401</v>
      </c>
      <c r="N584" s="4"/>
      <c r="O584" s="2" t="s">
        <v>2296</v>
      </c>
      <c r="P584" s="2" t="s">
        <v>2296</v>
      </c>
      <c r="Q584" s="4">
        <v>0</v>
      </c>
      <c r="R584" s="2" t="s">
        <v>370</v>
      </c>
      <c r="S584" s="2" t="s">
        <v>564</v>
      </c>
      <c r="T584" s="2" t="s">
        <v>712</v>
      </c>
      <c r="U584" s="2" t="s">
        <v>332</v>
      </c>
      <c r="V584" s="2" t="s">
        <v>18</v>
      </c>
      <c r="W584" s="4">
        <v>1</v>
      </c>
      <c r="X584" s="2" t="s">
        <v>365</v>
      </c>
      <c r="Y584" s="4">
        <v>2</v>
      </c>
      <c r="Z584" s="4" t="s">
        <v>443</v>
      </c>
      <c r="AA584" s="2" t="s">
        <v>403</v>
      </c>
      <c r="AB584" s="2" t="s">
        <v>321</v>
      </c>
      <c r="AC584" s="2" t="s">
        <v>374</v>
      </c>
      <c r="AD584" s="4">
        <v>38</v>
      </c>
      <c r="AE584" s="2" t="s">
        <v>220</v>
      </c>
      <c r="AF584" s="2" t="s">
        <v>98</v>
      </c>
      <c r="AG584" s="2" t="s">
        <v>86</v>
      </c>
      <c r="AH584" s="2" t="s">
        <v>185</v>
      </c>
      <c r="AI584" s="2" t="s">
        <v>238</v>
      </c>
      <c r="AJ584" s="4"/>
      <c r="AL584" s="4"/>
      <c r="AN584" s="4"/>
      <c r="AP584" s="4"/>
      <c r="AQ584" s="4"/>
      <c r="AS584" s="4">
        <v>1</v>
      </c>
      <c r="AT584" s="4">
        <v>1</v>
      </c>
      <c r="AU584" s="4">
        <v>1</v>
      </c>
      <c r="AV584" s="4">
        <v>1</v>
      </c>
      <c r="AW584" s="4">
        <v>0</v>
      </c>
      <c r="AX584" s="4">
        <v>0</v>
      </c>
      <c r="AZ584" s="2" t="s">
        <v>60</v>
      </c>
    </row>
    <row r="585" spans="2:52" x14ac:dyDescent="0.15">
      <c r="B585" s="2" t="s">
        <v>2378</v>
      </c>
      <c r="C585" s="2" t="s">
        <v>1166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18</v>
      </c>
      <c r="J585" s="4" t="str">
        <f>VLOOKUP(I585,citySet!$B$5:$C$46,2,0)</f>
        <v>洛阳</v>
      </c>
      <c r="K585" s="2" t="s">
        <v>1988</v>
      </c>
      <c r="L585" s="2" t="s">
        <v>1271</v>
      </c>
      <c r="M585" s="2" t="s">
        <v>2377</v>
      </c>
      <c r="N585" s="4"/>
      <c r="O585" s="2" t="s">
        <v>2376</v>
      </c>
      <c r="P585" s="2" t="s">
        <v>2376</v>
      </c>
      <c r="Q585" s="4">
        <v>0</v>
      </c>
      <c r="R585" s="2" t="s">
        <v>370</v>
      </c>
      <c r="S585" s="2" t="s">
        <v>453</v>
      </c>
      <c r="T585" s="2" t="s">
        <v>395</v>
      </c>
      <c r="U585" s="2" t="s">
        <v>457</v>
      </c>
      <c r="V585" s="2" t="s">
        <v>5</v>
      </c>
      <c r="W585" s="4">
        <v>2</v>
      </c>
      <c r="X585" s="2" t="s">
        <v>2983</v>
      </c>
      <c r="Y585" s="4">
        <v>0</v>
      </c>
      <c r="Z585" s="4" t="s">
        <v>39</v>
      </c>
      <c r="AA585" s="2" t="s">
        <v>60</v>
      </c>
      <c r="AB585" s="2" t="s">
        <v>445</v>
      </c>
      <c r="AC585" s="2" t="s">
        <v>321</v>
      </c>
      <c r="AD585" s="4">
        <v>71</v>
      </c>
      <c r="AE585" s="2" t="s">
        <v>404</v>
      </c>
      <c r="AF585" s="2" t="s">
        <v>444</v>
      </c>
      <c r="AG585" s="2" t="s">
        <v>520</v>
      </c>
      <c r="AH585" s="2" t="s">
        <v>185</v>
      </c>
      <c r="AI585" s="2" t="s">
        <v>2052</v>
      </c>
      <c r="AJ585" s="4"/>
      <c r="AL585" s="4"/>
      <c r="AN585" s="4"/>
      <c r="AP585" s="4"/>
      <c r="AQ585" s="4"/>
      <c r="AS585" s="4">
        <v>1</v>
      </c>
      <c r="AT585" s="4">
        <v>1</v>
      </c>
      <c r="AU585" s="4">
        <v>1</v>
      </c>
      <c r="AV585" s="4">
        <v>1</v>
      </c>
      <c r="AW585" s="4">
        <v>1</v>
      </c>
      <c r="AX585" s="4">
        <v>0</v>
      </c>
      <c r="AZ585" s="2" t="s">
        <v>60</v>
      </c>
    </row>
    <row r="586" spans="2:52" x14ac:dyDescent="0.15">
      <c r="B586" s="2" t="s">
        <v>2052</v>
      </c>
      <c r="C586" s="2" t="s">
        <v>3114</v>
      </c>
      <c r="D586" s="2" t="s">
        <v>3151</v>
      </c>
      <c r="E586" s="4" t="str">
        <f>VLOOKUP(D586,forceSet!$B$5:$D$46,3,0)</f>
        <v>丁原</v>
      </c>
      <c r="F586" s="4" t="str">
        <f>VLOOKUP(I586,citySet!$B$5:$E$46,4,0)</f>
        <v>丁原</v>
      </c>
      <c r="G586" s="2" t="s">
        <v>3151</v>
      </c>
      <c r="H586" s="4" t="str">
        <f>VLOOKUP(G586,corpsSet!$B$5:$C$46,2,0)</f>
        <v>丁原</v>
      </c>
      <c r="I586" s="4" t="s">
        <v>36</v>
      </c>
      <c r="J586" s="4" t="str">
        <f>VLOOKUP(I586,citySet!$B$5:$C$46,2,0)</f>
        <v>晋阳</v>
      </c>
      <c r="K586" s="2" t="s">
        <v>1988</v>
      </c>
      <c r="L586" s="2" t="s">
        <v>2291</v>
      </c>
      <c r="N586" s="4"/>
      <c r="O586" s="2" t="s">
        <v>1921</v>
      </c>
      <c r="P586" s="2" t="s">
        <v>1921</v>
      </c>
      <c r="Q586" s="4">
        <v>0</v>
      </c>
      <c r="R586" s="2" t="s">
        <v>370</v>
      </c>
      <c r="S586" s="2" t="s">
        <v>435</v>
      </c>
      <c r="T586" s="2" t="s">
        <v>436</v>
      </c>
      <c r="U586" s="2" t="s">
        <v>479</v>
      </c>
      <c r="V586" s="2" t="s">
        <v>29</v>
      </c>
      <c r="W586" s="4">
        <v>1</v>
      </c>
      <c r="X586" s="2" t="s">
        <v>365</v>
      </c>
      <c r="Y586" s="4">
        <v>2</v>
      </c>
      <c r="Z586" s="4" t="s">
        <v>443</v>
      </c>
      <c r="AA586" s="2" t="s">
        <v>403</v>
      </c>
      <c r="AB586" s="2" t="s">
        <v>14</v>
      </c>
      <c r="AC586" s="2" t="s">
        <v>257</v>
      </c>
      <c r="AD586" s="4">
        <v>40</v>
      </c>
      <c r="AE586" s="2" t="s">
        <v>10</v>
      </c>
      <c r="AF586" s="2" t="s">
        <v>5</v>
      </c>
      <c r="AG586" s="2" t="s">
        <v>417</v>
      </c>
      <c r="AH586" s="2" t="s">
        <v>185</v>
      </c>
      <c r="AI586" s="2" t="s">
        <v>2378</v>
      </c>
      <c r="AJ586" s="4"/>
      <c r="AL586" s="4"/>
      <c r="AN586" s="4"/>
      <c r="AP586" s="4"/>
      <c r="AQ586" s="4"/>
      <c r="AS586" s="4">
        <v>1</v>
      </c>
      <c r="AT586" s="4">
        <v>0</v>
      </c>
      <c r="AU586" s="4">
        <v>0</v>
      </c>
      <c r="AV586" s="4">
        <v>1</v>
      </c>
      <c r="AW586" s="4">
        <v>0</v>
      </c>
      <c r="AX586" s="4">
        <v>0</v>
      </c>
      <c r="AZ586" s="2" t="s">
        <v>60</v>
      </c>
    </row>
    <row r="587" spans="2:52" x14ac:dyDescent="0.15">
      <c r="B587" s="2" t="s">
        <v>2030</v>
      </c>
      <c r="C587" s="2" t="s">
        <v>2379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18</v>
      </c>
      <c r="J587" s="4" t="str">
        <f>VLOOKUP(I587,citySet!$B$5:$C$46,2,0)</f>
        <v>洛阳</v>
      </c>
      <c r="K587" s="2" t="s">
        <v>1988</v>
      </c>
      <c r="L587" s="2" t="s">
        <v>642</v>
      </c>
      <c r="M587" s="2" t="s">
        <v>2380</v>
      </c>
      <c r="N587" s="4"/>
      <c r="O587" s="2" t="s">
        <v>147</v>
      </c>
      <c r="P587" s="2" t="s">
        <v>147</v>
      </c>
      <c r="Q587" s="4">
        <v>0</v>
      </c>
      <c r="R587" s="2" t="s">
        <v>370</v>
      </c>
      <c r="S587" s="2" t="s">
        <v>407</v>
      </c>
      <c r="T587" s="2" t="s">
        <v>97</v>
      </c>
      <c r="U587" s="2" t="s">
        <v>702</v>
      </c>
      <c r="V587" s="2" t="s">
        <v>99</v>
      </c>
      <c r="W587" s="4">
        <v>2</v>
      </c>
      <c r="X587" s="2" t="s">
        <v>2983</v>
      </c>
      <c r="Y587" s="4">
        <v>0</v>
      </c>
      <c r="Z587" s="4" t="s">
        <v>39</v>
      </c>
      <c r="AA587" s="2" t="s">
        <v>60</v>
      </c>
      <c r="AB587" s="2" t="s">
        <v>32</v>
      </c>
      <c r="AC587" s="2" t="s">
        <v>37</v>
      </c>
      <c r="AD587" s="4">
        <v>83</v>
      </c>
      <c r="AE587" s="2" t="s">
        <v>88</v>
      </c>
      <c r="AF587" s="2" t="s">
        <v>99</v>
      </c>
      <c r="AG587" s="2" t="s">
        <v>702</v>
      </c>
      <c r="AH587" s="2" t="s">
        <v>185</v>
      </c>
      <c r="AI587" s="2" t="s">
        <v>2052</v>
      </c>
      <c r="AJ587" s="4"/>
      <c r="AL587" s="4"/>
      <c r="AN587" s="4"/>
      <c r="AP587" s="4"/>
      <c r="AQ587" s="4"/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Z587" s="2" t="s">
        <v>60</v>
      </c>
    </row>
    <row r="588" spans="2:52" x14ac:dyDescent="0.15">
      <c r="B588" s="2" t="s">
        <v>385</v>
      </c>
      <c r="C588" s="2" t="s">
        <v>2381</v>
      </c>
      <c r="D588" s="2" t="s">
        <v>107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107</v>
      </c>
      <c r="H588" s="4" t="str">
        <f>VLOOKUP(G588,corpsSet!$B$5:$C$46,2,0)</f>
        <v>韩遂</v>
      </c>
      <c r="I588" s="4" t="s">
        <v>107</v>
      </c>
      <c r="J588" s="4" t="str">
        <f>VLOOKUP(I588,citySet!$B$5:$C$46,2,0)</f>
        <v>天水</v>
      </c>
      <c r="K588" s="2" t="s">
        <v>1988</v>
      </c>
      <c r="L588" s="2" t="s">
        <v>2382</v>
      </c>
      <c r="N588" s="4"/>
      <c r="O588" s="2" t="s">
        <v>264</v>
      </c>
      <c r="P588" s="2" t="s">
        <v>264</v>
      </c>
      <c r="Q588" s="4">
        <v>0</v>
      </c>
      <c r="R588" s="2" t="s">
        <v>370</v>
      </c>
      <c r="S588" s="2" t="s">
        <v>564</v>
      </c>
      <c r="T588" s="2" t="s">
        <v>712</v>
      </c>
      <c r="U588" s="2" t="s">
        <v>843</v>
      </c>
      <c r="V588" s="2" t="s">
        <v>414</v>
      </c>
      <c r="W588" s="4">
        <v>1</v>
      </c>
      <c r="X588" s="2" t="s">
        <v>365</v>
      </c>
      <c r="Y588" s="4">
        <v>7</v>
      </c>
      <c r="Z588" s="4" t="s">
        <v>3078</v>
      </c>
      <c r="AA588" s="2" t="s">
        <v>403</v>
      </c>
      <c r="AB588" s="2" t="s">
        <v>445</v>
      </c>
      <c r="AC588" s="2" t="s">
        <v>444</v>
      </c>
      <c r="AD588" s="4">
        <v>58</v>
      </c>
      <c r="AE588" s="2" t="s">
        <v>382</v>
      </c>
      <c r="AF588" s="2" t="s">
        <v>98</v>
      </c>
      <c r="AG588" s="2" t="s">
        <v>1085</v>
      </c>
      <c r="AH588" s="2" t="s">
        <v>185</v>
      </c>
      <c r="AI588" s="2" t="s">
        <v>2030</v>
      </c>
      <c r="AJ588" s="4"/>
      <c r="AL588" s="4"/>
      <c r="AN588" s="4"/>
      <c r="AP588" s="4"/>
      <c r="AQ588" s="4"/>
      <c r="AS588" s="4">
        <v>0</v>
      </c>
      <c r="AT588" s="4">
        <v>0</v>
      </c>
      <c r="AU588" s="4">
        <v>1</v>
      </c>
      <c r="AV588" s="4">
        <v>2</v>
      </c>
      <c r="AW588" s="4">
        <v>1</v>
      </c>
      <c r="AX588" s="4">
        <v>0</v>
      </c>
      <c r="AZ588" s="2" t="s">
        <v>60</v>
      </c>
    </row>
    <row r="589" spans="2:52" x14ac:dyDescent="0.15">
      <c r="B589" s="2" t="s">
        <v>470</v>
      </c>
      <c r="C589" s="2" t="s">
        <v>2383</v>
      </c>
      <c r="D589" s="2" t="s">
        <v>3339</v>
      </c>
      <c r="E589" s="4" t="str">
        <f>VLOOKUP(D589,forceSet!$B$5:$D$46,3,0)</f>
        <v>张鲁</v>
      </c>
      <c r="F589" s="4" t="str">
        <f>VLOOKUP(I589,citySet!$B$5:$E$46,4,0)</f>
        <v>张鲁</v>
      </c>
      <c r="G589" s="2" t="s">
        <v>3339</v>
      </c>
      <c r="H589" s="4" t="str">
        <f>VLOOKUP(G589,corpsSet!$B$5:$C$46,2,0)</f>
        <v>张鲁</v>
      </c>
      <c r="I589" s="4" t="s">
        <v>226</v>
      </c>
      <c r="J589" s="4" t="str">
        <f>VLOOKUP(I589,citySet!$B$5:$C$46,2,0)</f>
        <v>汉中</v>
      </c>
      <c r="K589" s="2" t="s">
        <v>1988</v>
      </c>
      <c r="L589" s="2" t="s">
        <v>1945</v>
      </c>
      <c r="N589" s="4"/>
      <c r="O589" s="2" t="s">
        <v>1999</v>
      </c>
      <c r="P589" s="2" t="s">
        <v>1999</v>
      </c>
      <c r="Q589" s="4">
        <v>0</v>
      </c>
      <c r="R589" s="2" t="s">
        <v>370</v>
      </c>
      <c r="S589" s="2" t="s">
        <v>707</v>
      </c>
      <c r="T589" s="2" t="s">
        <v>779</v>
      </c>
      <c r="U589" s="2" t="s">
        <v>332</v>
      </c>
      <c r="V589" s="2" t="s">
        <v>41</v>
      </c>
      <c r="W589" s="4">
        <v>1</v>
      </c>
      <c r="X589" s="2" t="s">
        <v>365</v>
      </c>
      <c r="Y589" s="4">
        <v>7</v>
      </c>
      <c r="Z589" s="4" t="s">
        <v>3078</v>
      </c>
      <c r="AA589" s="2" t="s">
        <v>413</v>
      </c>
      <c r="AB589" s="2" t="s">
        <v>35</v>
      </c>
      <c r="AC589" s="2" t="s">
        <v>33</v>
      </c>
      <c r="AD589" s="4">
        <v>28</v>
      </c>
      <c r="AE589" s="2" t="s">
        <v>219</v>
      </c>
      <c r="AF589" s="2" t="s">
        <v>33</v>
      </c>
      <c r="AG589" s="2" t="s">
        <v>367</v>
      </c>
      <c r="AH589" s="2" t="s">
        <v>185</v>
      </c>
      <c r="AI589" s="2" t="s">
        <v>385</v>
      </c>
      <c r="AJ589" s="4"/>
      <c r="AK589" s="2" t="s">
        <v>2384</v>
      </c>
      <c r="AL589" s="4"/>
      <c r="AN589" s="4"/>
      <c r="AP589" s="4"/>
      <c r="AQ589" s="4"/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Z589" s="2" t="s">
        <v>60</v>
      </c>
    </row>
    <row r="590" spans="2:52" x14ac:dyDescent="0.15">
      <c r="B590" s="2" t="s">
        <v>320</v>
      </c>
      <c r="C590" s="2" t="s">
        <v>2385</v>
      </c>
      <c r="D590" s="2" t="s">
        <v>3339</v>
      </c>
      <c r="E590" s="4" t="str">
        <f>VLOOKUP(D590,forceSet!$B$5:$D$46,3,0)</f>
        <v>张鲁</v>
      </c>
      <c r="F590" s="4" t="str">
        <f>VLOOKUP(I590,citySet!$B$5:$E$46,4,0)</f>
        <v>张鲁</v>
      </c>
      <c r="G590" s="2" t="s">
        <v>3339</v>
      </c>
      <c r="H590" s="4" t="str">
        <f>VLOOKUP(G590,corpsSet!$B$5:$C$46,2,0)</f>
        <v>张鲁</v>
      </c>
      <c r="I590" s="4" t="s">
        <v>226</v>
      </c>
      <c r="J590" s="4" t="str">
        <f>VLOOKUP(I590,citySet!$B$5:$C$46,2,0)</f>
        <v>汉中</v>
      </c>
      <c r="K590" s="2" t="s">
        <v>1988</v>
      </c>
      <c r="L590" s="2" t="s">
        <v>1954</v>
      </c>
      <c r="N590" s="4"/>
      <c r="O590" s="2" t="s">
        <v>2292</v>
      </c>
      <c r="P590" s="2" t="s">
        <v>2292</v>
      </c>
      <c r="Q590" s="4">
        <v>0</v>
      </c>
      <c r="R590" s="2" t="s">
        <v>370</v>
      </c>
      <c r="S590" s="2" t="s">
        <v>393</v>
      </c>
      <c r="T590" s="2" t="s">
        <v>555</v>
      </c>
      <c r="U590" s="2" t="s">
        <v>332</v>
      </c>
      <c r="V590" s="2" t="s">
        <v>103</v>
      </c>
      <c r="W590" s="4">
        <v>1</v>
      </c>
      <c r="X590" s="2" t="s">
        <v>365</v>
      </c>
      <c r="Y590" s="4">
        <v>3</v>
      </c>
      <c r="Z590" s="4" t="s">
        <v>696</v>
      </c>
      <c r="AA590" s="2" t="s">
        <v>403</v>
      </c>
      <c r="AB590" s="2" t="s">
        <v>153</v>
      </c>
      <c r="AC590" s="2" t="s">
        <v>431</v>
      </c>
      <c r="AD590" s="4">
        <v>53</v>
      </c>
      <c r="AE590" s="2" t="s">
        <v>126</v>
      </c>
      <c r="AF590" s="2" t="s">
        <v>201</v>
      </c>
      <c r="AG590" s="2" t="s">
        <v>627</v>
      </c>
      <c r="AH590" s="2" t="s">
        <v>185</v>
      </c>
      <c r="AI590" s="2" t="s">
        <v>470</v>
      </c>
      <c r="AJ590" s="4"/>
      <c r="AL590" s="4"/>
      <c r="AN590" s="4"/>
      <c r="AP590" s="4"/>
      <c r="AQ590" s="4"/>
      <c r="AS590" s="4">
        <v>0</v>
      </c>
      <c r="AT590" s="4">
        <v>2</v>
      </c>
      <c r="AU590" s="4">
        <v>1</v>
      </c>
      <c r="AV590" s="4">
        <v>1</v>
      </c>
      <c r="AW590" s="4">
        <v>0</v>
      </c>
      <c r="AX590" s="4">
        <v>0</v>
      </c>
      <c r="AZ590" s="2" t="s">
        <v>60</v>
      </c>
    </row>
    <row r="591" spans="2:52" x14ac:dyDescent="0.15">
      <c r="B591" s="2" t="s">
        <v>2388</v>
      </c>
      <c r="C591" s="2" t="s">
        <v>2386</v>
      </c>
      <c r="D591" s="2" t="s">
        <v>41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41</v>
      </c>
      <c r="H591" s="4" t="str">
        <f>VLOOKUP(G591,corpsSet!$B$5:$C$46,2,0)</f>
        <v>公孙度</v>
      </c>
      <c r="I591" s="4" t="s">
        <v>27</v>
      </c>
      <c r="J591" s="4" t="str">
        <f>VLOOKUP(I591,citySet!$B$5:$C$46,2,0)</f>
        <v>襄平</v>
      </c>
      <c r="K591" s="2" t="s">
        <v>1988</v>
      </c>
      <c r="L591" s="2" t="s">
        <v>2387</v>
      </c>
      <c r="N591" s="4"/>
      <c r="O591" s="2" t="s">
        <v>1873</v>
      </c>
      <c r="P591" s="2" t="s">
        <v>1873</v>
      </c>
      <c r="Q591" s="4">
        <v>0</v>
      </c>
      <c r="R591" s="2" t="s">
        <v>370</v>
      </c>
      <c r="S591" s="2" t="s">
        <v>437</v>
      </c>
      <c r="T591" s="2" t="s">
        <v>536</v>
      </c>
      <c r="U591" s="2" t="s">
        <v>651</v>
      </c>
      <c r="V591" s="2" t="s">
        <v>697</v>
      </c>
      <c r="W591" s="4">
        <v>1</v>
      </c>
      <c r="X591" s="2" t="s">
        <v>365</v>
      </c>
      <c r="Y591" s="4">
        <v>1</v>
      </c>
      <c r="Z591" s="4" t="s">
        <v>1243</v>
      </c>
      <c r="AA591" s="2" t="s">
        <v>228</v>
      </c>
      <c r="AB591" s="2" t="s">
        <v>19</v>
      </c>
      <c r="AC591" s="2" t="s">
        <v>269</v>
      </c>
      <c r="AD591" s="4">
        <v>36</v>
      </c>
      <c r="AE591" s="2" t="s">
        <v>5</v>
      </c>
      <c r="AF591" s="2" t="s">
        <v>237</v>
      </c>
      <c r="AG591" s="2" t="s">
        <v>489</v>
      </c>
      <c r="AH591" s="2" t="s">
        <v>185</v>
      </c>
      <c r="AI591" s="2" t="s">
        <v>320</v>
      </c>
      <c r="AJ591" s="4"/>
      <c r="AL591" s="4"/>
      <c r="AN591" s="4"/>
      <c r="AP591" s="4"/>
      <c r="AQ591" s="4"/>
      <c r="AS591" s="4">
        <v>1</v>
      </c>
      <c r="AT591" s="4">
        <v>0</v>
      </c>
      <c r="AU591" s="4">
        <v>0</v>
      </c>
      <c r="AV591" s="4">
        <v>1</v>
      </c>
      <c r="AW591" s="4">
        <v>0</v>
      </c>
      <c r="AX591" s="4">
        <v>0</v>
      </c>
      <c r="AZ591" s="2" t="s">
        <v>60</v>
      </c>
    </row>
    <row r="592" spans="2:52" x14ac:dyDescent="0.15">
      <c r="B592" s="2" t="s">
        <v>2155</v>
      </c>
      <c r="C592" s="2" t="s">
        <v>2389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36</v>
      </c>
      <c r="J592" s="4" t="str">
        <f>VLOOKUP(I592,citySet!$B$5:$C$46,2,0)</f>
        <v>晋阳</v>
      </c>
      <c r="K592" s="2" t="s">
        <v>1988</v>
      </c>
      <c r="L592" s="2" t="s">
        <v>2391</v>
      </c>
      <c r="N592" s="4"/>
      <c r="O592" s="2" t="s">
        <v>2390</v>
      </c>
      <c r="P592" s="2" t="s">
        <v>2390</v>
      </c>
      <c r="Q592" s="4">
        <v>0</v>
      </c>
      <c r="R592" s="2" t="s">
        <v>370</v>
      </c>
      <c r="S592" s="2" t="s">
        <v>368</v>
      </c>
      <c r="T592" s="2" t="s">
        <v>489</v>
      </c>
      <c r="U592" s="2" t="s">
        <v>446</v>
      </c>
      <c r="V592" s="2" t="s">
        <v>95</v>
      </c>
      <c r="W592" s="4">
        <v>2</v>
      </c>
      <c r="X592" s="2" t="s">
        <v>2983</v>
      </c>
      <c r="Y592" s="4">
        <v>0</v>
      </c>
      <c r="Z592" s="4" t="s">
        <v>39</v>
      </c>
      <c r="AA592" s="2" t="s">
        <v>60</v>
      </c>
      <c r="AB592" s="2" t="s">
        <v>153</v>
      </c>
      <c r="AC592" s="2" t="s">
        <v>257</v>
      </c>
      <c r="AD592" s="4">
        <v>68</v>
      </c>
      <c r="AE592" s="2" t="s">
        <v>423</v>
      </c>
      <c r="AF592" s="2" t="s">
        <v>485</v>
      </c>
      <c r="AG592" s="2" t="s">
        <v>1133</v>
      </c>
      <c r="AH592" s="2" t="s">
        <v>185</v>
      </c>
      <c r="AI592" s="2" t="s">
        <v>2388</v>
      </c>
      <c r="AJ592" s="4"/>
      <c r="AL592" s="4"/>
      <c r="AN592" s="4"/>
      <c r="AP592" s="4"/>
      <c r="AQ592" s="4"/>
      <c r="AS592" s="4">
        <v>2</v>
      </c>
      <c r="AT592" s="4">
        <v>1</v>
      </c>
      <c r="AU592" s="4">
        <v>2</v>
      </c>
      <c r="AV592" s="4">
        <v>1</v>
      </c>
      <c r="AW592" s="4">
        <v>1</v>
      </c>
      <c r="AX592" s="4">
        <v>0</v>
      </c>
      <c r="AZ592" s="2" t="s">
        <v>60</v>
      </c>
    </row>
    <row r="593" spans="2:52" x14ac:dyDescent="0.15">
      <c r="B593" s="2" t="s">
        <v>2394</v>
      </c>
      <c r="C593" s="2" t="s">
        <v>2392</v>
      </c>
      <c r="D593" s="2" t="s">
        <v>3339</v>
      </c>
      <c r="E593" s="4" t="str">
        <f>VLOOKUP(D593,forceSet!$B$5:$D$46,3,0)</f>
        <v>张鲁</v>
      </c>
      <c r="F593" s="4" t="str">
        <f>VLOOKUP(I593,citySet!$B$5:$E$46,4,0)</f>
        <v>张鲁</v>
      </c>
      <c r="G593" s="2" t="s">
        <v>3339</v>
      </c>
      <c r="H593" s="4" t="str">
        <f>VLOOKUP(G593,corpsSet!$B$5:$C$46,2,0)</f>
        <v>张鲁</v>
      </c>
      <c r="I593" s="4" t="s">
        <v>226</v>
      </c>
      <c r="J593" s="4" t="str">
        <f>VLOOKUP(I593,citySet!$B$5:$C$46,2,0)</f>
        <v>汉中</v>
      </c>
      <c r="K593" s="2" t="s">
        <v>1988</v>
      </c>
      <c r="L593" s="2" t="s">
        <v>2393</v>
      </c>
      <c r="N593" s="4"/>
      <c r="O593" s="2" t="s">
        <v>2053</v>
      </c>
      <c r="P593" s="2" t="s">
        <v>2053</v>
      </c>
      <c r="Q593" s="4">
        <v>0</v>
      </c>
      <c r="R593" s="2" t="s">
        <v>370</v>
      </c>
      <c r="S593" s="2" t="s">
        <v>393</v>
      </c>
      <c r="T593" s="2" t="s">
        <v>579</v>
      </c>
      <c r="U593" s="2" t="s">
        <v>675</v>
      </c>
      <c r="V593" s="2" t="s">
        <v>17</v>
      </c>
      <c r="W593" s="4">
        <v>1</v>
      </c>
      <c r="X593" s="2" t="s">
        <v>365</v>
      </c>
      <c r="Y593" s="4">
        <v>1</v>
      </c>
      <c r="Z593" s="4" t="s">
        <v>1243</v>
      </c>
      <c r="AA593" s="2" t="s">
        <v>228</v>
      </c>
      <c r="AB593" s="2" t="s">
        <v>100</v>
      </c>
      <c r="AC593" s="2" t="s">
        <v>101</v>
      </c>
      <c r="AD593" s="4">
        <v>19</v>
      </c>
      <c r="AE593" s="2" t="s">
        <v>200</v>
      </c>
      <c r="AF593" s="2" t="s">
        <v>107</v>
      </c>
      <c r="AG593" s="2" t="s">
        <v>524</v>
      </c>
      <c r="AH593" s="2" t="s">
        <v>185</v>
      </c>
      <c r="AI593" s="2" t="s">
        <v>385</v>
      </c>
      <c r="AJ593" s="4"/>
      <c r="AK593" s="2" t="s">
        <v>2384</v>
      </c>
      <c r="AL593" s="4"/>
      <c r="AN593" s="4"/>
      <c r="AP593" s="4"/>
      <c r="AQ593" s="4"/>
      <c r="AS593" s="4">
        <v>1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Z593" s="2" t="s">
        <v>60</v>
      </c>
    </row>
    <row r="594" spans="2:52" x14ac:dyDescent="0.15">
      <c r="B594" s="2" t="s">
        <v>2180</v>
      </c>
      <c r="C594" s="2" t="s">
        <v>2395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107</v>
      </c>
      <c r="J594" s="4" t="str">
        <f>VLOOKUP(I594,citySet!$B$5:$C$46,2,0)</f>
        <v>天水</v>
      </c>
      <c r="K594" s="2" t="s">
        <v>1988</v>
      </c>
      <c r="L594" s="2" t="s">
        <v>2397</v>
      </c>
      <c r="M594" s="2" t="s">
        <v>2398</v>
      </c>
      <c r="N594" s="4"/>
      <c r="O594" s="2" t="s">
        <v>2396</v>
      </c>
      <c r="P594" s="2" t="s">
        <v>2396</v>
      </c>
      <c r="Q594" s="4">
        <v>0</v>
      </c>
      <c r="R594" s="2" t="s">
        <v>370</v>
      </c>
      <c r="S594" s="2" t="s">
        <v>425</v>
      </c>
      <c r="T594" s="2" t="s">
        <v>725</v>
      </c>
      <c r="U594" s="2" t="s">
        <v>427</v>
      </c>
      <c r="V594" s="2" t="s">
        <v>107</v>
      </c>
      <c r="W594" s="4">
        <v>2</v>
      </c>
      <c r="X594" s="2" t="s">
        <v>2983</v>
      </c>
      <c r="Y594" s="4">
        <v>0</v>
      </c>
      <c r="Z594" s="4" t="s">
        <v>39</v>
      </c>
      <c r="AA594" s="2" t="s">
        <v>60</v>
      </c>
      <c r="AB594" s="2" t="s">
        <v>445</v>
      </c>
      <c r="AC594" s="2" t="s">
        <v>4</v>
      </c>
      <c r="AD594" s="4">
        <v>83</v>
      </c>
      <c r="AE594" s="2" t="s">
        <v>431</v>
      </c>
      <c r="AF594" s="2" t="s">
        <v>422</v>
      </c>
      <c r="AG594" s="2" t="s">
        <v>284</v>
      </c>
      <c r="AH594" s="2" t="s">
        <v>185</v>
      </c>
      <c r="AI594" s="2" t="s">
        <v>2394</v>
      </c>
      <c r="AJ594" s="4"/>
      <c r="AL594" s="4"/>
      <c r="AN594" s="4"/>
      <c r="AP594" s="4"/>
      <c r="AQ594" s="4"/>
      <c r="AS594" s="4">
        <v>0</v>
      </c>
      <c r="AT594" s="4">
        <v>1</v>
      </c>
      <c r="AU594" s="4">
        <v>1</v>
      </c>
      <c r="AV594" s="4">
        <v>1</v>
      </c>
      <c r="AW594" s="4">
        <v>2</v>
      </c>
      <c r="AX594" s="4">
        <v>0</v>
      </c>
      <c r="AZ594" s="2" t="s">
        <v>60</v>
      </c>
    </row>
    <row r="595" spans="2:52" x14ac:dyDescent="0.15">
      <c r="B595" s="2" t="s">
        <v>2400</v>
      </c>
      <c r="C595" s="2" t="s">
        <v>2399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18</v>
      </c>
      <c r="J595" s="4" t="str">
        <f>VLOOKUP(I595,citySet!$B$5:$C$46,2,0)</f>
        <v>洛阳</v>
      </c>
      <c r="K595" s="2" t="s">
        <v>1988</v>
      </c>
      <c r="L595" s="2" t="s">
        <v>2088</v>
      </c>
      <c r="N595" s="4"/>
      <c r="O595" s="2" t="s">
        <v>60</v>
      </c>
      <c r="P595" s="2" t="s">
        <v>60</v>
      </c>
      <c r="Q595" s="4">
        <v>0</v>
      </c>
      <c r="R595" s="2" t="s">
        <v>370</v>
      </c>
      <c r="S595" s="2" t="s">
        <v>435</v>
      </c>
      <c r="T595" s="2" t="s">
        <v>995</v>
      </c>
      <c r="U595" s="2" t="s">
        <v>425</v>
      </c>
      <c r="V595" s="2" t="s">
        <v>150</v>
      </c>
      <c r="W595" s="4">
        <v>2</v>
      </c>
      <c r="X595" s="2" t="s">
        <v>2983</v>
      </c>
      <c r="Y595" s="4">
        <v>0</v>
      </c>
      <c r="Z595" s="4" t="s">
        <v>39</v>
      </c>
      <c r="AA595" s="2" t="s">
        <v>60</v>
      </c>
      <c r="AB595" s="2" t="s">
        <v>404</v>
      </c>
      <c r="AC595" s="2" t="s">
        <v>257</v>
      </c>
      <c r="AD595" s="4">
        <v>31</v>
      </c>
      <c r="AE595" s="2" t="s">
        <v>17</v>
      </c>
      <c r="AF595" s="2" t="s">
        <v>485</v>
      </c>
      <c r="AG595" s="2" t="s">
        <v>609</v>
      </c>
      <c r="AH595" s="2" t="s">
        <v>185</v>
      </c>
      <c r="AI595" s="2" t="s">
        <v>2180</v>
      </c>
      <c r="AJ595" s="4"/>
      <c r="AL595" s="4"/>
      <c r="AN595" s="4"/>
      <c r="AP595" s="4"/>
      <c r="AQ595" s="4"/>
      <c r="AS595" s="4">
        <v>1</v>
      </c>
      <c r="AT595" s="4">
        <v>0</v>
      </c>
      <c r="AU595" s="4">
        <v>0</v>
      </c>
      <c r="AV595" s="4">
        <v>1</v>
      </c>
      <c r="AW595" s="4">
        <v>0</v>
      </c>
      <c r="AX595" s="4">
        <v>0</v>
      </c>
      <c r="AZ595" s="2" t="s">
        <v>60</v>
      </c>
    </row>
    <row r="596" spans="2:52" x14ac:dyDescent="0.15">
      <c r="B596" s="2" t="s">
        <v>1089</v>
      </c>
      <c r="C596" s="2" t="s">
        <v>2401</v>
      </c>
      <c r="D596" s="2" t="s">
        <v>200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200</v>
      </c>
      <c r="H596" s="4" t="str">
        <f>VLOOKUP(G596,corpsSet!$B$5:$C$46,2,0)</f>
        <v>孟获</v>
      </c>
      <c r="I596" s="4" t="s">
        <v>98</v>
      </c>
      <c r="J596" s="4" t="str">
        <f>VLOOKUP(I596,citySet!$B$5:$C$46,2,0)</f>
        <v>云南</v>
      </c>
      <c r="K596" s="2" t="s">
        <v>1988</v>
      </c>
      <c r="L596" s="2" t="s">
        <v>2403</v>
      </c>
      <c r="N596" s="4"/>
      <c r="O596" s="2" t="s">
        <v>2402</v>
      </c>
      <c r="P596" s="2" t="s">
        <v>2402</v>
      </c>
      <c r="Q596" s="4">
        <v>0</v>
      </c>
      <c r="R596" s="2" t="s">
        <v>370</v>
      </c>
      <c r="S596" s="2" t="s">
        <v>961</v>
      </c>
      <c r="T596" s="2" t="s">
        <v>564</v>
      </c>
      <c r="U596" s="2" t="s">
        <v>542</v>
      </c>
      <c r="V596" s="2" t="s">
        <v>148</v>
      </c>
      <c r="W596" s="4">
        <v>1</v>
      </c>
      <c r="X596" s="2" t="s">
        <v>365</v>
      </c>
      <c r="Y596" s="4">
        <v>0</v>
      </c>
      <c r="Z596" s="4" t="s">
        <v>39</v>
      </c>
      <c r="AA596" s="2" t="s">
        <v>228</v>
      </c>
      <c r="AB596" s="2" t="s">
        <v>3</v>
      </c>
      <c r="AC596" s="2" t="s">
        <v>423</v>
      </c>
      <c r="AD596" s="4">
        <v>52</v>
      </c>
      <c r="AE596" s="2" t="s">
        <v>126</v>
      </c>
      <c r="AF596" s="2" t="s">
        <v>102</v>
      </c>
      <c r="AG596" s="2" t="s">
        <v>621</v>
      </c>
      <c r="AH596" s="2" t="s">
        <v>185</v>
      </c>
      <c r="AI596" s="2" t="s">
        <v>2400</v>
      </c>
      <c r="AJ596" s="4"/>
      <c r="AL596" s="4"/>
      <c r="AN596" s="4"/>
      <c r="AP596" s="4"/>
      <c r="AQ596" s="4"/>
      <c r="AS596" s="4">
        <v>0</v>
      </c>
      <c r="AT596" s="4">
        <v>1</v>
      </c>
      <c r="AU596" s="4">
        <v>0</v>
      </c>
      <c r="AV596" s="4">
        <v>0</v>
      </c>
      <c r="AW596" s="4">
        <v>1</v>
      </c>
      <c r="AX596" s="4">
        <v>0</v>
      </c>
      <c r="AZ596" s="2" t="s">
        <v>60</v>
      </c>
    </row>
    <row r="597" spans="2:52" x14ac:dyDescent="0.15">
      <c r="B597" s="2" t="s">
        <v>2407</v>
      </c>
      <c r="C597" s="2" t="s">
        <v>2404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126</v>
      </c>
      <c r="J597" s="4" t="str">
        <f>VLOOKUP(I597,citySet!$B$5:$C$46,2,0)</f>
        <v>成都</v>
      </c>
      <c r="K597" s="2" t="s">
        <v>2405</v>
      </c>
      <c r="L597" s="2" t="s">
        <v>2406</v>
      </c>
      <c r="N597" s="4"/>
      <c r="O597" s="2" t="s">
        <v>667</v>
      </c>
      <c r="P597" s="2" t="s">
        <v>667</v>
      </c>
      <c r="Q597" s="4">
        <v>0</v>
      </c>
      <c r="R597" s="2" t="s">
        <v>370</v>
      </c>
      <c r="S597" s="2" t="s">
        <v>564</v>
      </c>
      <c r="T597" s="2" t="s">
        <v>712</v>
      </c>
      <c r="U597" s="2" t="s">
        <v>379</v>
      </c>
      <c r="V597" s="2" t="s">
        <v>486</v>
      </c>
      <c r="W597" s="4">
        <v>2</v>
      </c>
      <c r="X597" s="2" t="s">
        <v>2983</v>
      </c>
      <c r="Y597" s="4">
        <v>0</v>
      </c>
      <c r="Z597" s="4" t="s">
        <v>39</v>
      </c>
      <c r="AA597" s="2" t="s">
        <v>60</v>
      </c>
      <c r="AB597" s="2" t="s">
        <v>454</v>
      </c>
      <c r="AC597" s="2" t="s">
        <v>431</v>
      </c>
      <c r="AD597" s="4">
        <v>51</v>
      </c>
      <c r="AE597" s="2" t="s">
        <v>226</v>
      </c>
      <c r="AF597" s="2" t="s">
        <v>19</v>
      </c>
      <c r="AG597" s="2" t="s">
        <v>1264</v>
      </c>
      <c r="AH597" s="2" t="s">
        <v>185</v>
      </c>
      <c r="AI597" s="2" t="s">
        <v>1089</v>
      </c>
      <c r="AJ597" s="4"/>
      <c r="AL597" s="4"/>
      <c r="AN597" s="4"/>
      <c r="AP597" s="4"/>
      <c r="AQ597" s="4"/>
      <c r="AS597" s="4">
        <v>1</v>
      </c>
      <c r="AT597" s="4">
        <v>2</v>
      </c>
      <c r="AU597" s="4">
        <v>0</v>
      </c>
      <c r="AV597" s="4">
        <v>1</v>
      </c>
      <c r="AW597" s="4">
        <v>1</v>
      </c>
      <c r="AX597" s="4">
        <v>0</v>
      </c>
      <c r="AZ597" s="2" t="s">
        <v>60</v>
      </c>
    </row>
    <row r="598" spans="2:52" x14ac:dyDescent="0.15">
      <c r="B598" s="2" t="s">
        <v>2290</v>
      </c>
      <c r="C598" s="2" t="s">
        <v>2408</v>
      </c>
      <c r="D598" s="2" t="s">
        <v>29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29</v>
      </c>
      <c r="H598" s="4" t="str">
        <f>VLOOKUP(G598,corpsSet!$B$5:$C$46,2,0)</f>
        <v>袁术</v>
      </c>
      <c r="I598" s="4" t="s">
        <v>200</v>
      </c>
      <c r="J598" s="4" t="str">
        <f>VLOOKUP(I598,citySet!$B$5:$C$46,2,0)</f>
        <v>庐江</v>
      </c>
      <c r="K598" s="2" t="s">
        <v>2405</v>
      </c>
      <c r="L598" s="2" t="s">
        <v>2409</v>
      </c>
      <c r="N598" s="4"/>
      <c r="O598" s="2" t="s">
        <v>2007</v>
      </c>
      <c r="P598" s="2" t="s">
        <v>2007</v>
      </c>
      <c r="Q598" s="4">
        <v>0</v>
      </c>
      <c r="R598" s="2" t="s">
        <v>370</v>
      </c>
      <c r="S598" s="2" t="s">
        <v>435</v>
      </c>
      <c r="T598" s="2" t="s">
        <v>476</v>
      </c>
      <c r="U598" s="2" t="s">
        <v>326</v>
      </c>
      <c r="V598" s="2" t="s">
        <v>904</v>
      </c>
      <c r="W598" s="4">
        <v>1</v>
      </c>
      <c r="X598" s="2" t="s">
        <v>365</v>
      </c>
      <c r="Y598" s="4">
        <v>0</v>
      </c>
      <c r="Z598" s="4" t="s">
        <v>39</v>
      </c>
      <c r="AA598" s="2" t="s">
        <v>79</v>
      </c>
      <c r="AB598" s="2" t="s">
        <v>423</v>
      </c>
      <c r="AC598" s="2" t="s">
        <v>153</v>
      </c>
      <c r="AD598" s="4">
        <v>36</v>
      </c>
      <c r="AE598" s="2" t="s">
        <v>24</v>
      </c>
      <c r="AF598" s="2" t="s">
        <v>8</v>
      </c>
      <c r="AG598" s="2" t="s">
        <v>407</v>
      </c>
      <c r="AH598" s="2" t="s">
        <v>185</v>
      </c>
      <c r="AI598" s="2" t="s">
        <v>2407</v>
      </c>
      <c r="AJ598" s="4"/>
      <c r="AL598" s="4"/>
      <c r="AN598" s="4"/>
      <c r="AP598" s="4"/>
      <c r="AQ598" s="4"/>
      <c r="AS598" s="4">
        <v>2</v>
      </c>
      <c r="AT598" s="4">
        <v>1</v>
      </c>
      <c r="AU598" s="4">
        <v>0</v>
      </c>
      <c r="AV598" s="4">
        <v>0</v>
      </c>
      <c r="AW598" s="4">
        <v>1</v>
      </c>
      <c r="AX598" s="4">
        <v>0</v>
      </c>
      <c r="AZ598" s="2" t="s">
        <v>60</v>
      </c>
    </row>
    <row r="599" spans="2:52" x14ac:dyDescent="0.15">
      <c r="B599" s="2" t="s">
        <v>1690</v>
      </c>
      <c r="C599" s="2" t="s">
        <v>2410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196</v>
      </c>
      <c r="J599" s="4" t="str">
        <f>VLOOKUP(I599,citySet!$B$5:$C$46,2,0)</f>
        <v>会稽</v>
      </c>
      <c r="K599" s="2" t="s">
        <v>2411</v>
      </c>
      <c r="L599" s="2" t="s">
        <v>993</v>
      </c>
      <c r="M599" s="2" t="s">
        <v>1222</v>
      </c>
      <c r="N599" s="4"/>
      <c r="O599" s="2" t="s">
        <v>1193</v>
      </c>
      <c r="P599" s="2" t="s">
        <v>1193</v>
      </c>
      <c r="Q599" s="4">
        <v>0</v>
      </c>
      <c r="R599" s="2" t="s">
        <v>370</v>
      </c>
      <c r="S599" s="2" t="s">
        <v>505</v>
      </c>
      <c r="T599" s="2" t="s">
        <v>467</v>
      </c>
      <c r="U599" s="2" t="s">
        <v>667</v>
      </c>
      <c r="V599" s="2" t="s">
        <v>1012</v>
      </c>
      <c r="W599" s="4">
        <v>2</v>
      </c>
      <c r="X599" s="2" t="s">
        <v>2983</v>
      </c>
      <c r="Y599" s="4">
        <v>0</v>
      </c>
      <c r="Z599" s="4" t="s">
        <v>39</v>
      </c>
      <c r="AA599" s="2" t="s">
        <v>60</v>
      </c>
      <c r="AB599" s="2" t="s">
        <v>434</v>
      </c>
      <c r="AC599" s="2" t="s">
        <v>485</v>
      </c>
      <c r="AD599" s="4">
        <v>75</v>
      </c>
      <c r="AE599" s="2" t="s">
        <v>422</v>
      </c>
      <c r="AF599" s="2" t="s">
        <v>422</v>
      </c>
      <c r="AG599" s="2" t="s">
        <v>1011</v>
      </c>
      <c r="AH599" s="2" t="s">
        <v>185</v>
      </c>
      <c r="AI599" s="2" t="s">
        <v>2290</v>
      </c>
      <c r="AJ599" s="4"/>
      <c r="AL599" s="4"/>
      <c r="AN599" s="4"/>
      <c r="AP599" s="4"/>
      <c r="AQ599" s="4"/>
      <c r="AS599" s="4">
        <v>1</v>
      </c>
      <c r="AT599" s="4">
        <v>1</v>
      </c>
      <c r="AU599" s="4">
        <v>2</v>
      </c>
      <c r="AV599" s="4">
        <v>0</v>
      </c>
      <c r="AW599" s="4">
        <v>2</v>
      </c>
      <c r="AX599" s="4">
        <v>2</v>
      </c>
      <c r="AZ599" s="2" t="s">
        <v>60</v>
      </c>
    </row>
    <row r="600" spans="2:52" x14ac:dyDescent="0.15">
      <c r="B600" s="2" t="s">
        <v>530</v>
      </c>
      <c r="C600" s="2" t="s">
        <v>2412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119</v>
      </c>
      <c r="J600" s="4" t="str">
        <f>VLOOKUP(I600,citySet!$B$5:$C$46,2,0)</f>
        <v>襄阳</v>
      </c>
      <c r="K600" s="2" t="s">
        <v>2414</v>
      </c>
      <c r="L600" s="2" t="s">
        <v>1688</v>
      </c>
      <c r="M600" s="2" t="s">
        <v>2415</v>
      </c>
      <c r="N600" s="4"/>
      <c r="O600" s="2" t="s">
        <v>2413</v>
      </c>
      <c r="P600" s="2" t="s">
        <v>2413</v>
      </c>
      <c r="Q600" s="4">
        <v>0</v>
      </c>
      <c r="R600" s="2" t="s">
        <v>370</v>
      </c>
      <c r="S600" s="2" t="s">
        <v>626</v>
      </c>
      <c r="T600" s="2" t="s">
        <v>379</v>
      </c>
      <c r="U600" s="2" t="s">
        <v>418</v>
      </c>
      <c r="V600" s="2" t="s">
        <v>434</v>
      </c>
      <c r="W600" s="4">
        <v>2</v>
      </c>
      <c r="X600" s="2" t="s">
        <v>2983</v>
      </c>
      <c r="Y600" s="4">
        <v>0</v>
      </c>
      <c r="Z600" s="4" t="s">
        <v>39</v>
      </c>
      <c r="AA600" s="2" t="s">
        <v>60</v>
      </c>
      <c r="AB600" s="2" t="s">
        <v>256</v>
      </c>
      <c r="AC600" s="2" t="s">
        <v>515</v>
      </c>
      <c r="AD600" s="4">
        <v>75</v>
      </c>
      <c r="AE600" s="2" t="s">
        <v>374</v>
      </c>
      <c r="AF600" s="2" t="s">
        <v>261</v>
      </c>
      <c r="AG600" s="2" t="s">
        <v>1671</v>
      </c>
      <c r="AH600" s="2" t="s">
        <v>185</v>
      </c>
      <c r="AI600" s="2" t="s">
        <v>1690</v>
      </c>
      <c r="AJ600" s="4"/>
      <c r="AL600" s="4"/>
      <c r="AN600" s="4"/>
      <c r="AP600" s="4"/>
      <c r="AQ600" s="4"/>
      <c r="AS600" s="4">
        <v>1</v>
      </c>
      <c r="AT600" s="4">
        <v>2</v>
      </c>
      <c r="AU600" s="4">
        <v>3</v>
      </c>
      <c r="AV600" s="4">
        <v>0</v>
      </c>
      <c r="AW600" s="4">
        <v>3</v>
      </c>
      <c r="AX600" s="4">
        <v>0</v>
      </c>
      <c r="AZ600" s="2" t="s">
        <v>60</v>
      </c>
    </row>
    <row r="601" spans="2:52" x14ac:dyDescent="0.15">
      <c r="B601" s="2" t="s">
        <v>2009</v>
      </c>
      <c r="C601" s="2" t="s">
        <v>3115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95</v>
      </c>
      <c r="J601" s="4" t="str">
        <f>VLOOKUP(I601,citySet!$B$5:$C$46,2,0)</f>
        <v>武陵</v>
      </c>
      <c r="K601" s="2" t="s">
        <v>2416</v>
      </c>
      <c r="L601" s="2" t="s">
        <v>581</v>
      </c>
      <c r="N601" s="4"/>
      <c r="O601" s="2" t="s">
        <v>806</v>
      </c>
      <c r="P601" s="2" t="s">
        <v>806</v>
      </c>
      <c r="Q601" s="4">
        <v>0</v>
      </c>
      <c r="R601" s="2" t="s">
        <v>370</v>
      </c>
      <c r="S601" s="2" t="s">
        <v>326</v>
      </c>
      <c r="T601" s="2" t="s">
        <v>544</v>
      </c>
      <c r="U601" s="2" t="s">
        <v>512</v>
      </c>
      <c r="V601" s="2" t="s">
        <v>1035</v>
      </c>
      <c r="W601" s="4">
        <v>2</v>
      </c>
      <c r="X601" s="2" t="s">
        <v>2983</v>
      </c>
      <c r="Y601" s="4">
        <v>0</v>
      </c>
      <c r="Z601" s="4" t="s">
        <v>39</v>
      </c>
      <c r="AA601" s="2" t="s">
        <v>60</v>
      </c>
      <c r="AB601" s="2" t="s">
        <v>486</v>
      </c>
      <c r="AC601" s="2" t="s">
        <v>422</v>
      </c>
      <c r="AD601" s="4">
        <v>19</v>
      </c>
      <c r="AE601" s="2" t="s">
        <v>104</v>
      </c>
      <c r="AF601" s="2" t="s">
        <v>193</v>
      </c>
      <c r="AG601" s="2" t="s">
        <v>425</v>
      </c>
      <c r="AH601" s="2" t="s">
        <v>185</v>
      </c>
      <c r="AI601" s="2" t="s">
        <v>530</v>
      </c>
      <c r="AJ601" s="4"/>
      <c r="AL601" s="4"/>
      <c r="AN601" s="4"/>
      <c r="AP601" s="4"/>
      <c r="AQ601" s="4"/>
      <c r="AS601" s="4">
        <v>2</v>
      </c>
      <c r="AT601" s="4">
        <v>0</v>
      </c>
      <c r="AU601" s="4">
        <v>0</v>
      </c>
      <c r="AV601" s="4">
        <v>1</v>
      </c>
      <c r="AW601" s="4">
        <v>1</v>
      </c>
      <c r="AX601" s="4">
        <v>1</v>
      </c>
      <c r="AZ601" s="2" t="s">
        <v>60</v>
      </c>
    </row>
    <row r="602" spans="2:52" x14ac:dyDescent="0.15">
      <c r="B602" s="2" t="s">
        <v>455</v>
      </c>
      <c r="C602" s="2" t="s">
        <v>2417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237</v>
      </c>
      <c r="J602" s="4" t="str">
        <f>VLOOKUP(I602,citySet!$B$5:$C$46,2,0)</f>
        <v>建宁</v>
      </c>
      <c r="K602" s="2" t="s">
        <v>2416</v>
      </c>
      <c r="L602" s="2" t="s">
        <v>728</v>
      </c>
      <c r="M602" s="2" t="s">
        <v>2418</v>
      </c>
      <c r="N602" s="4"/>
      <c r="O602" s="2" t="s">
        <v>1257</v>
      </c>
      <c r="P602" s="2" t="s">
        <v>1257</v>
      </c>
      <c r="Q602" s="4">
        <v>0</v>
      </c>
      <c r="R602" s="2" t="s">
        <v>370</v>
      </c>
      <c r="S602" s="2" t="s">
        <v>407</v>
      </c>
      <c r="T602" s="2" t="s">
        <v>97</v>
      </c>
      <c r="U602" s="2" t="s">
        <v>556</v>
      </c>
      <c r="V602" s="2" t="s">
        <v>404</v>
      </c>
      <c r="W602" s="4">
        <v>2</v>
      </c>
      <c r="X602" s="2" t="s">
        <v>2983</v>
      </c>
      <c r="Y602" s="4">
        <v>0</v>
      </c>
      <c r="Z602" s="4" t="s">
        <v>39</v>
      </c>
      <c r="AA602" s="2" t="s">
        <v>60</v>
      </c>
      <c r="AB602" s="2" t="s">
        <v>88</v>
      </c>
      <c r="AC602" s="2" t="s">
        <v>257</v>
      </c>
      <c r="AD602" s="4">
        <v>78</v>
      </c>
      <c r="AE602" s="2" t="s">
        <v>422</v>
      </c>
      <c r="AF602" s="2" t="s">
        <v>329</v>
      </c>
      <c r="AG602" s="2" t="s">
        <v>1814</v>
      </c>
      <c r="AH602" s="2" t="s">
        <v>185</v>
      </c>
      <c r="AI602" s="2" t="s">
        <v>2009</v>
      </c>
      <c r="AJ602" s="4"/>
      <c r="AL602" s="4"/>
      <c r="AN602" s="4"/>
      <c r="AP602" s="4"/>
      <c r="AQ602" s="4"/>
      <c r="AS602" s="4">
        <v>1</v>
      </c>
      <c r="AT602" s="4">
        <v>1</v>
      </c>
      <c r="AU602" s="4">
        <v>3</v>
      </c>
      <c r="AV602" s="4">
        <v>0</v>
      </c>
      <c r="AW602" s="4">
        <v>3</v>
      </c>
      <c r="AX602" s="4">
        <v>0</v>
      </c>
      <c r="AZ602" s="2" t="s">
        <v>60</v>
      </c>
    </row>
    <row r="603" spans="2:52" x14ac:dyDescent="0.15">
      <c r="B603" s="2" t="s">
        <v>2422</v>
      </c>
      <c r="C603" s="2" t="s">
        <v>2419</v>
      </c>
      <c r="D603" s="2" t="s">
        <v>36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36</v>
      </c>
      <c r="H603" s="4" t="str">
        <f>VLOOKUP(G603,corpsSet!$B$5:$C$46,2,0)</f>
        <v>董卓</v>
      </c>
      <c r="I603" s="4" t="s">
        <v>106</v>
      </c>
      <c r="J603" s="4" t="str">
        <f>VLOOKUP(I603,citySet!$B$5:$C$46,2,0)</f>
        <v>安定</v>
      </c>
      <c r="K603" s="2" t="s">
        <v>2416</v>
      </c>
      <c r="L603" s="2" t="s">
        <v>2420</v>
      </c>
      <c r="M603" s="2" t="s">
        <v>2421</v>
      </c>
      <c r="N603" s="4"/>
      <c r="O603" s="2" t="s">
        <v>454</v>
      </c>
      <c r="P603" s="2" t="s">
        <v>454</v>
      </c>
      <c r="Q603" s="4">
        <v>0</v>
      </c>
      <c r="R603" s="2" t="s">
        <v>370</v>
      </c>
      <c r="S603" s="2" t="s">
        <v>435</v>
      </c>
      <c r="T603" s="2" t="s">
        <v>616</v>
      </c>
      <c r="U603" s="2" t="s">
        <v>94</v>
      </c>
      <c r="V603" s="2" t="s">
        <v>27</v>
      </c>
      <c r="W603" s="4">
        <v>1</v>
      </c>
      <c r="X603" s="2" t="s">
        <v>365</v>
      </c>
      <c r="Y603" s="4">
        <v>0</v>
      </c>
      <c r="Z603" s="4" t="s">
        <v>39</v>
      </c>
      <c r="AA603" s="2" t="s">
        <v>185</v>
      </c>
      <c r="AB603" s="2" t="s">
        <v>454</v>
      </c>
      <c r="AC603" s="2" t="s">
        <v>374</v>
      </c>
      <c r="AD603" s="4">
        <v>24</v>
      </c>
      <c r="AE603" s="2" t="s">
        <v>27</v>
      </c>
      <c r="AF603" s="2" t="s">
        <v>103</v>
      </c>
      <c r="AG603" s="2" t="s">
        <v>426</v>
      </c>
      <c r="AH603" s="2" t="s">
        <v>185</v>
      </c>
      <c r="AI603" s="2" t="s">
        <v>455</v>
      </c>
      <c r="AJ603" s="4"/>
      <c r="AL603" s="4"/>
      <c r="AN603" s="4"/>
      <c r="AP603" s="4"/>
      <c r="AQ603" s="4"/>
      <c r="AS603" s="4">
        <v>1</v>
      </c>
      <c r="AT603" s="4">
        <v>0</v>
      </c>
      <c r="AU603" s="4">
        <v>0</v>
      </c>
      <c r="AV603" s="4">
        <v>2</v>
      </c>
      <c r="AW603" s="4">
        <v>1</v>
      </c>
      <c r="AX603" s="4">
        <v>0</v>
      </c>
      <c r="AZ603" s="2" t="s">
        <v>60</v>
      </c>
    </row>
    <row r="604" spans="2:52" x14ac:dyDescent="0.15">
      <c r="B604" s="2" t="s">
        <v>145</v>
      </c>
      <c r="C604" s="2" t="s">
        <v>232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193</v>
      </c>
      <c r="J604" s="4" t="str">
        <f>VLOOKUP(I604,citySet!$B$5:$C$46,2,0)</f>
        <v>吴</v>
      </c>
      <c r="K604" s="2" t="s">
        <v>2424</v>
      </c>
      <c r="L604" s="2" t="s">
        <v>2425</v>
      </c>
      <c r="M604" s="2" t="s">
        <v>2426</v>
      </c>
      <c r="N604" s="4"/>
      <c r="O604" s="2" t="s">
        <v>1264</v>
      </c>
      <c r="P604" s="2" t="s">
        <v>1264</v>
      </c>
      <c r="Q604" s="4">
        <v>0</v>
      </c>
      <c r="R604" s="2" t="s">
        <v>370</v>
      </c>
      <c r="S604" s="2" t="s">
        <v>371</v>
      </c>
      <c r="T604" s="2" t="s">
        <v>94</v>
      </c>
      <c r="U604" s="2" t="s">
        <v>645</v>
      </c>
      <c r="V604" s="2" t="s">
        <v>1012</v>
      </c>
      <c r="W604" s="4">
        <v>2</v>
      </c>
      <c r="X604" s="2" t="s">
        <v>2983</v>
      </c>
      <c r="Y604" s="4">
        <v>0</v>
      </c>
      <c r="Z604" s="4" t="s">
        <v>39</v>
      </c>
      <c r="AA604" s="2" t="s">
        <v>60</v>
      </c>
      <c r="AB604" s="2" t="s">
        <v>257</v>
      </c>
      <c r="AC604" s="2" t="s">
        <v>269</v>
      </c>
      <c r="AD604" s="4">
        <v>78</v>
      </c>
      <c r="AE604" s="2" t="s">
        <v>256</v>
      </c>
      <c r="AF604" s="2" t="s">
        <v>261</v>
      </c>
      <c r="AG604" s="2" t="s">
        <v>271</v>
      </c>
      <c r="AH604" s="2" t="s">
        <v>185</v>
      </c>
      <c r="AI604" s="2" t="s">
        <v>1246</v>
      </c>
      <c r="AJ604" s="4"/>
      <c r="AK604" s="2" t="s">
        <v>2423</v>
      </c>
      <c r="AL604" s="4"/>
      <c r="AN604" s="4"/>
      <c r="AP604" s="4"/>
      <c r="AQ604" s="4"/>
      <c r="AS604" s="4">
        <v>0</v>
      </c>
      <c r="AT604" s="4">
        <v>0</v>
      </c>
      <c r="AU604" s="4">
        <v>1</v>
      </c>
      <c r="AV604" s="4">
        <v>0</v>
      </c>
      <c r="AW604" s="4">
        <v>2</v>
      </c>
      <c r="AX604" s="4">
        <v>2</v>
      </c>
      <c r="AZ604" s="2" t="s">
        <v>60</v>
      </c>
    </row>
    <row r="605" spans="2:52" x14ac:dyDescent="0.15">
      <c r="B605" s="2" t="s">
        <v>1128</v>
      </c>
      <c r="C605" s="2" t="s">
        <v>2427</v>
      </c>
      <c r="D605" s="2" t="s">
        <v>31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31</v>
      </c>
      <c r="H605" s="4" t="str">
        <f>VLOOKUP(G605,corpsSet!$B$5:$C$46,2,0)</f>
        <v>孙坚</v>
      </c>
      <c r="I605" s="4" t="s">
        <v>204</v>
      </c>
      <c r="J605" s="4" t="str">
        <f>VLOOKUP(I605,citySet!$B$5:$C$46,2,0)</f>
        <v>柴桑</v>
      </c>
      <c r="K605" s="2" t="s">
        <v>2424</v>
      </c>
      <c r="L605" s="2" t="s">
        <v>2429</v>
      </c>
      <c r="M605" s="2" t="s">
        <v>2430</v>
      </c>
      <c r="N605" s="4"/>
      <c r="O605" s="2" t="s">
        <v>1007</v>
      </c>
      <c r="P605" s="2" t="s">
        <v>1007</v>
      </c>
      <c r="Q605" s="4">
        <v>0</v>
      </c>
      <c r="R605" s="2" t="s">
        <v>370</v>
      </c>
      <c r="S605" s="2" t="s">
        <v>977</v>
      </c>
      <c r="T605" s="2" t="s">
        <v>395</v>
      </c>
      <c r="U605" s="2" t="s">
        <v>1046</v>
      </c>
      <c r="V605" s="2" t="s">
        <v>1012</v>
      </c>
      <c r="W605" s="4">
        <v>1</v>
      </c>
      <c r="X605" s="2" t="s">
        <v>365</v>
      </c>
      <c r="Y605" s="4">
        <v>0</v>
      </c>
      <c r="Z605" s="4" t="s">
        <v>39</v>
      </c>
      <c r="AA605" s="2" t="s">
        <v>185</v>
      </c>
      <c r="AB605" s="2" t="s">
        <v>148</v>
      </c>
      <c r="AC605" s="2" t="s">
        <v>382</v>
      </c>
      <c r="AD605" s="4">
        <v>87</v>
      </c>
      <c r="AE605" s="2" t="s">
        <v>256</v>
      </c>
      <c r="AF605" s="2" t="s">
        <v>837</v>
      </c>
      <c r="AG605" s="2" t="s">
        <v>1924</v>
      </c>
      <c r="AH605" s="2" t="s">
        <v>185</v>
      </c>
      <c r="AI605" s="2" t="s">
        <v>1246</v>
      </c>
      <c r="AJ605" s="4">
        <v>63</v>
      </c>
      <c r="AK605" s="2" t="s">
        <v>2428</v>
      </c>
      <c r="AL605" s="4" t="s">
        <v>851</v>
      </c>
      <c r="AM605" s="2" t="s">
        <v>1793</v>
      </c>
      <c r="AN605" s="4"/>
      <c r="AP605" s="4"/>
      <c r="AQ605" s="4"/>
      <c r="AS605" s="4">
        <v>2</v>
      </c>
      <c r="AT605" s="4">
        <v>2</v>
      </c>
      <c r="AU605" s="4">
        <v>3</v>
      </c>
      <c r="AV605" s="4">
        <v>0</v>
      </c>
      <c r="AW605" s="4">
        <v>3</v>
      </c>
      <c r="AX605" s="4">
        <v>3</v>
      </c>
      <c r="AZ605" s="2" t="s">
        <v>60</v>
      </c>
    </row>
    <row r="606" spans="2:52" x14ac:dyDescent="0.15">
      <c r="B606" s="2" t="s">
        <v>1246</v>
      </c>
      <c r="C606" s="2" t="s">
        <v>2431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193</v>
      </c>
      <c r="J606" s="4" t="str">
        <f>VLOOKUP(I606,citySet!$B$5:$C$46,2,0)</f>
        <v>吴</v>
      </c>
      <c r="K606" s="2" t="s">
        <v>2424</v>
      </c>
      <c r="L606" s="2" t="s">
        <v>2432</v>
      </c>
      <c r="M606" s="2" t="s">
        <v>2433</v>
      </c>
      <c r="N606" s="4"/>
      <c r="O606" s="2" t="s">
        <v>2043</v>
      </c>
      <c r="P606" s="2" t="s">
        <v>2043</v>
      </c>
      <c r="Q606" s="4">
        <v>0</v>
      </c>
      <c r="R606" s="2" t="s">
        <v>370</v>
      </c>
      <c r="S606" s="2" t="s">
        <v>326</v>
      </c>
      <c r="T606" s="2" t="s">
        <v>544</v>
      </c>
      <c r="U606" s="2" t="s">
        <v>702</v>
      </c>
      <c r="V606" s="2" t="s">
        <v>557</v>
      </c>
      <c r="W606" s="4">
        <v>2</v>
      </c>
      <c r="X606" s="2" t="s">
        <v>2983</v>
      </c>
      <c r="Y606" s="4">
        <v>0</v>
      </c>
      <c r="Z606" s="4" t="s">
        <v>39</v>
      </c>
      <c r="AA606" s="2" t="s">
        <v>60</v>
      </c>
      <c r="AB606" s="2" t="s">
        <v>106</v>
      </c>
      <c r="AC606" s="2" t="s">
        <v>34</v>
      </c>
      <c r="AD606" s="4">
        <v>71</v>
      </c>
      <c r="AE606" s="2" t="s">
        <v>374</v>
      </c>
      <c r="AF606" s="2" t="s">
        <v>100</v>
      </c>
      <c r="AG606" s="2" t="s">
        <v>675</v>
      </c>
      <c r="AH606" s="2" t="s">
        <v>185</v>
      </c>
      <c r="AI606" s="2" t="s">
        <v>1246</v>
      </c>
      <c r="AJ606" s="4"/>
      <c r="AL606" s="4"/>
      <c r="AN606" s="4"/>
      <c r="AP606" s="4"/>
      <c r="AQ606" s="4"/>
      <c r="AS606" s="4">
        <v>0</v>
      </c>
      <c r="AT606" s="4">
        <v>0</v>
      </c>
      <c r="AU606" s="4">
        <v>0</v>
      </c>
      <c r="AV606" s="4">
        <v>0</v>
      </c>
      <c r="AW606" s="4">
        <v>1</v>
      </c>
      <c r="AX606" s="4">
        <v>1</v>
      </c>
      <c r="AZ606" s="2" t="s">
        <v>60</v>
      </c>
    </row>
    <row r="607" spans="2:52" x14ac:dyDescent="0.15">
      <c r="B607" s="2" t="s">
        <v>1269</v>
      </c>
      <c r="C607" s="2" t="s">
        <v>2428</v>
      </c>
      <c r="D607" s="2" t="s">
        <v>31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31</v>
      </c>
      <c r="H607" s="4" t="str">
        <f>VLOOKUP(G607,corpsSet!$B$5:$C$46,2,0)</f>
        <v>孙坚</v>
      </c>
      <c r="I607" s="4" t="s">
        <v>204</v>
      </c>
      <c r="J607" s="4" t="str">
        <f>VLOOKUP(I607,citySet!$B$5:$C$46,2,0)</f>
        <v>柴桑</v>
      </c>
      <c r="K607" s="2" t="s">
        <v>2424</v>
      </c>
      <c r="L607" s="2" t="s">
        <v>2435</v>
      </c>
      <c r="M607" s="2" t="s">
        <v>2436</v>
      </c>
      <c r="N607" s="4"/>
      <c r="O607" s="2" t="s">
        <v>159</v>
      </c>
      <c r="P607" s="2" t="s">
        <v>159</v>
      </c>
      <c r="Q607" s="4">
        <v>0</v>
      </c>
      <c r="R607" s="2" t="s">
        <v>370</v>
      </c>
      <c r="S607" s="2" t="s">
        <v>536</v>
      </c>
      <c r="T607" s="2" t="s">
        <v>426</v>
      </c>
      <c r="U607" s="2" t="s">
        <v>453</v>
      </c>
      <c r="V607" s="2" t="s">
        <v>1012</v>
      </c>
      <c r="W607" s="4">
        <v>1</v>
      </c>
      <c r="X607" s="2" t="s">
        <v>365</v>
      </c>
      <c r="Y607" s="4">
        <v>0</v>
      </c>
      <c r="Z607" s="4" t="s">
        <v>39</v>
      </c>
      <c r="AA607" s="2" t="s">
        <v>185</v>
      </c>
      <c r="AB607" s="2" t="s">
        <v>195</v>
      </c>
      <c r="AC607" s="2" t="s">
        <v>454</v>
      </c>
      <c r="AD607" s="4">
        <v>95</v>
      </c>
      <c r="AE607" s="2" t="s">
        <v>837</v>
      </c>
      <c r="AF607" s="2" t="s">
        <v>176</v>
      </c>
      <c r="AG607" s="2" t="s">
        <v>1350</v>
      </c>
      <c r="AH607" s="2" t="s">
        <v>185</v>
      </c>
      <c r="AI607" s="2" t="s">
        <v>1246</v>
      </c>
      <c r="AJ607" s="4"/>
      <c r="AK607" s="2" t="s">
        <v>2434</v>
      </c>
      <c r="AL607" s="4"/>
      <c r="AN607" s="4" t="s">
        <v>851</v>
      </c>
      <c r="AO607" s="2" t="s">
        <v>1793</v>
      </c>
      <c r="AP607" s="4"/>
      <c r="AQ607" s="4"/>
      <c r="AS607" s="4">
        <v>2</v>
      </c>
      <c r="AT607" s="4">
        <v>3</v>
      </c>
      <c r="AU607" s="4">
        <v>3</v>
      </c>
      <c r="AV607" s="4">
        <v>0</v>
      </c>
      <c r="AW607" s="4">
        <v>2</v>
      </c>
      <c r="AX607" s="4">
        <v>3</v>
      </c>
      <c r="AZ607" s="2" t="s">
        <v>60</v>
      </c>
    </row>
    <row r="608" spans="2:52" x14ac:dyDescent="0.15">
      <c r="B608" s="2" t="s">
        <v>2439</v>
      </c>
      <c r="C608" s="2" t="s">
        <v>2437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103</v>
      </c>
      <c r="J608" s="4" t="str">
        <f>VLOOKUP(I608,citySet!$B$5:$C$46,2,0)</f>
        <v>宛</v>
      </c>
      <c r="K608" s="2" t="s">
        <v>2416</v>
      </c>
      <c r="L608" s="2" t="s">
        <v>1126</v>
      </c>
      <c r="M608" s="2" t="s">
        <v>2438</v>
      </c>
      <c r="N608" s="4"/>
      <c r="O608" s="2" t="s">
        <v>137</v>
      </c>
      <c r="P608" s="2" t="s">
        <v>137</v>
      </c>
      <c r="Q608" s="4">
        <v>0</v>
      </c>
      <c r="R608" s="2" t="s">
        <v>370</v>
      </c>
      <c r="S608" s="2" t="s">
        <v>564</v>
      </c>
      <c r="T608" s="2" t="s">
        <v>712</v>
      </c>
      <c r="U608" s="2" t="s">
        <v>609</v>
      </c>
      <c r="V608" s="2" t="s">
        <v>515</v>
      </c>
      <c r="W608" s="4">
        <v>2</v>
      </c>
      <c r="X608" s="2" t="s">
        <v>2983</v>
      </c>
      <c r="Y608" s="4">
        <v>0</v>
      </c>
      <c r="Z608" s="4" t="s">
        <v>39</v>
      </c>
      <c r="AA608" s="2" t="s">
        <v>60</v>
      </c>
      <c r="AB608" s="2" t="s">
        <v>397</v>
      </c>
      <c r="AC608" s="2" t="s">
        <v>391</v>
      </c>
      <c r="AD608" s="4">
        <v>75</v>
      </c>
      <c r="AE608" s="2" t="s">
        <v>367</v>
      </c>
      <c r="AF608" s="2" t="s">
        <v>14</v>
      </c>
      <c r="AG608" s="2" t="s">
        <v>1698</v>
      </c>
      <c r="AH608" s="2" t="s">
        <v>185</v>
      </c>
      <c r="AI608" s="2" t="s">
        <v>1269</v>
      </c>
      <c r="AJ608" s="4"/>
      <c r="AL608" s="4"/>
      <c r="AN608" s="4"/>
      <c r="AP608" s="4"/>
      <c r="AQ608" s="4"/>
      <c r="AS608" s="4">
        <v>1</v>
      </c>
      <c r="AT608" s="4">
        <v>2</v>
      </c>
      <c r="AU608" s="4">
        <v>3</v>
      </c>
      <c r="AV608" s="4">
        <v>0</v>
      </c>
      <c r="AW608" s="4">
        <v>1</v>
      </c>
      <c r="AX608" s="4">
        <v>0</v>
      </c>
      <c r="AZ608" s="2" t="s">
        <v>60</v>
      </c>
    </row>
    <row r="609" spans="2:52" x14ac:dyDescent="0.15">
      <c r="B609" s="2" t="s">
        <v>1346</v>
      </c>
      <c r="C609" s="2" t="s">
        <v>2440</v>
      </c>
      <c r="D609" s="2" t="s">
        <v>36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36</v>
      </c>
      <c r="H609" s="4" t="str">
        <f>VLOOKUP(G609,corpsSet!$B$5:$C$46,2,0)</f>
        <v>董卓</v>
      </c>
      <c r="I609" s="4" t="s">
        <v>106</v>
      </c>
      <c r="J609" s="4" t="str">
        <f>VLOOKUP(I609,citySet!$B$5:$C$46,2,0)</f>
        <v>安定</v>
      </c>
      <c r="K609" s="2" t="s">
        <v>2416</v>
      </c>
      <c r="L609" s="2" t="s">
        <v>2441</v>
      </c>
      <c r="N609" s="4"/>
      <c r="O609" s="2" t="s">
        <v>141</v>
      </c>
      <c r="P609" s="2" t="s">
        <v>141</v>
      </c>
      <c r="Q609" s="4">
        <v>0</v>
      </c>
      <c r="R609" s="2" t="s">
        <v>370</v>
      </c>
      <c r="S609" s="2" t="s">
        <v>435</v>
      </c>
      <c r="T609" s="2" t="s">
        <v>466</v>
      </c>
      <c r="U609" s="2" t="s">
        <v>585</v>
      </c>
      <c r="V609" s="2" t="s">
        <v>27</v>
      </c>
      <c r="W609" s="4">
        <v>1</v>
      </c>
      <c r="X609" s="2" t="s">
        <v>365</v>
      </c>
      <c r="Y609" s="4">
        <v>8</v>
      </c>
      <c r="Z609" s="4" t="s">
        <v>3079</v>
      </c>
      <c r="AA609" s="2" t="s">
        <v>134</v>
      </c>
      <c r="AB609" s="2" t="s">
        <v>269</v>
      </c>
      <c r="AC609" s="2" t="s">
        <v>200</v>
      </c>
      <c r="AD609" s="4">
        <v>93</v>
      </c>
      <c r="AE609" s="2" t="s">
        <v>481</v>
      </c>
      <c r="AF609" s="2" t="s">
        <v>207</v>
      </c>
      <c r="AG609" s="2" t="s">
        <v>330</v>
      </c>
      <c r="AH609" s="2" t="s">
        <v>185</v>
      </c>
      <c r="AI609" s="2" t="s">
        <v>2439</v>
      </c>
      <c r="AJ609" s="4"/>
      <c r="AL609" s="4"/>
      <c r="AN609" s="4"/>
      <c r="AP609" s="4"/>
      <c r="AQ609" s="4"/>
      <c r="AS609" s="4">
        <v>0</v>
      </c>
      <c r="AT609" s="4">
        <v>0</v>
      </c>
      <c r="AU609" s="4">
        <v>0</v>
      </c>
      <c r="AV609" s="4">
        <v>1</v>
      </c>
      <c r="AW609" s="4">
        <v>1</v>
      </c>
      <c r="AX609" s="4">
        <v>0</v>
      </c>
      <c r="AZ609" s="2" t="s">
        <v>60</v>
      </c>
    </row>
    <row r="610" spans="2:52" x14ac:dyDescent="0.15">
      <c r="B610" s="2" t="s">
        <v>1363</v>
      </c>
      <c r="C610" s="2" t="s">
        <v>2442</v>
      </c>
      <c r="D610" s="2" t="s">
        <v>36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36</v>
      </c>
      <c r="H610" s="4" t="str">
        <f>VLOOKUP(G610,corpsSet!$B$5:$C$46,2,0)</f>
        <v>董卓</v>
      </c>
      <c r="I610" s="4" t="s">
        <v>106</v>
      </c>
      <c r="J610" s="4" t="str">
        <f>VLOOKUP(I610,citySet!$B$5:$C$46,2,0)</f>
        <v>安定</v>
      </c>
      <c r="K610" s="2" t="s">
        <v>2416</v>
      </c>
      <c r="L610" s="2" t="s">
        <v>652</v>
      </c>
      <c r="N610" s="4"/>
      <c r="O610" s="2" t="s">
        <v>604</v>
      </c>
      <c r="P610" s="2" t="s">
        <v>604</v>
      </c>
      <c r="Q610" s="4">
        <v>0</v>
      </c>
      <c r="R610" s="2" t="s">
        <v>370</v>
      </c>
      <c r="S610" s="2" t="s">
        <v>435</v>
      </c>
      <c r="T610" s="2" t="s">
        <v>824</v>
      </c>
      <c r="U610" s="2" t="s">
        <v>585</v>
      </c>
      <c r="V610" s="2" t="s">
        <v>550</v>
      </c>
      <c r="W610" s="4">
        <v>1</v>
      </c>
      <c r="X610" s="2" t="s">
        <v>365</v>
      </c>
      <c r="Y610" s="4">
        <v>0</v>
      </c>
      <c r="Z610" s="4" t="s">
        <v>39</v>
      </c>
      <c r="AA610" s="2" t="s">
        <v>403</v>
      </c>
      <c r="AB610" s="2" t="s">
        <v>102</v>
      </c>
      <c r="AC610" s="2" t="s">
        <v>454</v>
      </c>
      <c r="AD610" s="4">
        <v>59</v>
      </c>
      <c r="AE610" s="2" t="s">
        <v>8</v>
      </c>
      <c r="AF610" s="2" t="s">
        <v>15</v>
      </c>
      <c r="AG610" s="2" t="s">
        <v>373</v>
      </c>
      <c r="AH610" s="2" t="s">
        <v>185</v>
      </c>
      <c r="AI610" s="2" t="s">
        <v>1346</v>
      </c>
      <c r="AJ610" s="4"/>
      <c r="AL610" s="4"/>
      <c r="AN610" s="4"/>
      <c r="AP610" s="4"/>
      <c r="AQ610" s="4"/>
      <c r="AS610" s="4">
        <v>0</v>
      </c>
      <c r="AT610" s="4">
        <v>0</v>
      </c>
      <c r="AU610" s="4">
        <v>0</v>
      </c>
      <c r="AV610" s="4">
        <v>1</v>
      </c>
      <c r="AW610" s="4">
        <v>0</v>
      </c>
      <c r="AX610" s="4">
        <v>0</v>
      </c>
      <c r="AZ610" s="2" t="s">
        <v>60</v>
      </c>
    </row>
    <row r="611" spans="2:52" x14ac:dyDescent="0.15">
      <c r="B611" s="2" t="s">
        <v>273</v>
      </c>
      <c r="C611" s="2" t="s">
        <v>3116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103</v>
      </c>
      <c r="J611" s="4" t="str">
        <f>VLOOKUP(I611,citySet!$B$5:$C$46,2,0)</f>
        <v>宛</v>
      </c>
      <c r="K611" s="2" t="s">
        <v>2416</v>
      </c>
      <c r="L611" s="2" t="s">
        <v>2444</v>
      </c>
      <c r="M611" s="2" t="s">
        <v>2445</v>
      </c>
      <c r="N611" s="4"/>
      <c r="O611" s="2" t="s">
        <v>2443</v>
      </c>
      <c r="P611" s="2" t="s">
        <v>2443</v>
      </c>
      <c r="Q611" s="4">
        <v>0</v>
      </c>
      <c r="R611" s="2" t="s">
        <v>370</v>
      </c>
      <c r="S611" s="2" t="s">
        <v>456</v>
      </c>
      <c r="T611" s="2" t="s">
        <v>772</v>
      </c>
      <c r="U611" s="2" t="s">
        <v>732</v>
      </c>
      <c r="V611" s="2" t="s">
        <v>105</v>
      </c>
      <c r="W611" s="4">
        <v>2</v>
      </c>
      <c r="X611" s="2" t="s">
        <v>2983</v>
      </c>
      <c r="Y611" s="4">
        <v>0</v>
      </c>
      <c r="Z611" s="4" t="s">
        <v>39</v>
      </c>
      <c r="AA611" s="2" t="s">
        <v>60</v>
      </c>
      <c r="AB611" s="2" t="s">
        <v>20</v>
      </c>
      <c r="AC611" s="2" t="s">
        <v>10</v>
      </c>
      <c r="AD611" s="4">
        <v>29</v>
      </c>
      <c r="AE611" s="2" t="s">
        <v>454</v>
      </c>
      <c r="AF611" s="2" t="s">
        <v>7</v>
      </c>
      <c r="AG611" s="2" t="s">
        <v>426</v>
      </c>
      <c r="AH611" s="2" t="s">
        <v>185</v>
      </c>
      <c r="AI611" s="2" t="s">
        <v>1363</v>
      </c>
      <c r="AJ611" s="4"/>
      <c r="AL611" s="4"/>
      <c r="AN611" s="4"/>
      <c r="AP611" s="4"/>
      <c r="AQ611" s="4"/>
      <c r="AS611" s="4">
        <v>0</v>
      </c>
      <c r="AT611" s="4">
        <v>0</v>
      </c>
      <c r="AU611" s="4">
        <v>0</v>
      </c>
      <c r="AV611" s="4">
        <v>0</v>
      </c>
      <c r="AW611" s="4">
        <v>1</v>
      </c>
      <c r="AX611" s="4">
        <v>0</v>
      </c>
      <c r="AZ611" s="2" t="s">
        <v>60</v>
      </c>
    </row>
    <row r="612" spans="2:52" x14ac:dyDescent="0.15">
      <c r="B612" s="2" t="s">
        <v>398</v>
      </c>
      <c r="C612" s="2" t="s">
        <v>2446</v>
      </c>
      <c r="D612" s="2" t="s">
        <v>107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107</v>
      </c>
      <c r="H612" s="4" t="str">
        <f>VLOOKUP(G612,corpsSet!$B$5:$C$46,2,0)</f>
        <v>韩遂</v>
      </c>
      <c r="I612" s="4" t="s">
        <v>107</v>
      </c>
      <c r="J612" s="4" t="str">
        <f>VLOOKUP(I612,citySet!$B$5:$C$46,2,0)</f>
        <v>天水</v>
      </c>
      <c r="K612" s="2" t="s">
        <v>2416</v>
      </c>
      <c r="L612" s="2" t="s">
        <v>2447</v>
      </c>
      <c r="N612" s="4"/>
      <c r="O612" s="2" t="s">
        <v>559</v>
      </c>
      <c r="P612" s="2" t="s">
        <v>559</v>
      </c>
      <c r="Q612" s="4">
        <v>0</v>
      </c>
      <c r="R612" s="2" t="s">
        <v>370</v>
      </c>
      <c r="S612" s="2" t="s">
        <v>83</v>
      </c>
      <c r="T612" s="2" t="s">
        <v>504</v>
      </c>
      <c r="U612" s="2" t="s">
        <v>417</v>
      </c>
      <c r="V612" s="2" t="s">
        <v>414</v>
      </c>
      <c r="W612" s="4">
        <v>1</v>
      </c>
      <c r="X612" s="2" t="s">
        <v>365</v>
      </c>
      <c r="Y612" s="4">
        <v>0</v>
      </c>
      <c r="Z612" s="4" t="s">
        <v>39</v>
      </c>
      <c r="AA612" s="2" t="s">
        <v>403</v>
      </c>
      <c r="AB612" s="2" t="s">
        <v>485</v>
      </c>
      <c r="AC612" s="2" t="s">
        <v>454</v>
      </c>
      <c r="AD612" s="4">
        <v>33</v>
      </c>
      <c r="AE612" s="2" t="s">
        <v>226</v>
      </c>
      <c r="AF612" s="2" t="s">
        <v>101</v>
      </c>
      <c r="AG612" s="2" t="s">
        <v>368</v>
      </c>
      <c r="AH612" s="2" t="s">
        <v>185</v>
      </c>
      <c r="AI612" s="2" t="s">
        <v>273</v>
      </c>
      <c r="AJ612" s="4"/>
      <c r="AL612" s="4"/>
      <c r="AN612" s="4"/>
      <c r="AP612" s="4"/>
      <c r="AQ612" s="4"/>
      <c r="AS612" s="4">
        <v>0</v>
      </c>
      <c r="AT612" s="4">
        <v>1</v>
      </c>
      <c r="AU612" s="4">
        <v>0</v>
      </c>
      <c r="AV612" s="4">
        <v>2</v>
      </c>
      <c r="AW612" s="4">
        <v>0</v>
      </c>
      <c r="AX612" s="4">
        <v>0</v>
      </c>
      <c r="AZ612" s="2" t="s">
        <v>60</v>
      </c>
    </row>
    <row r="613" spans="2:52" x14ac:dyDescent="0.15">
      <c r="B613" s="2" t="s">
        <v>459</v>
      </c>
      <c r="C613" s="2" t="s">
        <v>2448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8</v>
      </c>
      <c r="J613" s="4" t="str">
        <f>VLOOKUP(I613,citySet!$B$5:$C$46,2,0)</f>
        <v>汝南</v>
      </c>
      <c r="K613" s="2" t="s">
        <v>2416</v>
      </c>
      <c r="L613" s="2" t="s">
        <v>2450</v>
      </c>
      <c r="M613" s="2" t="s">
        <v>2451</v>
      </c>
      <c r="N613" s="4"/>
      <c r="O613" s="2" t="s">
        <v>2449</v>
      </c>
      <c r="P613" s="2" t="s">
        <v>2449</v>
      </c>
      <c r="Q613" s="4">
        <v>0</v>
      </c>
      <c r="R613" s="2" t="s">
        <v>370</v>
      </c>
      <c r="S613" s="2" t="s">
        <v>544</v>
      </c>
      <c r="T613" s="2" t="s">
        <v>518</v>
      </c>
      <c r="U613" s="2" t="s">
        <v>417</v>
      </c>
      <c r="V613" s="2" t="s">
        <v>10</v>
      </c>
      <c r="W613" s="4">
        <v>2</v>
      </c>
      <c r="X613" s="2" t="s">
        <v>2983</v>
      </c>
      <c r="Y613" s="4">
        <v>0</v>
      </c>
      <c r="Z613" s="4" t="s">
        <v>39</v>
      </c>
      <c r="AA613" s="2" t="s">
        <v>60</v>
      </c>
      <c r="AB613" s="2" t="s">
        <v>261</v>
      </c>
      <c r="AC613" s="2" t="s">
        <v>235</v>
      </c>
      <c r="AD613" s="4">
        <v>57</v>
      </c>
      <c r="AE613" s="2" t="s">
        <v>382</v>
      </c>
      <c r="AF613" s="2" t="s">
        <v>261</v>
      </c>
      <c r="AG613" s="2" t="s">
        <v>615</v>
      </c>
      <c r="AH613" s="2" t="s">
        <v>185</v>
      </c>
      <c r="AI613" s="2" t="s">
        <v>398</v>
      </c>
      <c r="AJ613" s="4"/>
      <c r="AL613" s="4"/>
      <c r="AN613" s="4"/>
      <c r="AP613" s="4"/>
      <c r="AQ613" s="4"/>
      <c r="AS613" s="4">
        <v>2</v>
      </c>
      <c r="AT613" s="4">
        <v>0</v>
      </c>
      <c r="AU613" s="4">
        <v>0</v>
      </c>
      <c r="AV613" s="4">
        <v>2</v>
      </c>
      <c r="AW613" s="4">
        <v>1</v>
      </c>
      <c r="AX613" s="4">
        <v>1</v>
      </c>
      <c r="AZ613" s="2" t="s">
        <v>60</v>
      </c>
    </row>
    <row r="614" spans="2:52" x14ac:dyDescent="0.15">
      <c r="B614" s="2" t="s">
        <v>2452</v>
      </c>
      <c r="C614" s="2" t="s">
        <v>574</v>
      </c>
      <c r="D614" s="2" t="s">
        <v>27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27</v>
      </c>
      <c r="H614" s="4" t="str">
        <f>VLOOKUP(G614,corpsSet!$B$5:$C$46,2,0)</f>
        <v>曹操</v>
      </c>
      <c r="I614" s="4" t="s">
        <v>17</v>
      </c>
      <c r="J614" s="4" t="str">
        <f>VLOOKUP(I614,citySet!$B$5:$C$46,2,0)</f>
        <v>许昌</v>
      </c>
      <c r="K614" s="2" t="s">
        <v>2416</v>
      </c>
      <c r="L614" s="2" t="s">
        <v>2094</v>
      </c>
      <c r="M614" s="2" t="s">
        <v>1986</v>
      </c>
      <c r="N614" s="4"/>
      <c r="O614" s="2" t="s">
        <v>779</v>
      </c>
      <c r="P614" s="2" t="s">
        <v>779</v>
      </c>
      <c r="Q614" s="4">
        <v>0</v>
      </c>
      <c r="R614" s="2" t="s">
        <v>370</v>
      </c>
      <c r="S614" s="2" t="s">
        <v>393</v>
      </c>
      <c r="T614" s="2" t="s">
        <v>1001</v>
      </c>
      <c r="U614" s="2" t="s">
        <v>340</v>
      </c>
      <c r="V614" s="2" t="s">
        <v>10</v>
      </c>
      <c r="W614" s="4">
        <v>1</v>
      </c>
      <c r="X614" s="2" t="s">
        <v>365</v>
      </c>
      <c r="Y614" s="4">
        <v>0</v>
      </c>
      <c r="Z614" s="4" t="s">
        <v>39</v>
      </c>
      <c r="AA614" s="2" t="s">
        <v>185</v>
      </c>
      <c r="AB614" s="2" t="s">
        <v>431</v>
      </c>
      <c r="AC614" s="2" t="s">
        <v>422</v>
      </c>
      <c r="AD614" s="4">
        <v>79</v>
      </c>
      <c r="AE614" s="2" t="s">
        <v>367</v>
      </c>
      <c r="AF614" s="2" t="s">
        <v>257</v>
      </c>
      <c r="AG614" s="2" t="s">
        <v>767</v>
      </c>
      <c r="AH614" s="2" t="s">
        <v>185</v>
      </c>
      <c r="AI614" s="2" t="s">
        <v>459</v>
      </c>
      <c r="AJ614" s="4"/>
      <c r="AL614" s="4"/>
      <c r="AN614" s="4"/>
      <c r="AP614" s="4"/>
      <c r="AQ614" s="4"/>
      <c r="AS614" s="4">
        <v>2</v>
      </c>
      <c r="AT614" s="4">
        <v>2</v>
      </c>
      <c r="AU614" s="4">
        <v>2</v>
      </c>
      <c r="AV614" s="4">
        <v>1</v>
      </c>
      <c r="AW614" s="4">
        <v>3</v>
      </c>
      <c r="AX614" s="4">
        <v>0</v>
      </c>
      <c r="AZ614" s="2" t="s">
        <v>60</v>
      </c>
    </row>
    <row r="615" spans="2:52" x14ac:dyDescent="0.15">
      <c r="B615" s="2" t="s">
        <v>2091</v>
      </c>
      <c r="C615" s="2" t="s">
        <v>2453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37</v>
      </c>
      <c r="J615" s="4" t="str">
        <f>VLOOKUP(I615,citySet!$B$5:$C$46,2,0)</f>
        <v>南皮</v>
      </c>
      <c r="K615" s="2" t="s">
        <v>2416</v>
      </c>
      <c r="L615" s="2" t="s">
        <v>1367</v>
      </c>
      <c r="M615" s="2" t="s">
        <v>2455</v>
      </c>
      <c r="N615" s="4"/>
      <c r="O615" s="2" t="s">
        <v>2454</v>
      </c>
      <c r="P615" s="2" t="s">
        <v>2454</v>
      </c>
      <c r="Q615" s="4">
        <v>0</v>
      </c>
      <c r="R615" s="2" t="s">
        <v>370</v>
      </c>
      <c r="S615" s="2" t="s">
        <v>435</v>
      </c>
      <c r="T615" s="2" t="s">
        <v>394</v>
      </c>
      <c r="U615" s="2" t="s">
        <v>685</v>
      </c>
      <c r="V615" s="2" t="s">
        <v>384</v>
      </c>
      <c r="W615" s="4">
        <v>2</v>
      </c>
      <c r="X615" s="2" t="s">
        <v>2983</v>
      </c>
      <c r="Y615" s="4">
        <v>0</v>
      </c>
      <c r="Z615" s="4" t="s">
        <v>39</v>
      </c>
      <c r="AA615" s="2" t="s">
        <v>60</v>
      </c>
      <c r="AB615" s="2" t="s">
        <v>213</v>
      </c>
      <c r="AC615" s="2" t="s">
        <v>15</v>
      </c>
      <c r="AD615" s="4">
        <v>74</v>
      </c>
      <c r="AE615" s="2" t="s">
        <v>261</v>
      </c>
      <c r="AF615" s="2" t="s">
        <v>454</v>
      </c>
      <c r="AG615" s="2" t="s">
        <v>941</v>
      </c>
      <c r="AH615" s="2" t="s">
        <v>185</v>
      </c>
      <c r="AI615" s="2" t="s">
        <v>2452</v>
      </c>
      <c r="AJ615" s="4"/>
      <c r="AL615" s="4"/>
      <c r="AN615" s="4"/>
      <c r="AP615" s="4"/>
      <c r="AQ615" s="4"/>
      <c r="AS615" s="4">
        <v>0</v>
      </c>
      <c r="AT615" s="4">
        <v>0</v>
      </c>
      <c r="AU615" s="4">
        <v>1</v>
      </c>
      <c r="AV615" s="4">
        <v>0</v>
      </c>
      <c r="AW615" s="4">
        <v>1</v>
      </c>
      <c r="AX615" s="4">
        <v>0</v>
      </c>
      <c r="AZ615" s="2" t="s">
        <v>60</v>
      </c>
    </row>
    <row r="616" spans="2:52" x14ac:dyDescent="0.15">
      <c r="B616" s="2" t="s">
        <v>1380</v>
      </c>
      <c r="C616" s="2" t="s">
        <v>3117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103</v>
      </c>
      <c r="J616" s="4" t="str">
        <f>VLOOKUP(I616,citySet!$B$5:$C$46,2,0)</f>
        <v>宛</v>
      </c>
      <c r="K616" s="2" t="s">
        <v>2416</v>
      </c>
      <c r="L616" s="2" t="s">
        <v>2102</v>
      </c>
      <c r="N616" s="4"/>
      <c r="O616" s="2" t="s">
        <v>1446</v>
      </c>
      <c r="P616" s="2" t="s">
        <v>1446</v>
      </c>
      <c r="Q616" s="4">
        <v>0</v>
      </c>
      <c r="R616" s="2" t="s">
        <v>370</v>
      </c>
      <c r="S616" s="2" t="s">
        <v>456</v>
      </c>
      <c r="T616" s="2" t="s">
        <v>326</v>
      </c>
      <c r="U616" s="2" t="s">
        <v>408</v>
      </c>
      <c r="V616" s="2" t="s">
        <v>515</v>
      </c>
      <c r="W616" s="4">
        <v>2</v>
      </c>
      <c r="X616" s="2" t="s">
        <v>2983</v>
      </c>
      <c r="Y616" s="4">
        <v>0</v>
      </c>
      <c r="Z616" s="4" t="s">
        <v>39</v>
      </c>
      <c r="AA616" s="2" t="s">
        <v>60</v>
      </c>
      <c r="AB616" s="2" t="s">
        <v>254</v>
      </c>
      <c r="AC616" s="2" t="s">
        <v>414</v>
      </c>
      <c r="AD616" s="4">
        <v>67</v>
      </c>
      <c r="AE616" s="2" t="s">
        <v>374</v>
      </c>
      <c r="AF616" s="2" t="s">
        <v>445</v>
      </c>
      <c r="AG616" s="2" t="s">
        <v>503</v>
      </c>
      <c r="AH616" s="2" t="s">
        <v>185</v>
      </c>
      <c r="AI616" s="2" t="s">
        <v>1269</v>
      </c>
      <c r="AJ616" s="4">
        <v>64</v>
      </c>
      <c r="AK616" s="2" t="s">
        <v>2437</v>
      </c>
      <c r="AL616" s="4"/>
      <c r="AN616" s="4"/>
      <c r="AP616" s="4"/>
      <c r="AQ616" s="4"/>
      <c r="AS616" s="4">
        <v>0</v>
      </c>
      <c r="AT616" s="4">
        <v>1</v>
      </c>
      <c r="AU616" s="4">
        <v>2</v>
      </c>
      <c r="AV616" s="4">
        <v>0</v>
      </c>
      <c r="AW616" s="4">
        <v>1</v>
      </c>
      <c r="AX616" s="4">
        <v>0</v>
      </c>
      <c r="AZ616" s="2" t="s">
        <v>60</v>
      </c>
    </row>
    <row r="617" spans="2:52" x14ac:dyDescent="0.15">
      <c r="B617" s="2" t="s">
        <v>791</v>
      </c>
      <c r="C617" s="2" t="s">
        <v>3117</v>
      </c>
      <c r="D617" s="2" t="s">
        <v>226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226</v>
      </c>
      <c r="H617" s="4" t="str">
        <f>VLOOKUP(G617,corpsSet!$B$5:$C$46,2,0)</f>
        <v>毌丘俭</v>
      </c>
      <c r="I617" s="4" t="s">
        <v>24</v>
      </c>
      <c r="J617" s="4" t="str">
        <f>VLOOKUP(I617,citySet!$B$5:$C$46,2,0)</f>
        <v>寿春</v>
      </c>
      <c r="K617" s="2" t="s">
        <v>2416</v>
      </c>
      <c r="L617" s="2" t="s">
        <v>2102</v>
      </c>
      <c r="M617" s="2" t="s">
        <v>963</v>
      </c>
      <c r="N617" s="4"/>
      <c r="O617" s="2" t="s">
        <v>2456</v>
      </c>
      <c r="P617" s="2" t="s">
        <v>2456</v>
      </c>
      <c r="Q617" s="4">
        <v>0</v>
      </c>
      <c r="R617" s="2" t="s">
        <v>370</v>
      </c>
      <c r="S617" s="2" t="s">
        <v>489</v>
      </c>
      <c r="T617" s="2" t="s">
        <v>380</v>
      </c>
      <c r="U617" s="2" t="s">
        <v>621</v>
      </c>
      <c r="V617" s="2" t="s">
        <v>106</v>
      </c>
      <c r="W617" s="4">
        <v>1</v>
      </c>
      <c r="X617" s="2" t="s">
        <v>365</v>
      </c>
      <c r="Y617" s="4">
        <v>6</v>
      </c>
      <c r="Z617" s="4" t="s">
        <v>614</v>
      </c>
      <c r="AA617" s="2" t="s">
        <v>403</v>
      </c>
      <c r="AB617" s="2" t="s">
        <v>196</v>
      </c>
      <c r="AC617" s="2" t="s">
        <v>220</v>
      </c>
      <c r="AD617" s="4">
        <v>67</v>
      </c>
      <c r="AE617" s="2" t="s">
        <v>515</v>
      </c>
      <c r="AF617" s="2" t="s">
        <v>93</v>
      </c>
      <c r="AG617" s="2" t="s">
        <v>447</v>
      </c>
      <c r="AH617" s="2" t="s">
        <v>185</v>
      </c>
      <c r="AI617" s="2" t="s">
        <v>1380</v>
      </c>
      <c r="AJ617" s="4"/>
      <c r="AL617" s="4"/>
      <c r="AN617" s="4"/>
      <c r="AP617" s="4"/>
      <c r="AQ617" s="4"/>
      <c r="AS617" s="4">
        <v>0</v>
      </c>
      <c r="AT617" s="4">
        <v>0</v>
      </c>
      <c r="AU617" s="4">
        <v>0</v>
      </c>
      <c r="AV617" s="4">
        <v>0</v>
      </c>
      <c r="AW617" s="4">
        <v>1</v>
      </c>
      <c r="AX617" s="4">
        <v>0</v>
      </c>
      <c r="AZ617" s="2" t="s">
        <v>60</v>
      </c>
    </row>
    <row r="618" spans="2:52" x14ac:dyDescent="0.15">
      <c r="B618" s="2" t="s">
        <v>2367</v>
      </c>
      <c r="C618" s="2" t="s">
        <v>3117</v>
      </c>
      <c r="D618" s="2" t="s">
        <v>29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29</v>
      </c>
      <c r="H618" s="4" t="str">
        <f>VLOOKUP(G618,corpsSet!$B$5:$C$46,2,0)</f>
        <v>袁术</v>
      </c>
      <c r="I618" s="4" t="s">
        <v>200</v>
      </c>
      <c r="J618" s="4" t="str">
        <f>VLOOKUP(I618,citySet!$B$5:$C$46,2,0)</f>
        <v>庐江</v>
      </c>
      <c r="K618" s="2" t="s">
        <v>2416</v>
      </c>
      <c r="L618" s="2" t="s">
        <v>2102</v>
      </c>
      <c r="N618" s="4"/>
      <c r="O618" s="2" t="s">
        <v>2457</v>
      </c>
      <c r="P618" s="2" t="s">
        <v>2457</v>
      </c>
      <c r="Q618" s="4">
        <v>0</v>
      </c>
      <c r="R618" s="2" t="s">
        <v>370</v>
      </c>
      <c r="S618" s="2" t="s">
        <v>435</v>
      </c>
      <c r="T618" s="2" t="s">
        <v>545</v>
      </c>
      <c r="U618" s="2" t="s">
        <v>479</v>
      </c>
      <c r="V618" s="2" t="s">
        <v>740</v>
      </c>
      <c r="W618" s="4">
        <v>1</v>
      </c>
      <c r="X618" s="2" t="s">
        <v>365</v>
      </c>
      <c r="Y618" s="4">
        <v>0</v>
      </c>
      <c r="Z618" s="4" t="s">
        <v>39</v>
      </c>
      <c r="AA618" s="2" t="s">
        <v>403</v>
      </c>
      <c r="AB618" s="2" t="s">
        <v>454</v>
      </c>
      <c r="AC618" s="2" t="s">
        <v>367</v>
      </c>
      <c r="AD618" s="4">
        <v>50</v>
      </c>
      <c r="AE618" s="2" t="s">
        <v>10</v>
      </c>
      <c r="AF618" s="2" t="s">
        <v>191</v>
      </c>
      <c r="AG618" s="2" t="s">
        <v>877</v>
      </c>
      <c r="AH618" s="2" t="s">
        <v>185</v>
      </c>
      <c r="AI618" s="2" t="s">
        <v>791</v>
      </c>
      <c r="AJ618" s="4"/>
      <c r="AL618" s="4"/>
      <c r="AN618" s="4"/>
      <c r="AP618" s="4"/>
      <c r="AQ618" s="4"/>
      <c r="AS618" s="4">
        <v>0</v>
      </c>
      <c r="AT618" s="4">
        <v>1</v>
      </c>
      <c r="AU618" s="4">
        <v>0</v>
      </c>
      <c r="AV618" s="4">
        <v>1</v>
      </c>
      <c r="AW618" s="4">
        <v>1</v>
      </c>
      <c r="AX618" s="4">
        <v>0</v>
      </c>
      <c r="AZ618" s="2" t="s">
        <v>60</v>
      </c>
    </row>
    <row r="619" spans="2:52" x14ac:dyDescent="0.15">
      <c r="B619" s="2" t="s">
        <v>2462</v>
      </c>
      <c r="C619" s="2" t="s">
        <v>2458</v>
      </c>
      <c r="D619" s="2" t="s">
        <v>33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33</v>
      </c>
      <c r="H619" s="4" t="str">
        <f>VLOOKUP(G619,corpsSet!$B$5:$C$46,2,0)</f>
        <v>刘焉</v>
      </c>
      <c r="I619" s="4" t="s">
        <v>126</v>
      </c>
      <c r="J619" s="4" t="str">
        <f>VLOOKUP(I619,citySet!$B$5:$C$46,2,0)</f>
        <v>成都</v>
      </c>
      <c r="K619" s="2" t="s">
        <v>2459</v>
      </c>
      <c r="L619" s="2" t="s">
        <v>2460</v>
      </c>
      <c r="M619" s="2" t="s">
        <v>2461</v>
      </c>
      <c r="N619" s="4"/>
      <c r="O619" s="2" t="s">
        <v>153</v>
      </c>
      <c r="P619" s="2" t="s">
        <v>153</v>
      </c>
      <c r="Q619" s="4">
        <v>0</v>
      </c>
      <c r="R619" s="2" t="s">
        <v>370</v>
      </c>
      <c r="S619" s="2" t="s">
        <v>435</v>
      </c>
      <c r="T619" s="2" t="s">
        <v>1035</v>
      </c>
      <c r="U619" s="2" t="s">
        <v>407</v>
      </c>
      <c r="V619" s="2" t="s">
        <v>254</v>
      </c>
      <c r="W619" s="4">
        <v>3</v>
      </c>
      <c r="X619" s="2" t="s">
        <v>2</v>
      </c>
      <c r="Y619" s="4">
        <v>0</v>
      </c>
      <c r="Z619" s="4" t="s">
        <v>39</v>
      </c>
      <c r="AA619" s="2" t="s">
        <v>185</v>
      </c>
      <c r="AB619" s="2" t="s">
        <v>19</v>
      </c>
      <c r="AC619" s="2" t="s">
        <v>207</v>
      </c>
      <c r="AD619" s="4">
        <v>80</v>
      </c>
      <c r="AE619" s="2" t="s">
        <v>235</v>
      </c>
      <c r="AF619" s="2" t="s">
        <v>256</v>
      </c>
      <c r="AG619" s="2" t="s">
        <v>1328</v>
      </c>
      <c r="AH619" s="2" t="s">
        <v>185</v>
      </c>
      <c r="AI619" s="2" t="s">
        <v>2367</v>
      </c>
      <c r="AJ619" s="4"/>
      <c r="AL619" s="4"/>
      <c r="AN619" s="4"/>
      <c r="AP619" s="4"/>
      <c r="AQ619" s="4"/>
      <c r="AS619" s="4">
        <v>0</v>
      </c>
      <c r="AT619" s="4">
        <v>0</v>
      </c>
      <c r="AU619" s="4">
        <v>1</v>
      </c>
      <c r="AV619" s="4">
        <v>0</v>
      </c>
      <c r="AW619" s="4">
        <v>2</v>
      </c>
      <c r="AX619" s="4">
        <v>0</v>
      </c>
      <c r="AZ619" s="2" t="s">
        <v>60</v>
      </c>
    </row>
    <row r="620" spans="2:52" x14ac:dyDescent="0.15">
      <c r="B620" s="2" t="s">
        <v>629</v>
      </c>
      <c r="C620" s="2" t="s">
        <v>2463</v>
      </c>
      <c r="D620" s="2" t="s">
        <v>17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17</v>
      </c>
      <c r="H620" s="4" t="str">
        <f>VLOOKUP(G620,corpsSet!$B$5:$C$46,2,0)</f>
        <v>刘虞</v>
      </c>
      <c r="I620" s="4" t="s">
        <v>31</v>
      </c>
      <c r="J620" s="4" t="str">
        <f>VLOOKUP(I620,citySet!$B$5:$C$46,2,0)</f>
        <v>蓟</v>
      </c>
      <c r="K620" s="2" t="s">
        <v>2459</v>
      </c>
      <c r="L620" s="2" t="s">
        <v>855</v>
      </c>
      <c r="N620" s="4"/>
      <c r="O620" s="2" t="s">
        <v>2464</v>
      </c>
      <c r="P620" s="2" t="s">
        <v>2464</v>
      </c>
      <c r="Q620" s="4">
        <v>0</v>
      </c>
      <c r="R620" s="2" t="s">
        <v>370</v>
      </c>
      <c r="S620" s="2" t="s">
        <v>435</v>
      </c>
      <c r="T620" s="2" t="s">
        <v>499</v>
      </c>
      <c r="U620" s="2" t="s">
        <v>467</v>
      </c>
      <c r="V620" s="2" t="s">
        <v>195</v>
      </c>
      <c r="W620" s="4">
        <v>1</v>
      </c>
      <c r="X620" s="2" t="s">
        <v>365</v>
      </c>
      <c r="Y620" s="4">
        <v>7</v>
      </c>
      <c r="Z620" s="4" t="s">
        <v>3078</v>
      </c>
      <c r="AA620" s="2" t="s">
        <v>134</v>
      </c>
      <c r="AB620" s="2" t="s">
        <v>107</v>
      </c>
      <c r="AC620" s="2" t="s">
        <v>18</v>
      </c>
      <c r="AD620" s="4">
        <v>59</v>
      </c>
      <c r="AE620" s="2" t="s">
        <v>321</v>
      </c>
      <c r="AF620" s="2" t="s">
        <v>374</v>
      </c>
      <c r="AG620" s="2" t="s">
        <v>562</v>
      </c>
      <c r="AH620" s="2" t="s">
        <v>185</v>
      </c>
      <c r="AI620" s="2" t="s">
        <v>688</v>
      </c>
      <c r="AJ620" s="4" t="s">
        <v>892</v>
      </c>
      <c r="AK620" s="2" t="s">
        <v>117</v>
      </c>
      <c r="AL620" s="4"/>
      <c r="AN620" s="4"/>
      <c r="AP620" s="4"/>
      <c r="AQ620" s="4"/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Z620" s="2" t="s">
        <v>60</v>
      </c>
    </row>
    <row r="621" spans="2:52" x14ac:dyDescent="0.15">
      <c r="B621" s="2" t="s">
        <v>580</v>
      </c>
      <c r="C621" s="2" t="s">
        <v>2465</v>
      </c>
      <c r="D621" s="2" t="s">
        <v>33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33</v>
      </c>
      <c r="H621" s="4" t="str">
        <f>VLOOKUP(G621,corpsSet!$B$5:$C$46,2,0)</f>
        <v>刘焉</v>
      </c>
      <c r="I621" s="4" t="s">
        <v>126</v>
      </c>
      <c r="J621" s="4" t="str">
        <f>VLOOKUP(I621,citySet!$B$5:$C$46,2,0)</f>
        <v>成都</v>
      </c>
      <c r="K621" s="2" t="s">
        <v>2459</v>
      </c>
      <c r="L621" s="2" t="s">
        <v>2466</v>
      </c>
      <c r="N621" s="4"/>
      <c r="O621" s="2" t="s">
        <v>482</v>
      </c>
      <c r="P621" s="2" t="s">
        <v>482</v>
      </c>
      <c r="Q621" s="4">
        <v>0</v>
      </c>
      <c r="R621" s="2" t="s">
        <v>370</v>
      </c>
      <c r="S621" s="2" t="s">
        <v>393</v>
      </c>
      <c r="T621" s="2" t="s">
        <v>499</v>
      </c>
      <c r="U621" s="2" t="s">
        <v>675</v>
      </c>
      <c r="V621" s="2" t="s">
        <v>254</v>
      </c>
      <c r="W621" s="4">
        <v>1</v>
      </c>
      <c r="X621" s="2" t="s">
        <v>365</v>
      </c>
      <c r="Y621" s="4">
        <v>0</v>
      </c>
      <c r="Z621" s="4" t="s">
        <v>39</v>
      </c>
      <c r="AA621" s="2" t="s">
        <v>185</v>
      </c>
      <c r="AB621" s="2" t="s">
        <v>515</v>
      </c>
      <c r="AC621" s="2" t="s">
        <v>261</v>
      </c>
      <c r="AD621" s="4">
        <v>66</v>
      </c>
      <c r="AE621" s="2" t="s">
        <v>100</v>
      </c>
      <c r="AF621" s="2" t="s">
        <v>423</v>
      </c>
      <c r="AG621" s="2" t="s">
        <v>726</v>
      </c>
      <c r="AH621" s="2" t="s">
        <v>185</v>
      </c>
      <c r="AI621" s="2" t="s">
        <v>629</v>
      </c>
      <c r="AJ621" s="4"/>
      <c r="AL621" s="4"/>
      <c r="AN621" s="4"/>
      <c r="AP621" s="4"/>
      <c r="AQ621" s="4"/>
      <c r="AS621" s="4">
        <v>0</v>
      </c>
      <c r="AT621" s="4">
        <v>2</v>
      </c>
      <c r="AU621" s="4">
        <v>2</v>
      </c>
      <c r="AV621" s="4">
        <v>0</v>
      </c>
      <c r="AW621" s="4">
        <v>1</v>
      </c>
      <c r="AX621" s="4">
        <v>0</v>
      </c>
      <c r="AZ621" s="2" t="s">
        <v>60</v>
      </c>
    </row>
    <row r="622" spans="2:52" x14ac:dyDescent="0.15">
      <c r="B622" s="2" t="s">
        <v>688</v>
      </c>
      <c r="C622" s="2" t="s">
        <v>2467</v>
      </c>
      <c r="D622" s="2" t="s">
        <v>34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34</v>
      </c>
      <c r="H622" s="4" t="str">
        <f>VLOOKUP(G622,corpsSet!$B$5:$C$46,2,0)</f>
        <v>刘表</v>
      </c>
      <c r="I622" s="4" t="s">
        <v>119</v>
      </c>
      <c r="J622" s="4" t="str">
        <f>VLOOKUP(I622,citySet!$B$5:$C$46,2,0)</f>
        <v>襄阳</v>
      </c>
      <c r="K622" s="2" t="s">
        <v>2459</v>
      </c>
      <c r="L622" s="2" t="s">
        <v>2469</v>
      </c>
      <c r="N622" s="4"/>
      <c r="O622" s="2" t="s">
        <v>134</v>
      </c>
      <c r="P622" s="2" t="s">
        <v>134</v>
      </c>
      <c r="Q622" s="4">
        <v>0</v>
      </c>
      <c r="R622" s="2" t="s">
        <v>370</v>
      </c>
      <c r="S622" s="2" t="s">
        <v>438</v>
      </c>
      <c r="T622" s="2" t="s">
        <v>1001</v>
      </c>
      <c r="U622" s="2" t="s">
        <v>490</v>
      </c>
      <c r="V622" s="2" t="s">
        <v>434</v>
      </c>
      <c r="W622" s="4">
        <v>1</v>
      </c>
      <c r="X622" s="2" t="s">
        <v>365</v>
      </c>
      <c r="Y622" s="4">
        <v>0</v>
      </c>
      <c r="Z622" s="4" t="s">
        <v>39</v>
      </c>
      <c r="AA622" s="2" t="s">
        <v>134</v>
      </c>
      <c r="AB622" s="2" t="s">
        <v>14</v>
      </c>
      <c r="AC622" s="2" t="s">
        <v>20</v>
      </c>
      <c r="AD622" s="4">
        <v>62</v>
      </c>
      <c r="AE622" s="2" t="s">
        <v>515</v>
      </c>
      <c r="AF622" s="2" t="s">
        <v>261</v>
      </c>
      <c r="AG622" s="2" t="s">
        <v>418</v>
      </c>
      <c r="AH622" s="2" t="s">
        <v>185</v>
      </c>
      <c r="AI622" s="2" t="s">
        <v>999</v>
      </c>
      <c r="AJ622" s="4" t="s">
        <v>2269</v>
      </c>
      <c r="AK622" s="2" t="s">
        <v>2468</v>
      </c>
      <c r="AL622" s="4"/>
      <c r="AN622" s="4"/>
      <c r="AP622" s="4"/>
      <c r="AQ622" s="4"/>
      <c r="AS622" s="4">
        <v>0</v>
      </c>
      <c r="AT622" s="4">
        <v>0</v>
      </c>
      <c r="AU622" s="4">
        <v>1</v>
      </c>
      <c r="AV622" s="4">
        <v>0</v>
      </c>
      <c r="AW622" s="4">
        <v>0</v>
      </c>
      <c r="AX622" s="4">
        <v>2</v>
      </c>
      <c r="AZ622" s="2" t="s">
        <v>60</v>
      </c>
    </row>
    <row r="623" spans="2:52" x14ac:dyDescent="0.15">
      <c r="B623" s="2" t="s">
        <v>892</v>
      </c>
      <c r="C623" s="2" t="s">
        <v>117</v>
      </c>
      <c r="D623" s="2" t="s">
        <v>17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17</v>
      </c>
      <c r="H623" s="4" t="str">
        <f>VLOOKUP(G623,corpsSet!$B$5:$C$46,2,0)</f>
        <v>刘虞</v>
      </c>
      <c r="I623" s="4" t="s">
        <v>31</v>
      </c>
      <c r="J623" s="4" t="str">
        <f>VLOOKUP(I623,citySet!$B$5:$C$46,2,0)</f>
        <v>蓟</v>
      </c>
      <c r="K623" s="2" t="s">
        <v>2459</v>
      </c>
      <c r="L623" s="2" t="s">
        <v>1114</v>
      </c>
      <c r="M623" s="2" t="s">
        <v>2470</v>
      </c>
      <c r="N623" s="4"/>
      <c r="O623" s="2" t="s">
        <v>2058</v>
      </c>
      <c r="P623" s="2" t="s">
        <v>2058</v>
      </c>
      <c r="Q623" s="4">
        <v>0</v>
      </c>
      <c r="R623" s="2" t="s">
        <v>370</v>
      </c>
      <c r="S623" s="2" t="s">
        <v>435</v>
      </c>
      <c r="T623" s="2" t="s">
        <v>415</v>
      </c>
      <c r="U623" s="2" t="s">
        <v>467</v>
      </c>
      <c r="V623" s="2" t="s">
        <v>195</v>
      </c>
      <c r="W623" s="4">
        <v>3</v>
      </c>
      <c r="X623" s="2" t="s">
        <v>2</v>
      </c>
      <c r="Y623" s="4">
        <v>0</v>
      </c>
      <c r="Z623" s="4" t="s">
        <v>39</v>
      </c>
      <c r="AA623" s="2" t="s">
        <v>185</v>
      </c>
      <c r="AB623" s="2" t="s">
        <v>254</v>
      </c>
      <c r="AC623" s="2" t="s">
        <v>95</v>
      </c>
      <c r="AD623" s="4">
        <v>69</v>
      </c>
      <c r="AE623" s="2" t="s">
        <v>431</v>
      </c>
      <c r="AF623" s="2" t="s">
        <v>150</v>
      </c>
      <c r="AG623" s="2" t="s">
        <v>944</v>
      </c>
      <c r="AH623" s="2" t="s">
        <v>185</v>
      </c>
      <c r="AI623" s="2" t="s">
        <v>688</v>
      </c>
      <c r="AJ623" s="4"/>
      <c r="AL623" s="4"/>
      <c r="AN623" s="4"/>
      <c r="AP623" s="4"/>
      <c r="AQ623" s="4"/>
      <c r="AS623" s="4">
        <v>0</v>
      </c>
      <c r="AT623" s="4">
        <v>0</v>
      </c>
      <c r="AU623" s="4">
        <v>0</v>
      </c>
      <c r="AV623" s="4">
        <v>1</v>
      </c>
      <c r="AW623" s="4">
        <v>0</v>
      </c>
      <c r="AX623" s="4">
        <v>0</v>
      </c>
      <c r="AZ623" s="2" t="s">
        <v>60</v>
      </c>
    </row>
    <row r="624" spans="2:52" x14ac:dyDescent="0.15">
      <c r="B624" s="2" t="s">
        <v>711</v>
      </c>
      <c r="C624" s="2" t="s">
        <v>2471</v>
      </c>
      <c r="D624" s="2" t="s">
        <v>29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29</v>
      </c>
      <c r="H624" s="4" t="str">
        <f>VLOOKUP(G624,corpsSet!$B$5:$C$46,2,0)</f>
        <v>袁术</v>
      </c>
      <c r="I624" s="4" t="s">
        <v>200</v>
      </c>
      <c r="J624" s="4" t="str">
        <f>VLOOKUP(I624,citySet!$B$5:$C$46,2,0)</f>
        <v>庐江</v>
      </c>
      <c r="K624" s="2" t="s">
        <v>2459</v>
      </c>
      <c r="L624" s="2" t="s">
        <v>1909</v>
      </c>
      <c r="M624" s="2" t="s">
        <v>2472</v>
      </c>
      <c r="N624" s="4"/>
      <c r="O624" s="2" t="s">
        <v>2136</v>
      </c>
      <c r="P624" s="2" t="s">
        <v>2136</v>
      </c>
      <c r="Q624" s="4">
        <v>0</v>
      </c>
      <c r="R624" s="2" t="s">
        <v>370</v>
      </c>
      <c r="S624" s="2" t="s">
        <v>435</v>
      </c>
      <c r="T624" s="2" t="s">
        <v>478</v>
      </c>
      <c r="U624" s="2" t="s">
        <v>340</v>
      </c>
      <c r="V624" s="2" t="s">
        <v>740</v>
      </c>
      <c r="W624" s="4">
        <v>1</v>
      </c>
      <c r="X624" s="2" t="s">
        <v>365</v>
      </c>
      <c r="Y624" s="4">
        <v>0</v>
      </c>
      <c r="Z624" s="4" t="s">
        <v>39</v>
      </c>
      <c r="AA624" s="2" t="s">
        <v>403</v>
      </c>
      <c r="AB624" s="2" t="s">
        <v>191</v>
      </c>
      <c r="AC624" s="2" t="s">
        <v>382</v>
      </c>
      <c r="AD624" s="4">
        <v>35</v>
      </c>
      <c r="AE624" s="2" t="s">
        <v>18</v>
      </c>
      <c r="AF624" s="2" t="s">
        <v>5</v>
      </c>
      <c r="AG624" s="2" t="s">
        <v>467</v>
      </c>
      <c r="AH624" s="2" t="s">
        <v>185</v>
      </c>
      <c r="AI624" s="2" t="s">
        <v>892</v>
      </c>
      <c r="AJ624" s="4"/>
      <c r="AL624" s="4"/>
      <c r="AN624" s="4"/>
      <c r="AP624" s="4"/>
      <c r="AQ624" s="4"/>
      <c r="AS624" s="4">
        <v>0</v>
      </c>
      <c r="AT624" s="4">
        <v>1</v>
      </c>
      <c r="AU624" s="4">
        <v>1</v>
      </c>
      <c r="AV624" s="4">
        <v>0</v>
      </c>
      <c r="AW624" s="4">
        <v>0</v>
      </c>
      <c r="AX624" s="4">
        <v>1</v>
      </c>
      <c r="AZ624" s="2" t="s">
        <v>60</v>
      </c>
    </row>
    <row r="625" spans="2:52" x14ac:dyDescent="0.15">
      <c r="B625" s="2" t="s">
        <v>1034</v>
      </c>
      <c r="C625" s="2" t="s">
        <v>2473</v>
      </c>
      <c r="D625" s="2" t="s">
        <v>219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219</v>
      </c>
      <c r="H625" s="4" t="str">
        <f>VLOOKUP(G625,corpsSet!$B$5:$C$46,2,0)</f>
        <v>刘度</v>
      </c>
      <c r="I625" s="4" t="s">
        <v>220</v>
      </c>
      <c r="J625" s="4" t="str">
        <f>VLOOKUP(I625,citySet!$B$5:$C$46,2,0)</f>
        <v>零陵</v>
      </c>
      <c r="K625" s="2" t="s">
        <v>2459</v>
      </c>
      <c r="L625" s="2" t="s">
        <v>2132</v>
      </c>
      <c r="N625" s="4"/>
      <c r="O625" s="2" t="s">
        <v>2013</v>
      </c>
      <c r="P625" s="2" t="s">
        <v>2013</v>
      </c>
      <c r="Q625" s="4">
        <v>0</v>
      </c>
      <c r="R625" s="2" t="s">
        <v>370</v>
      </c>
      <c r="S625" s="2" t="s">
        <v>536</v>
      </c>
      <c r="T625" s="2" t="s">
        <v>438</v>
      </c>
      <c r="U625" s="2" t="s">
        <v>542</v>
      </c>
      <c r="V625" s="2" t="s">
        <v>537</v>
      </c>
      <c r="W625" s="4">
        <v>1</v>
      </c>
      <c r="X625" s="2" t="s">
        <v>365</v>
      </c>
      <c r="Y625" s="4">
        <v>4</v>
      </c>
      <c r="Z625" s="4" t="s">
        <v>1091</v>
      </c>
      <c r="AA625" s="2" t="s">
        <v>134</v>
      </c>
      <c r="AB625" s="2" t="s">
        <v>3</v>
      </c>
      <c r="AC625" s="2" t="s">
        <v>404</v>
      </c>
      <c r="AD625" s="4">
        <v>51</v>
      </c>
      <c r="AE625" s="2" t="s">
        <v>126</v>
      </c>
      <c r="AF625" s="2" t="s">
        <v>14</v>
      </c>
      <c r="AG625" s="2" t="s">
        <v>919</v>
      </c>
      <c r="AH625" s="2" t="s">
        <v>185</v>
      </c>
      <c r="AI625" s="2" t="s">
        <v>982</v>
      </c>
      <c r="AJ625" s="4" t="s">
        <v>839</v>
      </c>
      <c r="AK625" s="2" t="s">
        <v>2474</v>
      </c>
      <c r="AL625" s="4"/>
      <c r="AN625" s="4"/>
      <c r="AP625" s="4"/>
      <c r="AQ625" s="4"/>
      <c r="AS625" s="4">
        <v>1</v>
      </c>
      <c r="AT625" s="4">
        <v>1</v>
      </c>
      <c r="AU625" s="4">
        <v>0</v>
      </c>
      <c r="AV625" s="4">
        <v>1</v>
      </c>
      <c r="AW625" s="4">
        <v>0</v>
      </c>
      <c r="AX625" s="4">
        <v>0</v>
      </c>
      <c r="AZ625" s="2" t="s">
        <v>60</v>
      </c>
    </row>
    <row r="626" spans="2:52" x14ac:dyDescent="0.15">
      <c r="B626" s="2" t="s">
        <v>1050</v>
      </c>
      <c r="C626" s="2" t="s">
        <v>2475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196</v>
      </c>
      <c r="J626" s="4" t="str">
        <f>VLOOKUP(I626,citySet!$B$5:$C$46,2,0)</f>
        <v>会稽</v>
      </c>
      <c r="K626" s="2" t="s">
        <v>2476</v>
      </c>
      <c r="L626" s="2" t="s">
        <v>2477</v>
      </c>
      <c r="M626" s="2" t="s">
        <v>2478</v>
      </c>
      <c r="N626" s="4"/>
      <c r="O626" s="2" t="s">
        <v>1938</v>
      </c>
      <c r="P626" s="2" t="s">
        <v>1938</v>
      </c>
      <c r="Q626" s="4">
        <v>0</v>
      </c>
      <c r="R626" s="2" t="s">
        <v>370</v>
      </c>
      <c r="S626" s="2" t="s">
        <v>536</v>
      </c>
      <c r="T626" s="2" t="s">
        <v>712</v>
      </c>
      <c r="U626" s="2" t="s">
        <v>86</v>
      </c>
      <c r="V626" s="2" t="s">
        <v>603</v>
      </c>
      <c r="W626" s="4">
        <v>2</v>
      </c>
      <c r="X626" s="2" t="s">
        <v>2983</v>
      </c>
      <c r="Y626" s="4">
        <v>0</v>
      </c>
      <c r="Z626" s="4" t="s">
        <v>39</v>
      </c>
      <c r="AA626" s="2" t="s">
        <v>60</v>
      </c>
      <c r="AB626" s="2" t="s">
        <v>431</v>
      </c>
      <c r="AC626" s="2" t="s">
        <v>481</v>
      </c>
      <c r="AD626" s="4">
        <v>64</v>
      </c>
      <c r="AE626" s="2" t="s">
        <v>432</v>
      </c>
      <c r="AF626" s="2" t="s">
        <v>423</v>
      </c>
      <c r="AG626" s="2" t="s">
        <v>520</v>
      </c>
      <c r="AH626" s="2" t="s">
        <v>185</v>
      </c>
      <c r="AI626" s="2" t="s">
        <v>1034</v>
      </c>
      <c r="AJ626" s="4"/>
      <c r="AL626" s="4"/>
      <c r="AN626" s="4"/>
      <c r="AP626" s="4"/>
      <c r="AQ626" s="4"/>
      <c r="AS626" s="4">
        <v>2</v>
      </c>
      <c r="AT626" s="4">
        <v>2</v>
      </c>
      <c r="AU626" s="4">
        <v>0</v>
      </c>
      <c r="AV626" s="4">
        <v>1</v>
      </c>
      <c r="AW626" s="4">
        <v>1</v>
      </c>
      <c r="AX626" s="4">
        <v>2</v>
      </c>
      <c r="AZ626" s="2" t="s">
        <v>60</v>
      </c>
    </row>
    <row r="627" spans="2:52" x14ac:dyDescent="0.15">
      <c r="B627" s="2" t="s">
        <v>2480</v>
      </c>
      <c r="C627" s="2" t="s">
        <v>529</v>
      </c>
      <c r="D627" s="2" t="s">
        <v>30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30</v>
      </c>
      <c r="H627" s="4" t="str">
        <f>VLOOKUP(G627,corpsSet!$B$5:$C$46,2,0)</f>
        <v>袁绍</v>
      </c>
      <c r="I627" s="4" t="s">
        <v>37</v>
      </c>
      <c r="J627" s="4" t="str">
        <f>VLOOKUP(I627,citySet!$B$5:$C$46,2,0)</f>
        <v>南皮</v>
      </c>
      <c r="K627" s="2" t="s">
        <v>2459</v>
      </c>
      <c r="L627" s="2" t="s">
        <v>1326</v>
      </c>
      <c r="N627" s="4"/>
      <c r="O627" s="2" t="s">
        <v>2479</v>
      </c>
      <c r="P627" s="2" t="s">
        <v>2479</v>
      </c>
      <c r="Q627" s="4">
        <v>1</v>
      </c>
      <c r="R627" s="2" t="s">
        <v>577</v>
      </c>
      <c r="S627" s="2" t="s">
        <v>435</v>
      </c>
      <c r="T627" s="2" t="s">
        <v>957</v>
      </c>
      <c r="U627" s="2" t="s">
        <v>90</v>
      </c>
      <c r="V627" s="2" t="s">
        <v>390</v>
      </c>
      <c r="W627" s="4">
        <v>1</v>
      </c>
      <c r="X627" s="2" t="s">
        <v>365</v>
      </c>
      <c r="Y627" s="4">
        <v>0</v>
      </c>
      <c r="Z627" s="4" t="s">
        <v>39</v>
      </c>
      <c r="AA627" s="2" t="s">
        <v>134</v>
      </c>
      <c r="AB627" s="2" t="s">
        <v>31</v>
      </c>
      <c r="AC627" s="2" t="s">
        <v>30</v>
      </c>
      <c r="AD627" s="4">
        <v>66</v>
      </c>
      <c r="AE627" s="2" t="s">
        <v>233</v>
      </c>
      <c r="AF627" s="2" t="s">
        <v>454</v>
      </c>
      <c r="AG627" s="2" t="s">
        <v>83</v>
      </c>
      <c r="AH627" s="2" t="s">
        <v>185</v>
      </c>
      <c r="AI627" s="2" t="s">
        <v>1050</v>
      </c>
      <c r="AJ627" s="4"/>
      <c r="AL627" s="4"/>
      <c r="AN627" s="4" t="s">
        <v>105</v>
      </c>
      <c r="AO627" s="2" t="s">
        <v>506</v>
      </c>
      <c r="AP627" s="4"/>
      <c r="AQ627" s="4"/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Z627" s="2" t="s">
        <v>60</v>
      </c>
    </row>
    <row r="628" spans="2:52" x14ac:dyDescent="0.15">
      <c r="B628" s="2" t="s">
        <v>635</v>
      </c>
      <c r="C628" s="2" t="s">
        <v>2481</v>
      </c>
      <c r="D628" s="2" t="s">
        <v>33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33</v>
      </c>
      <c r="H628" s="4" t="str">
        <f>VLOOKUP(G628,corpsSet!$B$5:$C$46,2,0)</f>
        <v>刘焉</v>
      </c>
      <c r="I628" s="4" t="s">
        <v>126</v>
      </c>
      <c r="J628" s="4" t="str">
        <f>VLOOKUP(I628,citySet!$B$5:$C$46,2,0)</f>
        <v>成都</v>
      </c>
      <c r="K628" s="2" t="s">
        <v>2459</v>
      </c>
      <c r="L628" s="2" t="s">
        <v>2483</v>
      </c>
      <c r="N628" s="4"/>
      <c r="O628" s="2" t="s">
        <v>97</v>
      </c>
      <c r="P628" s="2" t="s">
        <v>97</v>
      </c>
      <c r="Q628" s="4">
        <v>0</v>
      </c>
      <c r="R628" s="2" t="s">
        <v>370</v>
      </c>
      <c r="S628" s="2" t="s">
        <v>94</v>
      </c>
      <c r="T628" s="2" t="s">
        <v>435</v>
      </c>
      <c r="U628" s="2" t="s">
        <v>427</v>
      </c>
      <c r="V628" s="2" t="s">
        <v>254</v>
      </c>
      <c r="W628" s="4">
        <v>1</v>
      </c>
      <c r="X628" s="2" t="s">
        <v>365</v>
      </c>
      <c r="Y628" s="4">
        <v>0</v>
      </c>
      <c r="Z628" s="4" t="s">
        <v>39</v>
      </c>
      <c r="AA628" s="2" t="s">
        <v>134</v>
      </c>
      <c r="AB628" s="2" t="s">
        <v>382</v>
      </c>
      <c r="AC628" s="2" t="s">
        <v>102</v>
      </c>
      <c r="AD628" s="4">
        <v>41</v>
      </c>
      <c r="AE628" s="2" t="s">
        <v>4</v>
      </c>
      <c r="AF628" s="2" t="s">
        <v>432</v>
      </c>
      <c r="AG628" s="2" t="s">
        <v>815</v>
      </c>
      <c r="AH628" s="2" t="s">
        <v>185</v>
      </c>
      <c r="AI628" s="2" t="s">
        <v>2367</v>
      </c>
      <c r="AJ628" s="4" t="s">
        <v>558</v>
      </c>
      <c r="AK628" s="2" t="s">
        <v>2482</v>
      </c>
      <c r="AL628" s="4"/>
      <c r="AN628" s="4"/>
      <c r="AP628" s="4"/>
      <c r="AQ628" s="4"/>
      <c r="AS628" s="4">
        <v>0</v>
      </c>
      <c r="AT628" s="4">
        <v>1</v>
      </c>
      <c r="AU628" s="4">
        <v>1</v>
      </c>
      <c r="AV628" s="4">
        <v>0</v>
      </c>
      <c r="AW628" s="4">
        <v>0</v>
      </c>
      <c r="AX628" s="4">
        <v>0</v>
      </c>
      <c r="AZ628" s="2" t="s">
        <v>60</v>
      </c>
    </row>
    <row r="629" spans="2:52" x14ac:dyDescent="0.15">
      <c r="B629" s="2" t="s">
        <v>558</v>
      </c>
      <c r="C629" s="2" t="s">
        <v>2482</v>
      </c>
      <c r="D629" s="2" t="s">
        <v>33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33</v>
      </c>
      <c r="H629" s="4" t="str">
        <f>VLOOKUP(G629,corpsSet!$B$5:$C$46,2,0)</f>
        <v>刘焉</v>
      </c>
      <c r="I629" s="4" t="s">
        <v>126</v>
      </c>
      <c r="J629" s="4" t="str">
        <f>VLOOKUP(I629,citySet!$B$5:$C$46,2,0)</f>
        <v>成都</v>
      </c>
      <c r="K629" s="2" t="s">
        <v>2459</v>
      </c>
      <c r="L629" s="2" t="s">
        <v>2231</v>
      </c>
      <c r="M629" s="2" t="s">
        <v>2484</v>
      </c>
      <c r="N629" s="4"/>
      <c r="O629" s="2" t="s">
        <v>515</v>
      </c>
      <c r="P629" s="2" t="s">
        <v>515</v>
      </c>
      <c r="Q629" s="4">
        <v>0</v>
      </c>
      <c r="R629" s="2" t="s">
        <v>370</v>
      </c>
      <c r="S629" s="2" t="s">
        <v>435</v>
      </c>
      <c r="T629" s="2" t="s">
        <v>394</v>
      </c>
      <c r="U629" s="2" t="s">
        <v>702</v>
      </c>
      <c r="V629" s="2" t="s">
        <v>254</v>
      </c>
      <c r="W629" s="4">
        <v>1</v>
      </c>
      <c r="X629" s="2" t="s">
        <v>365</v>
      </c>
      <c r="Y629" s="4">
        <v>0</v>
      </c>
      <c r="Z629" s="4" t="s">
        <v>39</v>
      </c>
      <c r="AA629" s="2" t="s">
        <v>134</v>
      </c>
      <c r="AB629" s="2" t="s">
        <v>18</v>
      </c>
      <c r="AC629" s="2" t="s">
        <v>33</v>
      </c>
      <c r="AD629" s="4">
        <v>9</v>
      </c>
      <c r="AE629" s="2" t="s">
        <v>207</v>
      </c>
      <c r="AF629" s="2" t="s">
        <v>257</v>
      </c>
      <c r="AG629" s="2" t="s">
        <v>81</v>
      </c>
      <c r="AH629" s="2" t="s">
        <v>185</v>
      </c>
      <c r="AI629" s="2" t="s">
        <v>2367</v>
      </c>
      <c r="AJ629" s="4" t="s">
        <v>2462</v>
      </c>
      <c r="AK629" s="2" t="s">
        <v>2458</v>
      </c>
      <c r="AL629" s="4"/>
      <c r="AN629" s="4"/>
      <c r="AP629" s="4"/>
      <c r="AQ629" s="4"/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Z629" s="2" t="s">
        <v>60</v>
      </c>
    </row>
    <row r="630" spans="2:52" x14ac:dyDescent="0.15">
      <c r="B630" s="2" t="s">
        <v>1342</v>
      </c>
      <c r="C630" s="2" t="s">
        <v>190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34</v>
      </c>
      <c r="J630" s="4" t="str">
        <f>VLOOKUP(I630,citySet!$B$5:$C$46,2,0)</f>
        <v>邺</v>
      </c>
      <c r="K630" s="2" t="s">
        <v>2459</v>
      </c>
      <c r="L630" s="2" t="s">
        <v>2485</v>
      </c>
      <c r="M630" s="2" t="s">
        <v>2486</v>
      </c>
      <c r="N630" s="4"/>
      <c r="O630" s="2" t="s">
        <v>2318</v>
      </c>
      <c r="P630" s="2" t="s">
        <v>2318</v>
      </c>
      <c r="Q630" s="4">
        <v>0</v>
      </c>
      <c r="R630" s="2" t="s">
        <v>370</v>
      </c>
      <c r="S630" s="2" t="s">
        <v>689</v>
      </c>
      <c r="T630" s="2" t="s">
        <v>83</v>
      </c>
      <c r="U630" s="2" t="s">
        <v>491</v>
      </c>
      <c r="V630" s="2" t="s">
        <v>25</v>
      </c>
      <c r="W630" s="4">
        <v>2</v>
      </c>
      <c r="X630" s="2" t="s">
        <v>2983</v>
      </c>
      <c r="Y630" s="4">
        <v>0</v>
      </c>
      <c r="Z630" s="4" t="s">
        <v>39</v>
      </c>
      <c r="AA630" s="2" t="s">
        <v>60</v>
      </c>
      <c r="AB630" s="2" t="s">
        <v>515</v>
      </c>
      <c r="AC630" s="2" t="s">
        <v>19</v>
      </c>
      <c r="AD630" s="4">
        <v>74</v>
      </c>
      <c r="AE630" s="2" t="s">
        <v>88</v>
      </c>
      <c r="AF630" s="2" t="s">
        <v>153</v>
      </c>
      <c r="AG630" s="2" t="s">
        <v>615</v>
      </c>
      <c r="AH630" s="2" t="s">
        <v>185</v>
      </c>
      <c r="AI630" s="2" t="s">
        <v>558</v>
      </c>
      <c r="AJ630" s="4"/>
      <c r="AL630" s="4"/>
      <c r="AN630" s="4"/>
      <c r="AP630" s="4"/>
      <c r="AQ630" s="4"/>
      <c r="AS630" s="4">
        <v>2</v>
      </c>
      <c r="AT630" s="4">
        <v>1</v>
      </c>
      <c r="AU630" s="4">
        <v>2</v>
      </c>
      <c r="AV630" s="4">
        <v>1</v>
      </c>
      <c r="AW630" s="4">
        <v>1</v>
      </c>
      <c r="AX630" s="4">
        <v>0</v>
      </c>
      <c r="AZ630" s="2" t="s">
        <v>60</v>
      </c>
    </row>
    <row r="631" spans="2:52" x14ac:dyDescent="0.15">
      <c r="B631" s="2" t="s">
        <v>1451</v>
      </c>
      <c r="C631" s="2" t="s">
        <v>2487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193</v>
      </c>
      <c r="J631" s="4" t="str">
        <f>VLOOKUP(I631,citySet!$B$5:$C$46,2,0)</f>
        <v>吴</v>
      </c>
      <c r="K631" s="2" t="s">
        <v>2459</v>
      </c>
      <c r="L631" s="2" t="s">
        <v>2489</v>
      </c>
      <c r="N631" s="4"/>
      <c r="O631" s="2" t="s">
        <v>2488</v>
      </c>
      <c r="P631" s="2" t="s">
        <v>2488</v>
      </c>
      <c r="Q631" s="4">
        <v>0</v>
      </c>
      <c r="R631" s="2" t="s">
        <v>370</v>
      </c>
      <c r="S631" s="2" t="s">
        <v>609</v>
      </c>
      <c r="T631" s="2" t="s">
        <v>332</v>
      </c>
      <c r="U631" s="2" t="s">
        <v>447</v>
      </c>
      <c r="V631" s="2" t="s">
        <v>608</v>
      </c>
      <c r="W631" s="4">
        <v>2</v>
      </c>
      <c r="X631" s="2" t="s">
        <v>2983</v>
      </c>
      <c r="Y631" s="4">
        <v>0</v>
      </c>
      <c r="Z631" s="4" t="s">
        <v>39</v>
      </c>
      <c r="AA631" s="2" t="s">
        <v>60</v>
      </c>
      <c r="AB631" s="2" t="s">
        <v>101</v>
      </c>
      <c r="AC631" s="2" t="s">
        <v>257</v>
      </c>
      <c r="AD631" s="4">
        <v>33</v>
      </c>
      <c r="AE631" s="2" t="s">
        <v>95</v>
      </c>
      <c r="AF631" s="2" t="s">
        <v>201</v>
      </c>
      <c r="AG631" s="2" t="s">
        <v>991</v>
      </c>
      <c r="AH631" s="2" t="s">
        <v>185</v>
      </c>
      <c r="AI631" s="2" t="s">
        <v>1342</v>
      </c>
      <c r="AJ631" s="4"/>
      <c r="AL631" s="4"/>
      <c r="AN631" s="4"/>
      <c r="AP631" s="4"/>
      <c r="AQ631" s="4"/>
      <c r="AS631" s="4">
        <v>1</v>
      </c>
      <c r="AT631" s="4">
        <v>1</v>
      </c>
      <c r="AU631" s="4">
        <v>0</v>
      </c>
      <c r="AV631" s="4">
        <v>0</v>
      </c>
      <c r="AW631" s="4">
        <v>0</v>
      </c>
      <c r="AX631" s="4">
        <v>1</v>
      </c>
      <c r="AZ631" s="2" t="s">
        <v>60</v>
      </c>
    </row>
    <row r="632" spans="2:52" x14ac:dyDescent="0.15">
      <c r="B632" s="2" t="s">
        <v>1113</v>
      </c>
      <c r="C632" s="2" t="s">
        <v>2490</v>
      </c>
      <c r="D632" s="2" t="s">
        <v>35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35</v>
      </c>
      <c r="H632" s="4" t="str">
        <f>VLOOKUP(G632,corpsSet!$B$5:$C$46,2,0)</f>
        <v>刘备</v>
      </c>
      <c r="I632" s="4" t="s">
        <v>213</v>
      </c>
      <c r="J632" s="4" t="str">
        <f>VLOOKUP(I632,citySet!$B$5:$C$46,2,0)</f>
        <v>江陵</v>
      </c>
      <c r="K632" s="2" t="s">
        <v>2459</v>
      </c>
      <c r="L632" s="2" t="s">
        <v>1458</v>
      </c>
      <c r="N632" s="4"/>
      <c r="O632" s="2" t="s">
        <v>650</v>
      </c>
      <c r="P632" s="2" t="s">
        <v>650</v>
      </c>
      <c r="Q632" s="4">
        <v>0</v>
      </c>
      <c r="R632" s="2" t="s">
        <v>370</v>
      </c>
      <c r="S632" s="2" t="s">
        <v>542</v>
      </c>
      <c r="T632" s="2" t="s">
        <v>843</v>
      </c>
      <c r="U632" s="2" t="s">
        <v>919</v>
      </c>
      <c r="V632" s="2" t="s">
        <v>481</v>
      </c>
      <c r="W632" s="4">
        <v>1</v>
      </c>
      <c r="X632" s="2" t="s">
        <v>365</v>
      </c>
      <c r="Y632" s="4">
        <v>0</v>
      </c>
      <c r="Z632" s="4" t="s">
        <v>39</v>
      </c>
      <c r="AA632" s="2" t="s">
        <v>134</v>
      </c>
      <c r="AB632" s="2" t="s">
        <v>93</v>
      </c>
      <c r="AC632" s="2" t="s">
        <v>423</v>
      </c>
      <c r="AD632" s="4">
        <v>69</v>
      </c>
      <c r="AE632" s="2" t="s">
        <v>261</v>
      </c>
      <c r="AF632" s="2" t="s">
        <v>554</v>
      </c>
      <c r="AG632" s="2" t="s">
        <v>1307</v>
      </c>
      <c r="AH632" s="2" t="s">
        <v>185</v>
      </c>
      <c r="AI632" s="2" t="s">
        <v>281</v>
      </c>
      <c r="AJ632" s="4">
        <v>63</v>
      </c>
      <c r="AK632" s="2" t="s">
        <v>2491</v>
      </c>
      <c r="AL632" s="4"/>
      <c r="AN632" s="4"/>
      <c r="AP632" s="4"/>
      <c r="AQ632" s="4"/>
      <c r="AS632" s="4">
        <v>1</v>
      </c>
      <c r="AT632" s="4">
        <v>2</v>
      </c>
      <c r="AU632" s="4">
        <v>1</v>
      </c>
      <c r="AV632" s="4">
        <v>0</v>
      </c>
      <c r="AW632" s="4">
        <v>0</v>
      </c>
      <c r="AX632" s="4">
        <v>0</v>
      </c>
      <c r="AZ632" s="2" t="s">
        <v>60</v>
      </c>
    </row>
    <row r="633" spans="2:52" x14ac:dyDescent="0.15">
      <c r="B633" s="2" t="s">
        <v>1505</v>
      </c>
      <c r="C633" s="2" t="s">
        <v>3118</v>
      </c>
      <c r="D633" s="2" t="s">
        <v>35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35</v>
      </c>
      <c r="H633" s="4" t="str">
        <f>VLOOKUP(G633,corpsSet!$B$5:$C$46,2,0)</f>
        <v>刘备</v>
      </c>
      <c r="I633" s="4" t="s">
        <v>213</v>
      </c>
      <c r="J633" s="4" t="str">
        <f>VLOOKUP(I633,citySet!$B$5:$C$46,2,0)</f>
        <v>江陵</v>
      </c>
      <c r="K633" s="2" t="s">
        <v>2459</v>
      </c>
      <c r="L633" s="2" t="s">
        <v>2492</v>
      </c>
      <c r="M633" s="2" t="s">
        <v>2493</v>
      </c>
      <c r="N633" s="4"/>
      <c r="O633" s="2" t="s">
        <v>1632</v>
      </c>
      <c r="P633" s="2" t="s">
        <v>1632</v>
      </c>
      <c r="Q633" s="4">
        <v>0</v>
      </c>
      <c r="R633" s="2" t="s">
        <v>370</v>
      </c>
      <c r="S633" s="2" t="s">
        <v>843</v>
      </c>
      <c r="T633" s="2" t="s">
        <v>633</v>
      </c>
      <c r="U633" s="2" t="s">
        <v>491</v>
      </c>
      <c r="V633" s="2" t="s">
        <v>431</v>
      </c>
      <c r="W633" s="4">
        <v>1</v>
      </c>
      <c r="X633" s="2" t="s">
        <v>365</v>
      </c>
      <c r="Y633" s="4">
        <v>0</v>
      </c>
      <c r="Z633" s="4" t="s">
        <v>39</v>
      </c>
      <c r="AA633" s="2" t="s">
        <v>134</v>
      </c>
      <c r="AB633" s="2" t="s">
        <v>30</v>
      </c>
      <c r="AC633" s="2" t="s">
        <v>107</v>
      </c>
      <c r="AD633" s="4">
        <v>36</v>
      </c>
      <c r="AE633" s="2" t="s">
        <v>7</v>
      </c>
      <c r="AF633" s="2" t="s">
        <v>254</v>
      </c>
      <c r="AG633" s="2" t="s">
        <v>579</v>
      </c>
      <c r="AH633" s="2" t="s">
        <v>185</v>
      </c>
      <c r="AI633" s="2" t="s">
        <v>281</v>
      </c>
      <c r="AJ633" s="4">
        <v>63</v>
      </c>
      <c r="AK633" s="2" t="s">
        <v>2491</v>
      </c>
      <c r="AL633" s="4"/>
      <c r="AN633" s="4"/>
      <c r="AP633" s="4"/>
      <c r="AQ633" s="4"/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Z633" s="2" t="s">
        <v>60</v>
      </c>
    </row>
    <row r="634" spans="2:52" x14ac:dyDescent="0.15">
      <c r="B634" s="2" t="s">
        <v>1932</v>
      </c>
      <c r="C634" s="2" t="s">
        <v>2491</v>
      </c>
      <c r="D634" s="2" t="s">
        <v>35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35</v>
      </c>
      <c r="H634" s="4" t="str">
        <f>VLOOKUP(G634,corpsSet!$B$5:$C$46,2,0)</f>
        <v>刘备</v>
      </c>
      <c r="I634" s="4" t="s">
        <v>213</v>
      </c>
      <c r="J634" s="4" t="str">
        <f>VLOOKUP(I634,citySet!$B$5:$C$46,2,0)</f>
        <v>江陵</v>
      </c>
      <c r="K634" s="2" t="s">
        <v>2459</v>
      </c>
      <c r="L634" s="2" t="s">
        <v>2494</v>
      </c>
      <c r="M634" s="2" t="s">
        <v>2495</v>
      </c>
      <c r="N634" s="4"/>
      <c r="O634" s="2" t="s">
        <v>374</v>
      </c>
      <c r="P634" s="2" t="s">
        <v>374</v>
      </c>
      <c r="Q634" s="4">
        <v>0</v>
      </c>
      <c r="R634" s="2" t="s">
        <v>370</v>
      </c>
      <c r="S634" s="2" t="s">
        <v>437</v>
      </c>
      <c r="T634" s="2" t="s">
        <v>505</v>
      </c>
      <c r="U634" s="2" t="s">
        <v>1014</v>
      </c>
      <c r="V634" s="2" t="s">
        <v>431</v>
      </c>
      <c r="W634" s="4">
        <v>1</v>
      </c>
      <c r="X634" s="2" t="s">
        <v>365</v>
      </c>
      <c r="Y634" s="4">
        <v>0</v>
      </c>
      <c r="Z634" s="4" t="s">
        <v>39</v>
      </c>
      <c r="AA634" s="2" t="s">
        <v>134</v>
      </c>
      <c r="AB634" s="2" t="s">
        <v>31</v>
      </c>
      <c r="AC634" s="2" t="s">
        <v>33</v>
      </c>
      <c r="AD634" s="4">
        <v>9</v>
      </c>
      <c r="AE634" s="2" t="s">
        <v>37</v>
      </c>
      <c r="AF634" s="2" t="s">
        <v>201</v>
      </c>
      <c r="AG634" s="2" t="s">
        <v>422</v>
      </c>
      <c r="AH634" s="2" t="s">
        <v>185</v>
      </c>
      <c r="AI634" s="2" t="s">
        <v>281</v>
      </c>
      <c r="AJ634" s="4" t="s">
        <v>999</v>
      </c>
      <c r="AK634" s="2" t="s">
        <v>11</v>
      </c>
      <c r="AL634" s="4"/>
      <c r="AN634" s="4"/>
      <c r="AP634" s="4"/>
      <c r="AQ634" s="4"/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Z634" s="2" t="s">
        <v>60</v>
      </c>
    </row>
    <row r="635" spans="2:52" x14ac:dyDescent="0.15">
      <c r="B635" s="2" t="s">
        <v>1936</v>
      </c>
      <c r="C635" s="2" t="s">
        <v>2496</v>
      </c>
      <c r="D635" s="2" t="s">
        <v>34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34</v>
      </c>
      <c r="H635" s="4" t="str">
        <f>VLOOKUP(G635,corpsSet!$B$5:$C$46,2,0)</f>
        <v>刘表</v>
      </c>
      <c r="I635" s="4" t="s">
        <v>119</v>
      </c>
      <c r="J635" s="4" t="str">
        <f>VLOOKUP(I635,citySet!$B$5:$C$46,2,0)</f>
        <v>襄阳</v>
      </c>
      <c r="K635" s="2" t="s">
        <v>2459</v>
      </c>
      <c r="L635" s="2" t="s">
        <v>1662</v>
      </c>
      <c r="N635" s="4"/>
      <c r="O635" s="2" t="s">
        <v>467</v>
      </c>
      <c r="P635" s="2" t="s">
        <v>467</v>
      </c>
      <c r="Q635" s="4">
        <v>0</v>
      </c>
      <c r="R635" s="2" t="s">
        <v>370</v>
      </c>
      <c r="S635" s="2" t="s">
        <v>505</v>
      </c>
      <c r="T635" s="2" t="s">
        <v>83</v>
      </c>
      <c r="U635" s="2" t="s">
        <v>406</v>
      </c>
      <c r="V635" s="2" t="s">
        <v>101</v>
      </c>
      <c r="W635" s="4">
        <v>1</v>
      </c>
      <c r="X635" s="2" t="s">
        <v>365</v>
      </c>
      <c r="Y635" s="4">
        <v>0</v>
      </c>
      <c r="Z635" s="4" t="s">
        <v>39</v>
      </c>
      <c r="AA635" s="2" t="s">
        <v>319</v>
      </c>
      <c r="AB635" s="2" t="s">
        <v>193</v>
      </c>
      <c r="AC635" s="2" t="s">
        <v>10</v>
      </c>
      <c r="AD635" s="4">
        <v>64</v>
      </c>
      <c r="AE635" s="2" t="s">
        <v>257</v>
      </c>
      <c r="AF635" s="2" t="s">
        <v>153</v>
      </c>
      <c r="AG635" s="2" t="s">
        <v>453</v>
      </c>
      <c r="AH635" s="2" t="s">
        <v>185</v>
      </c>
      <c r="AI635" s="2" t="s">
        <v>999</v>
      </c>
      <c r="AJ635" s="4" t="s">
        <v>2269</v>
      </c>
      <c r="AK635" s="2" t="s">
        <v>2468</v>
      </c>
      <c r="AL635" s="4" t="s">
        <v>379</v>
      </c>
      <c r="AM635" s="2" t="s">
        <v>1323</v>
      </c>
      <c r="AN635" s="4"/>
      <c r="AP635" s="4"/>
      <c r="AQ635" s="4"/>
      <c r="AS635" s="4">
        <v>0</v>
      </c>
      <c r="AT635" s="4">
        <v>0</v>
      </c>
      <c r="AU635" s="4">
        <v>1</v>
      </c>
      <c r="AV635" s="4">
        <v>0</v>
      </c>
      <c r="AW635" s="4">
        <v>0</v>
      </c>
      <c r="AX635" s="4">
        <v>1</v>
      </c>
      <c r="AZ635" s="2" t="s">
        <v>60</v>
      </c>
    </row>
    <row r="636" spans="2:52" x14ac:dyDescent="0.15">
      <c r="B636" s="2" t="s">
        <v>982</v>
      </c>
      <c r="C636" s="2" t="s">
        <v>2497</v>
      </c>
      <c r="D636" s="2" t="s">
        <v>104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104</v>
      </c>
      <c r="H636" s="4" t="str">
        <f>VLOOKUP(G636,corpsSet!$B$5:$C$46,2,0)</f>
        <v>刘岱</v>
      </c>
      <c r="I636" s="4" t="s">
        <v>41</v>
      </c>
      <c r="J636" s="4" t="str">
        <f>VLOOKUP(I636,citySet!$B$5:$C$46,2,0)</f>
        <v>陈留</v>
      </c>
      <c r="K636" s="2" t="s">
        <v>2459</v>
      </c>
      <c r="L636" s="2" t="s">
        <v>2207</v>
      </c>
      <c r="M636" s="2" t="s">
        <v>2499</v>
      </c>
      <c r="N636" s="4"/>
      <c r="O636" s="2" t="s">
        <v>2017</v>
      </c>
      <c r="P636" s="2" t="s">
        <v>2017</v>
      </c>
      <c r="Q636" s="4">
        <v>0</v>
      </c>
      <c r="R636" s="2" t="s">
        <v>370</v>
      </c>
      <c r="S636" s="2" t="s">
        <v>435</v>
      </c>
      <c r="T636" s="2" t="s">
        <v>719</v>
      </c>
      <c r="U636" s="2" t="s">
        <v>536</v>
      </c>
      <c r="V636" s="2" t="s">
        <v>15</v>
      </c>
      <c r="W636" s="4">
        <v>3</v>
      </c>
      <c r="X636" s="2" t="s">
        <v>2</v>
      </c>
      <c r="Y636" s="4">
        <v>0</v>
      </c>
      <c r="Z636" s="4" t="s">
        <v>39</v>
      </c>
      <c r="AA636" s="2" t="s">
        <v>185</v>
      </c>
      <c r="AB636" s="2" t="s">
        <v>19</v>
      </c>
      <c r="AC636" s="2" t="s">
        <v>257</v>
      </c>
      <c r="AD636" s="4">
        <v>32</v>
      </c>
      <c r="AE636" s="2" t="s">
        <v>3</v>
      </c>
      <c r="AF636" s="2" t="s">
        <v>98</v>
      </c>
      <c r="AG636" s="2" t="s">
        <v>786</v>
      </c>
      <c r="AH636" s="2" t="s">
        <v>185</v>
      </c>
      <c r="AI636" s="2" t="s">
        <v>1936</v>
      </c>
      <c r="AJ636" s="4"/>
      <c r="AK636" s="2" t="s">
        <v>2498</v>
      </c>
      <c r="AL636" s="4"/>
      <c r="AN636" s="4"/>
      <c r="AP636" s="4"/>
      <c r="AQ636" s="4"/>
      <c r="AS636" s="4">
        <v>1</v>
      </c>
      <c r="AT636" s="4">
        <v>1</v>
      </c>
      <c r="AU636" s="4">
        <v>0</v>
      </c>
      <c r="AV636" s="4">
        <v>1</v>
      </c>
      <c r="AW636" s="4">
        <v>0</v>
      </c>
      <c r="AX636" s="4">
        <v>0</v>
      </c>
      <c r="AZ636" s="2" t="s">
        <v>60</v>
      </c>
    </row>
    <row r="637" spans="2:52" x14ac:dyDescent="0.15">
      <c r="B637" s="2" t="s">
        <v>839</v>
      </c>
      <c r="C637" s="2" t="s">
        <v>2474</v>
      </c>
      <c r="D637" s="2" t="s">
        <v>219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219</v>
      </c>
      <c r="H637" s="4" t="str">
        <f>VLOOKUP(G637,corpsSet!$B$5:$C$46,2,0)</f>
        <v>刘度</v>
      </c>
      <c r="I637" s="4" t="s">
        <v>220</v>
      </c>
      <c r="J637" s="4" t="str">
        <f>VLOOKUP(I637,citySet!$B$5:$C$46,2,0)</f>
        <v>零陵</v>
      </c>
      <c r="K637" s="2" t="s">
        <v>2459</v>
      </c>
      <c r="L637" s="2" t="s">
        <v>1215</v>
      </c>
      <c r="N637" s="4"/>
      <c r="O637" s="2" t="s">
        <v>261</v>
      </c>
      <c r="P637" s="2" t="s">
        <v>261</v>
      </c>
      <c r="Q637" s="4">
        <v>0</v>
      </c>
      <c r="R637" s="2" t="s">
        <v>370</v>
      </c>
      <c r="S637" s="2" t="s">
        <v>544</v>
      </c>
      <c r="T637" s="2" t="s">
        <v>518</v>
      </c>
      <c r="U637" s="2" t="s">
        <v>675</v>
      </c>
      <c r="V637" s="2" t="s">
        <v>537</v>
      </c>
      <c r="W637" s="4">
        <v>3</v>
      </c>
      <c r="X637" s="2" t="s">
        <v>2</v>
      </c>
      <c r="Y637" s="4">
        <v>0</v>
      </c>
      <c r="Z637" s="4" t="s">
        <v>39</v>
      </c>
      <c r="AA637" s="2" t="s">
        <v>185</v>
      </c>
      <c r="AB637" s="2" t="s">
        <v>196</v>
      </c>
      <c r="AC637" s="2" t="s">
        <v>189</v>
      </c>
      <c r="AD637" s="4">
        <v>26</v>
      </c>
      <c r="AE637" s="2" t="s">
        <v>233</v>
      </c>
      <c r="AF637" s="2" t="s">
        <v>19</v>
      </c>
      <c r="AG637" s="2" t="s">
        <v>504</v>
      </c>
      <c r="AH637" s="2" t="s">
        <v>185</v>
      </c>
      <c r="AI637" s="2" t="s">
        <v>982</v>
      </c>
      <c r="AJ637" s="4"/>
      <c r="AL637" s="4"/>
      <c r="AN637" s="4"/>
      <c r="AP637" s="4"/>
      <c r="AQ637" s="4"/>
      <c r="AS637" s="4">
        <v>0</v>
      </c>
      <c r="AT637" s="4">
        <v>0</v>
      </c>
      <c r="AU637" s="4">
        <v>1</v>
      </c>
      <c r="AV637" s="4">
        <v>0</v>
      </c>
      <c r="AW637" s="4">
        <v>0</v>
      </c>
      <c r="AX637" s="4">
        <v>0</v>
      </c>
      <c r="AZ637" s="2" t="s">
        <v>60</v>
      </c>
    </row>
    <row r="638" spans="2:52" x14ac:dyDescent="0.15">
      <c r="B638" s="2" t="s">
        <v>2162</v>
      </c>
      <c r="C638" s="2" t="s">
        <v>2500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220</v>
      </c>
      <c r="J638" s="4" t="str">
        <f>VLOOKUP(I638,citySet!$B$5:$C$46,2,0)</f>
        <v>零陵</v>
      </c>
      <c r="K638" s="2" t="s">
        <v>2459</v>
      </c>
      <c r="L638" s="2" t="s">
        <v>2501</v>
      </c>
      <c r="M638" s="2" t="s">
        <v>1372</v>
      </c>
      <c r="N638" s="4"/>
      <c r="O638" s="2" t="s">
        <v>2021</v>
      </c>
      <c r="P638" s="2" t="s">
        <v>2021</v>
      </c>
      <c r="Q638" s="4">
        <v>0</v>
      </c>
      <c r="R638" s="2" t="s">
        <v>370</v>
      </c>
      <c r="S638" s="2" t="s">
        <v>90</v>
      </c>
      <c r="T638" s="2" t="s">
        <v>707</v>
      </c>
      <c r="U638" s="2" t="s">
        <v>512</v>
      </c>
      <c r="V638" s="2" t="s">
        <v>201</v>
      </c>
      <c r="W638" s="4">
        <v>2</v>
      </c>
      <c r="X638" s="2" t="s">
        <v>2983</v>
      </c>
      <c r="Y638" s="4">
        <v>0</v>
      </c>
      <c r="Z638" s="4" t="s">
        <v>39</v>
      </c>
      <c r="AA638" s="2" t="s">
        <v>60</v>
      </c>
      <c r="AB638" s="2" t="s">
        <v>17</v>
      </c>
      <c r="AC638" s="2" t="s">
        <v>10</v>
      </c>
      <c r="AD638" s="4">
        <v>74</v>
      </c>
      <c r="AE638" s="2" t="s">
        <v>235</v>
      </c>
      <c r="AF638" s="2" t="s">
        <v>432</v>
      </c>
      <c r="AG638" s="2" t="s">
        <v>646</v>
      </c>
      <c r="AH638" s="2" t="s">
        <v>185</v>
      </c>
      <c r="AI638" s="2" t="s">
        <v>839</v>
      </c>
      <c r="AJ638" s="4"/>
      <c r="AL638" s="4"/>
      <c r="AN638" s="4"/>
      <c r="AP638" s="4"/>
      <c r="AQ638" s="4"/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Z638" s="2" t="s">
        <v>60</v>
      </c>
    </row>
    <row r="639" spans="2:52" x14ac:dyDescent="0.15">
      <c r="B639" s="2" t="s">
        <v>281</v>
      </c>
      <c r="C639" s="2" t="s">
        <v>3119</v>
      </c>
      <c r="D639" s="2" t="s">
        <v>34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34</v>
      </c>
      <c r="H639" s="4" t="str">
        <f>VLOOKUP(G639,corpsSet!$B$5:$C$46,2,0)</f>
        <v>刘表</v>
      </c>
      <c r="I639" s="4" t="s">
        <v>119</v>
      </c>
      <c r="J639" s="4" t="str">
        <f>VLOOKUP(I639,citySet!$B$5:$C$46,2,0)</f>
        <v>襄阳</v>
      </c>
      <c r="K639" s="2" t="s">
        <v>2459</v>
      </c>
      <c r="L639" s="2" t="s">
        <v>2503</v>
      </c>
      <c r="N639" s="4"/>
      <c r="O639" s="2" t="s">
        <v>2502</v>
      </c>
      <c r="P639" s="2" t="s">
        <v>2502</v>
      </c>
      <c r="Q639" s="4">
        <v>0</v>
      </c>
      <c r="R639" s="2" t="s">
        <v>370</v>
      </c>
      <c r="S639" s="2" t="s">
        <v>438</v>
      </c>
      <c r="T639" s="2" t="s">
        <v>518</v>
      </c>
      <c r="U639" s="2" t="s">
        <v>685</v>
      </c>
      <c r="V639" s="2" t="s">
        <v>101</v>
      </c>
      <c r="W639" s="4">
        <v>1</v>
      </c>
      <c r="X639" s="2" t="s">
        <v>365</v>
      </c>
      <c r="Y639" s="4">
        <v>0</v>
      </c>
      <c r="Z639" s="4" t="s">
        <v>39</v>
      </c>
      <c r="AA639" s="2" t="s">
        <v>185</v>
      </c>
      <c r="AB639" s="2" t="s">
        <v>454</v>
      </c>
      <c r="AC639" s="2" t="s">
        <v>434</v>
      </c>
      <c r="AD639" s="4">
        <v>47</v>
      </c>
      <c r="AE639" s="2" t="s">
        <v>99</v>
      </c>
      <c r="AF639" s="2" t="s">
        <v>254</v>
      </c>
      <c r="AG639" s="2" t="s">
        <v>1042</v>
      </c>
      <c r="AH639" s="2" t="s">
        <v>185</v>
      </c>
      <c r="AI639" s="2" t="s">
        <v>999</v>
      </c>
      <c r="AJ639" s="4"/>
      <c r="AL639" s="4"/>
      <c r="AN639" s="4"/>
      <c r="AP639" s="4"/>
      <c r="AQ639" s="4"/>
      <c r="AS639" s="4">
        <v>2</v>
      </c>
      <c r="AT639" s="4">
        <v>0</v>
      </c>
      <c r="AU639" s="4">
        <v>0</v>
      </c>
      <c r="AV639" s="4">
        <v>0</v>
      </c>
      <c r="AW639" s="4">
        <v>1</v>
      </c>
      <c r="AX639" s="4">
        <v>1</v>
      </c>
      <c r="AZ639" s="2" t="s">
        <v>60</v>
      </c>
    </row>
    <row r="640" spans="2:52" x14ac:dyDescent="0.15">
      <c r="B640" s="2" t="s">
        <v>999</v>
      </c>
      <c r="C640" s="2" t="s">
        <v>11</v>
      </c>
      <c r="D640" s="2" t="s">
        <v>35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35</v>
      </c>
      <c r="H640" s="4" t="str">
        <f>VLOOKUP(G640,corpsSet!$B$5:$C$46,2,0)</f>
        <v>刘备</v>
      </c>
      <c r="I640" s="4" t="s">
        <v>213</v>
      </c>
      <c r="J640" s="4" t="str">
        <f>VLOOKUP(I640,citySet!$B$5:$C$46,2,0)</f>
        <v>江陵</v>
      </c>
      <c r="K640" s="2" t="s">
        <v>2459</v>
      </c>
      <c r="L640" s="2" t="s">
        <v>2504</v>
      </c>
      <c r="M640" s="2" t="s">
        <v>2505</v>
      </c>
      <c r="N640" s="4"/>
      <c r="O640" s="2" t="s">
        <v>15</v>
      </c>
      <c r="P640" s="2" t="s">
        <v>15</v>
      </c>
      <c r="Q640" s="4">
        <v>0</v>
      </c>
      <c r="R640" s="2" t="s">
        <v>370</v>
      </c>
      <c r="S640" s="2" t="s">
        <v>435</v>
      </c>
      <c r="T640" s="2" t="s">
        <v>759</v>
      </c>
      <c r="U640" s="2" t="s">
        <v>489</v>
      </c>
      <c r="V640" s="2" t="s">
        <v>481</v>
      </c>
      <c r="W640" s="4">
        <v>3</v>
      </c>
      <c r="X640" s="2" t="s">
        <v>2</v>
      </c>
      <c r="Y640" s="4">
        <v>0</v>
      </c>
      <c r="Z640" s="4" t="s">
        <v>39</v>
      </c>
      <c r="AA640" s="2" t="s">
        <v>185</v>
      </c>
      <c r="AB640" s="2" t="s">
        <v>481</v>
      </c>
      <c r="AC640" s="2" t="s">
        <v>261</v>
      </c>
      <c r="AD640" s="4">
        <v>74</v>
      </c>
      <c r="AE640" s="2" t="s">
        <v>431</v>
      </c>
      <c r="AF640" s="2" t="s">
        <v>403</v>
      </c>
      <c r="AG640" s="2" t="s">
        <v>1879</v>
      </c>
      <c r="AH640" s="2" t="s">
        <v>185</v>
      </c>
      <c r="AI640" s="2" t="s">
        <v>281</v>
      </c>
      <c r="AJ640" s="4"/>
      <c r="AL640" s="4"/>
      <c r="AN640" s="4" t="s">
        <v>2075</v>
      </c>
      <c r="AO640" s="2" t="s">
        <v>2251</v>
      </c>
      <c r="AP640" s="4" t="s">
        <v>999</v>
      </c>
      <c r="AQ640" s="4"/>
      <c r="AS640" s="4">
        <v>2</v>
      </c>
      <c r="AT640" s="4">
        <v>1</v>
      </c>
      <c r="AU640" s="4">
        <v>2</v>
      </c>
      <c r="AV640" s="4">
        <v>1</v>
      </c>
      <c r="AW640" s="4">
        <v>0</v>
      </c>
      <c r="AX640" s="4">
        <v>0</v>
      </c>
      <c r="AZ640" s="2" t="s">
        <v>60</v>
      </c>
    </row>
    <row r="641" spans="2:52" x14ac:dyDescent="0.15">
      <c r="B641" s="2" t="s">
        <v>2269</v>
      </c>
      <c r="C641" s="2" t="s">
        <v>2468</v>
      </c>
      <c r="D641" s="2" t="s">
        <v>34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34</v>
      </c>
      <c r="H641" s="4" t="str">
        <f>VLOOKUP(G641,corpsSet!$B$5:$C$46,2,0)</f>
        <v>刘表</v>
      </c>
      <c r="I641" s="4" t="s">
        <v>119</v>
      </c>
      <c r="J641" s="4" t="str">
        <f>VLOOKUP(I641,citySet!$B$5:$C$46,2,0)</f>
        <v>襄阳</v>
      </c>
      <c r="K641" s="2" t="s">
        <v>2459</v>
      </c>
      <c r="L641" s="2" t="s">
        <v>2055</v>
      </c>
      <c r="M641" s="2" t="s">
        <v>2506</v>
      </c>
      <c r="N641" s="4"/>
      <c r="O641" s="2" t="s">
        <v>367</v>
      </c>
      <c r="P641" s="2" t="s">
        <v>367</v>
      </c>
      <c r="Q641" s="4">
        <v>0</v>
      </c>
      <c r="R641" s="2" t="s">
        <v>370</v>
      </c>
      <c r="S641" s="2" t="s">
        <v>435</v>
      </c>
      <c r="T641" s="2" t="s">
        <v>904</v>
      </c>
      <c r="U641" s="2" t="s">
        <v>406</v>
      </c>
      <c r="V641" s="2" t="s">
        <v>101</v>
      </c>
      <c r="W641" s="4">
        <v>3</v>
      </c>
      <c r="X641" s="2" t="s">
        <v>2</v>
      </c>
      <c r="Y641" s="4">
        <v>0</v>
      </c>
      <c r="Z641" s="4" t="s">
        <v>39</v>
      </c>
      <c r="AA641" s="2" t="s">
        <v>185</v>
      </c>
      <c r="AB641" s="2" t="s">
        <v>414</v>
      </c>
      <c r="AC641" s="2" t="s">
        <v>213</v>
      </c>
      <c r="AD641" s="4">
        <v>71</v>
      </c>
      <c r="AE641" s="2" t="s">
        <v>235</v>
      </c>
      <c r="AF641" s="2" t="s">
        <v>397</v>
      </c>
      <c r="AG641" s="2" t="s">
        <v>868</v>
      </c>
      <c r="AH641" s="2" t="s">
        <v>185</v>
      </c>
      <c r="AI641" s="2" t="s">
        <v>999</v>
      </c>
      <c r="AJ641" s="4"/>
      <c r="AL641" s="4"/>
      <c r="AN641" s="4" t="s">
        <v>379</v>
      </c>
      <c r="AO641" s="2" t="s">
        <v>1323</v>
      </c>
      <c r="AP641" s="4"/>
      <c r="AQ641" s="4"/>
      <c r="AS641" s="4">
        <v>0</v>
      </c>
      <c r="AT641" s="4">
        <v>0</v>
      </c>
      <c r="AU641" s="4">
        <v>1</v>
      </c>
      <c r="AV641" s="4">
        <v>0</v>
      </c>
      <c r="AW641" s="4">
        <v>0</v>
      </c>
      <c r="AX641" s="4">
        <v>0</v>
      </c>
      <c r="AZ641" s="2" t="s">
        <v>60</v>
      </c>
    </row>
    <row r="642" spans="2:52" x14ac:dyDescent="0.15">
      <c r="B642" s="2" t="s">
        <v>333</v>
      </c>
      <c r="C642" s="2" t="s">
        <v>2507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41</v>
      </c>
      <c r="J642" s="4" t="str">
        <f>VLOOKUP(I642,citySet!$B$5:$C$46,2,0)</f>
        <v>陈留</v>
      </c>
      <c r="K642" s="2" t="s">
        <v>2459</v>
      </c>
      <c r="L642" s="2" t="s">
        <v>1008</v>
      </c>
      <c r="M642" s="2" t="s">
        <v>2509</v>
      </c>
      <c r="N642" s="4"/>
      <c r="O642" s="2" t="s">
        <v>2508</v>
      </c>
      <c r="P642" s="2" t="s">
        <v>2508</v>
      </c>
      <c r="Q642" s="4">
        <v>0</v>
      </c>
      <c r="R642" s="2" t="s">
        <v>370</v>
      </c>
      <c r="S642" s="2" t="s">
        <v>435</v>
      </c>
      <c r="T642" s="2" t="s">
        <v>957</v>
      </c>
      <c r="U642" s="2" t="s">
        <v>406</v>
      </c>
      <c r="V642" s="2" t="s">
        <v>208</v>
      </c>
      <c r="W642" s="4">
        <v>2</v>
      </c>
      <c r="X642" s="2" t="s">
        <v>2983</v>
      </c>
      <c r="Y642" s="4">
        <v>0</v>
      </c>
      <c r="Z642" s="4" t="s">
        <v>39</v>
      </c>
      <c r="AA642" s="2" t="s">
        <v>60</v>
      </c>
      <c r="AB642" s="2" t="s">
        <v>444</v>
      </c>
      <c r="AC642" s="2" t="s">
        <v>233</v>
      </c>
      <c r="AD642" s="4">
        <v>73</v>
      </c>
      <c r="AE642" s="2" t="s">
        <v>837</v>
      </c>
      <c r="AF642" s="2" t="s">
        <v>397</v>
      </c>
      <c r="AG642" s="2" t="s">
        <v>1370</v>
      </c>
      <c r="AH642" s="2" t="s">
        <v>185</v>
      </c>
      <c r="AI642" s="2" t="s">
        <v>2269</v>
      </c>
      <c r="AJ642" s="4"/>
      <c r="AL642" s="4"/>
      <c r="AN642" s="4"/>
      <c r="AP642" s="4"/>
      <c r="AQ642" s="4"/>
      <c r="AS642" s="4">
        <v>1</v>
      </c>
      <c r="AT642" s="4">
        <v>1</v>
      </c>
      <c r="AU642" s="4">
        <v>2</v>
      </c>
      <c r="AV642" s="4">
        <v>0</v>
      </c>
      <c r="AW642" s="4">
        <v>2</v>
      </c>
      <c r="AX642" s="4">
        <v>1</v>
      </c>
      <c r="AZ642" s="2" t="s">
        <v>60</v>
      </c>
    </row>
    <row r="643" spans="2:52" x14ac:dyDescent="0.15">
      <c r="B643" s="2" t="s">
        <v>251</v>
      </c>
      <c r="C643" s="2" t="s">
        <v>2510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196</v>
      </c>
      <c r="J643" s="4" t="str">
        <f>VLOOKUP(I643,citySet!$B$5:$C$46,2,0)</f>
        <v>会稽</v>
      </c>
      <c r="K643" s="2" t="s">
        <v>2476</v>
      </c>
      <c r="L643" s="2" t="s">
        <v>698</v>
      </c>
      <c r="N643" s="4"/>
      <c r="O643" s="2" t="s">
        <v>629</v>
      </c>
      <c r="P643" s="2" t="s">
        <v>629</v>
      </c>
      <c r="Q643" s="4">
        <v>0</v>
      </c>
      <c r="R643" s="2" t="s">
        <v>370</v>
      </c>
      <c r="S643" s="2" t="s">
        <v>991</v>
      </c>
      <c r="T643" s="2" t="s">
        <v>379</v>
      </c>
      <c r="U643" s="2" t="s">
        <v>658</v>
      </c>
      <c r="V643" s="2" t="s">
        <v>603</v>
      </c>
      <c r="W643" s="4">
        <v>2</v>
      </c>
      <c r="X643" s="2" t="s">
        <v>2983</v>
      </c>
      <c r="Y643" s="4">
        <v>0</v>
      </c>
      <c r="Z643" s="4" t="s">
        <v>39</v>
      </c>
      <c r="AA643" s="2" t="s">
        <v>60</v>
      </c>
      <c r="AB643" s="2" t="s">
        <v>153</v>
      </c>
      <c r="AC643" s="2" t="s">
        <v>515</v>
      </c>
      <c r="AD643" s="4">
        <v>68</v>
      </c>
      <c r="AE643" s="2" t="s">
        <v>432</v>
      </c>
      <c r="AF643" s="2" t="s">
        <v>382</v>
      </c>
      <c r="AG643" s="2" t="s">
        <v>1199</v>
      </c>
      <c r="AH643" s="2" t="s">
        <v>185</v>
      </c>
      <c r="AI643" s="2" t="s">
        <v>1034</v>
      </c>
      <c r="AJ643" s="4" t="s">
        <v>1050</v>
      </c>
      <c r="AK643" s="2" t="s">
        <v>2475</v>
      </c>
      <c r="AL643" s="4"/>
      <c r="AN643" s="4"/>
      <c r="AP643" s="4"/>
      <c r="AQ643" s="4"/>
      <c r="AS643" s="4">
        <v>1</v>
      </c>
      <c r="AT643" s="4">
        <v>1</v>
      </c>
      <c r="AU643" s="4">
        <v>0</v>
      </c>
      <c r="AV643" s="4">
        <v>0</v>
      </c>
      <c r="AW643" s="4">
        <v>2</v>
      </c>
      <c r="AX643" s="4">
        <v>2</v>
      </c>
      <c r="AZ643" s="2" t="s">
        <v>60</v>
      </c>
    </row>
    <row r="644" spans="2:52" x14ac:dyDescent="0.15">
      <c r="B644" s="2" t="s">
        <v>611</v>
      </c>
      <c r="C644" s="2" t="s">
        <v>2511</v>
      </c>
      <c r="D644" s="2" t="s">
        <v>25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25</v>
      </c>
      <c r="H644" s="4" t="str">
        <f>VLOOKUP(G644,corpsSet!$B$5:$C$46,2,0)</f>
        <v>张角</v>
      </c>
      <c r="I644" s="4" t="s">
        <v>20</v>
      </c>
      <c r="J644" s="4" t="str">
        <f>VLOOKUP(I644,citySet!$B$5:$C$46,2,0)</f>
        <v>濮阳</v>
      </c>
      <c r="K644" s="2" t="s">
        <v>2459</v>
      </c>
      <c r="L644" s="2" t="s">
        <v>2512</v>
      </c>
      <c r="N644" s="4"/>
      <c r="O644" s="2" t="s">
        <v>815</v>
      </c>
      <c r="P644" s="2" t="s">
        <v>815</v>
      </c>
      <c r="Q644" s="4">
        <v>0</v>
      </c>
      <c r="R644" s="2" t="s">
        <v>370</v>
      </c>
      <c r="S644" s="2" t="s">
        <v>435</v>
      </c>
      <c r="T644" s="2" t="s">
        <v>415</v>
      </c>
      <c r="U644" s="2" t="s">
        <v>772</v>
      </c>
      <c r="V644" s="2" t="s">
        <v>367</v>
      </c>
      <c r="W644" s="4">
        <v>1</v>
      </c>
      <c r="X644" s="2" t="s">
        <v>365</v>
      </c>
      <c r="Y644" s="4">
        <v>0</v>
      </c>
      <c r="Z644" s="4" t="s">
        <v>39</v>
      </c>
      <c r="AA644" s="2" t="s">
        <v>403</v>
      </c>
      <c r="AB644" s="2" t="s">
        <v>153</v>
      </c>
      <c r="AC644" s="2" t="s">
        <v>374</v>
      </c>
      <c r="AD644" s="4">
        <v>47</v>
      </c>
      <c r="AE644" s="2" t="s">
        <v>219</v>
      </c>
      <c r="AF644" s="2" t="s">
        <v>254</v>
      </c>
      <c r="AG644" s="2" t="s">
        <v>570</v>
      </c>
      <c r="AH644" s="2" t="s">
        <v>185</v>
      </c>
      <c r="AI644" s="2" t="s">
        <v>251</v>
      </c>
      <c r="AJ644" s="4"/>
      <c r="AL644" s="4"/>
      <c r="AN644" s="4"/>
      <c r="AP644" s="4"/>
      <c r="AQ644" s="4"/>
      <c r="AS644" s="4">
        <v>2</v>
      </c>
      <c r="AT644" s="4">
        <v>1</v>
      </c>
      <c r="AU644" s="4">
        <v>0</v>
      </c>
      <c r="AV644" s="4">
        <v>1</v>
      </c>
      <c r="AW644" s="4">
        <v>1</v>
      </c>
      <c r="AX644" s="4">
        <v>0</v>
      </c>
      <c r="AZ644" s="2" t="s">
        <v>60</v>
      </c>
    </row>
    <row r="645" spans="2:52" x14ac:dyDescent="0.15">
      <c r="B645" s="2" t="s">
        <v>2170</v>
      </c>
      <c r="C645" s="2" t="s">
        <v>2513</v>
      </c>
      <c r="D645" s="2" t="s">
        <v>35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35</v>
      </c>
      <c r="H645" s="4" t="str">
        <f>VLOOKUP(G645,corpsSet!$B$5:$C$46,2,0)</f>
        <v>刘备</v>
      </c>
      <c r="I645" s="4" t="s">
        <v>213</v>
      </c>
      <c r="J645" s="4" t="str">
        <f>VLOOKUP(I645,citySet!$B$5:$C$46,2,0)</f>
        <v>江陵</v>
      </c>
      <c r="K645" s="2" t="s">
        <v>2459</v>
      </c>
      <c r="L645" s="2" t="s">
        <v>2092</v>
      </c>
      <c r="N645" s="4"/>
      <c r="O645" s="2" t="s">
        <v>407</v>
      </c>
      <c r="P645" s="2" t="s">
        <v>407</v>
      </c>
      <c r="Q645" s="4">
        <v>0</v>
      </c>
      <c r="R645" s="2" t="s">
        <v>370</v>
      </c>
      <c r="S645" s="2" t="s">
        <v>326</v>
      </c>
      <c r="T645" s="2" t="s">
        <v>438</v>
      </c>
      <c r="U645" s="2" t="s">
        <v>456</v>
      </c>
      <c r="V645" s="2" t="s">
        <v>481</v>
      </c>
      <c r="W645" s="4">
        <v>1</v>
      </c>
      <c r="X645" s="2" t="s">
        <v>365</v>
      </c>
      <c r="Y645" s="4">
        <v>0</v>
      </c>
      <c r="Z645" s="4" t="s">
        <v>39</v>
      </c>
      <c r="AA645" s="2" t="s">
        <v>319</v>
      </c>
      <c r="AB645" s="2" t="s">
        <v>481</v>
      </c>
      <c r="AC645" s="2" t="s">
        <v>88</v>
      </c>
      <c r="AD645" s="4">
        <v>44</v>
      </c>
      <c r="AE645" s="2" t="s">
        <v>4</v>
      </c>
      <c r="AF645" s="2" t="s">
        <v>434</v>
      </c>
      <c r="AG645" s="2" t="s">
        <v>620</v>
      </c>
      <c r="AH645" s="2" t="s">
        <v>185</v>
      </c>
      <c r="AI645" s="2" t="s">
        <v>281</v>
      </c>
      <c r="AJ645" s="4" t="s">
        <v>999</v>
      </c>
      <c r="AK645" s="2" t="s">
        <v>11</v>
      </c>
      <c r="AL645" s="4"/>
      <c r="AN645" s="4"/>
      <c r="AP645" s="4"/>
      <c r="AQ645" s="4"/>
      <c r="AS645" s="4">
        <v>2</v>
      </c>
      <c r="AT645" s="4">
        <v>0</v>
      </c>
      <c r="AU645" s="4">
        <v>0</v>
      </c>
      <c r="AV645" s="4">
        <v>2</v>
      </c>
      <c r="AW645" s="4">
        <v>2</v>
      </c>
      <c r="AX645" s="4">
        <v>1</v>
      </c>
      <c r="AZ645" s="2" t="s">
        <v>60</v>
      </c>
    </row>
    <row r="646" spans="2:52" x14ac:dyDescent="0.15">
      <c r="B646" s="2" t="s">
        <v>2516</v>
      </c>
      <c r="C646" s="2" t="s">
        <v>42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24</v>
      </c>
      <c r="J646" s="4" t="str">
        <f>VLOOKUP(I646,citySet!$B$5:$C$46,2,0)</f>
        <v>寿春</v>
      </c>
      <c r="K646" s="2" t="s">
        <v>2459</v>
      </c>
      <c r="L646" s="2" t="s">
        <v>2514</v>
      </c>
      <c r="M646" s="2" t="s">
        <v>2515</v>
      </c>
      <c r="N646" s="4"/>
      <c r="O646" s="2" t="s">
        <v>518</v>
      </c>
      <c r="P646" s="2" t="s">
        <v>518</v>
      </c>
      <c r="Q646" s="4">
        <v>0</v>
      </c>
      <c r="R646" s="2" t="s">
        <v>370</v>
      </c>
      <c r="S646" s="2" t="s">
        <v>467</v>
      </c>
      <c r="T646" s="2" t="s">
        <v>504</v>
      </c>
      <c r="U646" s="2" t="s">
        <v>887</v>
      </c>
      <c r="V646" s="2" t="s">
        <v>204</v>
      </c>
      <c r="W646" s="4">
        <v>2</v>
      </c>
      <c r="X646" s="2" t="s">
        <v>2983</v>
      </c>
      <c r="Y646" s="4">
        <v>0</v>
      </c>
      <c r="Z646" s="4" t="s">
        <v>39</v>
      </c>
      <c r="AA646" s="2" t="s">
        <v>60</v>
      </c>
      <c r="AB646" s="2" t="s">
        <v>15</v>
      </c>
      <c r="AC646" s="2" t="s">
        <v>5</v>
      </c>
      <c r="AD646" s="4">
        <v>92</v>
      </c>
      <c r="AE646" s="2" t="s">
        <v>261</v>
      </c>
      <c r="AF646" s="2" t="s">
        <v>454</v>
      </c>
      <c r="AG646" s="2" t="s">
        <v>488</v>
      </c>
      <c r="AH646" s="2" t="s">
        <v>185</v>
      </c>
      <c r="AI646" s="2" t="s">
        <v>2170</v>
      </c>
      <c r="AJ646" s="4"/>
      <c r="AL646" s="4"/>
      <c r="AN646" s="4"/>
      <c r="AP646" s="4"/>
      <c r="AQ646" s="4"/>
      <c r="AS646" s="4">
        <v>0</v>
      </c>
      <c r="AT646" s="4">
        <v>0</v>
      </c>
      <c r="AU646" s="4">
        <v>0</v>
      </c>
      <c r="AV646" s="4">
        <v>0</v>
      </c>
      <c r="AW646" s="4">
        <v>3</v>
      </c>
      <c r="AX646" s="4">
        <v>0</v>
      </c>
      <c r="AZ646" s="2" t="s">
        <v>60</v>
      </c>
    </row>
    <row r="647" spans="2:52" x14ac:dyDescent="0.15">
      <c r="B647" s="2" t="s">
        <v>2351</v>
      </c>
      <c r="C647" s="2" t="s">
        <v>2517</v>
      </c>
      <c r="D647" s="2" t="s">
        <v>193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193</v>
      </c>
      <c r="H647" s="4" t="str">
        <f>VLOOKUP(G647,corpsSet!$B$5:$C$46,2,0)</f>
        <v>刘繇</v>
      </c>
      <c r="I647" s="4" t="s">
        <v>189</v>
      </c>
      <c r="J647" s="4" t="str">
        <f>VLOOKUP(I647,citySet!$B$5:$C$46,2,0)</f>
        <v>建业</v>
      </c>
      <c r="K647" s="2" t="s">
        <v>2459</v>
      </c>
      <c r="L647" s="2" t="s">
        <v>1514</v>
      </c>
      <c r="M647" s="2" t="s">
        <v>2071</v>
      </c>
      <c r="N647" s="4"/>
      <c r="O647" s="2" t="s">
        <v>481</v>
      </c>
      <c r="P647" s="2" t="s">
        <v>481</v>
      </c>
      <c r="Q647" s="4">
        <v>0</v>
      </c>
      <c r="R647" s="2" t="s">
        <v>370</v>
      </c>
      <c r="S647" s="2" t="s">
        <v>435</v>
      </c>
      <c r="T647" s="2" t="s">
        <v>824</v>
      </c>
      <c r="U647" s="2" t="s">
        <v>83</v>
      </c>
      <c r="V647" s="2" t="s">
        <v>24</v>
      </c>
      <c r="W647" s="4">
        <v>3</v>
      </c>
      <c r="X647" s="2" t="s">
        <v>2</v>
      </c>
      <c r="Y647" s="4">
        <v>0</v>
      </c>
      <c r="Z647" s="4" t="s">
        <v>39</v>
      </c>
      <c r="AA647" s="2" t="s">
        <v>185</v>
      </c>
      <c r="AB647" s="2" t="s">
        <v>423</v>
      </c>
      <c r="AC647" s="2" t="s">
        <v>445</v>
      </c>
      <c r="AD647" s="4">
        <v>46</v>
      </c>
      <c r="AE647" s="2" t="s">
        <v>153</v>
      </c>
      <c r="AF647" s="2" t="s">
        <v>444</v>
      </c>
      <c r="AG647" s="2" t="s">
        <v>503</v>
      </c>
      <c r="AH647" s="2" t="s">
        <v>185</v>
      </c>
      <c r="AI647" s="2" t="s">
        <v>1936</v>
      </c>
      <c r="AJ647" s="4"/>
      <c r="AK647" s="2" t="s">
        <v>2498</v>
      </c>
      <c r="AL647" s="4"/>
      <c r="AN647" s="4"/>
      <c r="AP647" s="4"/>
      <c r="AQ647" s="4"/>
      <c r="AS647" s="4">
        <v>1</v>
      </c>
      <c r="AT647" s="4">
        <v>0</v>
      </c>
      <c r="AU647" s="4">
        <v>0</v>
      </c>
      <c r="AV647" s="4">
        <v>1</v>
      </c>
      <c r="AW647" s="4">
        <v>0</v>
      </c>
      <c r="AX647" s="4">
        <v>1</v>
      </c>
      <c r="AZ647" s="2" t="s">
        <v>60</v>
      </c>
    </row>
    <row r="648" spans="2:52" x14ac:dyDescent="0.15">
      <c r="B648" s="2" t="s">
        <v>2443</v>
      </c>
      <c r="C648" s="2" t="s">
        <v>2518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196</v>
      </c>
      <c r="J648" s="4" t="str">
        <f>VLOOKUP(I648,citySet!$B$5:$C$46,2,0)</f>
        <v>会稽</v>
      </c>
      <c r="K648" s="2" t="s">
        <v>2476</v>
      </c>
      <c r="L648" s="2" t="s">
        <v>2519</v>
      </c>
      <c r="N648" s="4"/>
      <c r="O648" s="2" t="s">
        <v>1952</v>
      </c>
      <c r="P648" s="2" t="s">
        <v>1952</v>
      </c>
      <c r="Q648" s="4">
        <v>0</v>
      </c>
      <c r="R648" s="2" t="s">
        <v>370</v>
      </c>
      <c r="S648" s="2" t="s">
        <v>456</v>
      </c>
      <c r="T648" s="2" t="s">
        <v>326</v>
      </c>
      <c r="U648" s="2" t="s">
        <v>408</v>
      </c>
      <c r="V648" s="2" t="s">
        <v>603</v>
      </c>
      <c r="W648" s="4">
        <v>2</v>
      </c>
      <c r="X648" s="2" t="s">
        <v>2983</v>
      </c>
      <c r="Y648" s="4">
        <v>0</v>
      </c>
      <c r="Z648" s="4" t="s">
        <v>39</v>
      </c>
      <c r="AA648" s="2" t="s">
        <v>60</v>
      </c>
      <c r="AB648" s="2" t="s">
        <v>515</v>
      </c>
      <c r="AC648" s="2" t="s">
        <v>404</v>
      </c>
      <c r="AD648" s="4">
        <v>59</v>
      </c>
      <c r="AE648" s="2" t="s">
        <v>102</v>
      </c>
      <c r="AF648" s="2" t="s">
        <v>7</v>
      </c>
      <c r="AG648" s="2" t="s">
        <v>330</v>
      </c>
      <c r="AH648" s="2" t="s">
        <v>185</v>
      </c>
      <c r="AI648" s="2" t="s">
        <v>1034</v>
      </c>
      <c r="AJ648" s="4" t="s">
        <v>1050</v>
      </c>
      <c r="AK648" s="2" t="s">
        <v>2475</v>
      </c>
      <c r="AL648" s="4"/>
      <c r="AN648" s="4"/>
      <c r="AP648" s="4"/>
      <c r="AQ648" s="4"/>
      <c r="AS648" s="4">
        <v>0</v>
      </c>
      <c r="AT648" s="4">
        <v>2</v>
      </c>
      <c r="AU648" s="4">
        <v>2</v>
      </c>
      <c r="AV648" s="4">
        <v>0</v>
      </c>
      <c r="AW648" s="4">
        <v>0</v>
      </c>
      <c r="AX648" s="4">
        <v>2</v>
      </c>
      <c r="AZ648" s="2" t="s">
        <v>60</v>
      </c>
    </row>
    <row r="649" spans="2:52" x14ac:dyDescent="0.15">
      <c r="B649" s="2" t="s">
        <v>2523</v>
      </c>
      <c r="C649" s="2" t="s">
        <v>2520</v>
      </c>
      <c r="D649" s="2" t="s">
        <v>30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30</v>
      </c>
      <c r="H649" s="4" t="str">
        <f>VLOOKUP(G649,corpsSet!$B$5:$C$46,2,0)</f>
        <v>袁绍</v>
      </c>
      <c r="I649" s="4" t="s">
        <v>37</v>
      </c>
      <c r="J649" s="4" t="str">
        <f>VLOOKUP(I649,citySet!$B$5:$C$46,2,0)</f>
        <v>南皮</v>
      </c>
      <c r="K649" s="2" t="s">
        <v>2521</v>
      </c>
      <c r="L649" s="2" t="s">
        <v>2522</v>
      </c>
      <c r="N649" s="4"/>
      <c r="O649" s="2" t="s">
        <v>1715</v>
      </c>
      <c r="P649" s="2" t="s">
        <v>1715</v>
      </c>
      <c r="Q649" s="4">
        <v>0</v>
      </c>
      <c r="R649" s="2" t="s">
        <v>370</v>
      </c>
      <c r="S649" s="2" t="s">
        <v>438</v>
      </c>
      <c r="T649" s="2" t="s">
        <v>436</v>
      </c>
      <c r="U649" s="2" t="s">
        <v>950</v>
      </c>
      <c r="V649" s="2" t="s">
        <v>538</v>
      </c>
      <c r="W649" s="4">
        <v>1</v>
      </c>
      <c r="X649" s="2" t="s">
        <v>365</v>
      </c>
      <c r="Y649" s="4">
        <v>0</v>
      </c>
      <c r="Z649" s="4" t="s">
        <v>39</v>
      </c>
      <c r="AA649" s="2" t="s">
        <v>403</v>
      </c>
      <c r="AB649" s="2" t="s">
        <v>485</v>
      </c>
      <c r="AC649" s="2" t="s">
        <v>382</v>
      </c>
      <c r="AD649" s="4">
        <v>29</v>
      </c>
      <c r="AE649" s="2" t="s">
        <v>21</v>
      </c>
      <c r="AF649" s="2" t="s">
        <v>100</v>
      </c>
      <c r="AG649" s="2" t="s">
        <v>762</v>
      </c>
      <c r="AH649" s="2" t="s">
        <v>185</v>
      </c>
      <c r="AI649" s="2" t="s">
        <v>2443</v>
      </c>
      <c r="AJ649" s="4"/>
      <c r="AL649" s="4"/>
      <c r="AN649" s="4"/>
      <c r="AP649" s="4"/>
      <c r="AQ649" s="4"/>
      <c r="AS649" s="4">
        <v>1</v>
      </c>
      <c r="AT649" s="4">
        <v>1</v>
      </c>
      <c r="AU649" s="4">
        <v>0</v>
      </c>
      <c r="AV649" s="4">
        <v>1</v>
      </c>
      <c r="AW649" s="4">
        <v>0</v>
      </c>
      <c r="AX649" s="4">
        <v>0</v>
      </c>
      <c r="AZ649" s="2" t="s">
        <v>60</v>
      </c>
    </row>
    <row r="650" spans="2:52" x14ac:dyDescent="0.15">
      <c r="B650" s="2" t="s">
        <v>972</v>
      </c>
      <c r="C650" s="2" t="s">
        <v>2524</v>
      </c>
      <c r="D650" s="2" t="s">
        <v>35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35</v>
      </c>
      <c r="H650" s="4" t="str">
        <f>VLOOKUP(G650,corpsSet!$B$5:$C$46,2,0)</f>
        <v>刘备</v>
      </c>
      <c r="I650" s="4" t="s">
        <v>213</v>
      </c>
      <c r="J650" s="4" t="str">
        <f>VLOOKUP(I650,citySet!$B$5:$C$46,2,0)</f>
        <v>江陵</v>
      </c>
      <c r="K650" s="2" t="s">
        <v>2525</v>
      </c>
      <c r="L650" s="2" t="s">
        <v>2526</v>
      </c>
      <c r="M650" s="2" t="s">
        <v>2527</v>
      </c>
      <c r="N650" s="4"/>
      <c r="O650" s="2" t="s">
        <v>557</v>
      </c>
      <c r="P650" s="2" t="s">
        <v>557</v>
      </c>
      <c r="Q650" s="4">
        <v>0</v>
      </c>
      <c r="R650" s="2" t="s">
        <v>370</v>
      </c>
      <c r="S650" s="2" t="s">
        <v>435</v>
      </c>
      <c r="T650" s="2" t="s">
        <v>555</v>
      </c>
      <c r="U650" s="2" t="s">
        <v>491</v>
      </c>
      <c r="V650" s="2" t="s">
        <v>367</v>
      </c>
      <c r="W650" s="4">
        <v>1</v>
      </c>
      <c r="X650" s="2" t="s">
        <v>365</v>
      </c>
      <c r="Y650" s="4">
        <v>0</v>
      </c>
      <c r="Z650" s="4" t="s">
        <v>39</v>
      </c>
      <c r="AA650" s="2" t="s">
        <v>185</v>
      </c>
      <c r="AB650" s="2" t="s">
        <v>261</v>
      </c>
      <c r="AC650" s="2" t="s">
        <v>434</v>
      </c>
      <c r="AD650" s="4">
        <v>64</v>
      </c>
      <c r="AE650" s="2" t="s">
        <v>233</v>
      </c>
      <c r="AF650" s="2" t="s">
        <v>404</v>
      </c>
      <c r="AG650" s="2" t="s">
        <v>1188</v>
      </c>
      <c r="AH650" s="2" t="s">
        <v>185</v>
      </c>
      <c r="AI650" s="2" t="s">
        <v>2523</v>
      </c>
      <c r="AJ650" s="4"/>
      <c r="AL650" s="4"/>
      <c r="AN650" s="4"/>
      <c r="AP650" s="4"/>
      <c r="AQ650" s="4"/>
      <c r="AS650" s="4">
        <v>2</v>
      </c>
      <c r="AT650" s="4">
        <v>2</v>
      </c>
      <c r="AU650" s="4">
        <v>0</v>
      </c>
      <c r="AV650" s="4">
        <v>1</v>
      </c>
      <c r="AW650" s="4">
        <v>0</v>
      </c>
      <c r="AX650" s="4">
        <v>0</v>
      </c>
      <c r="AZ650" s="2" t="s">
        <v>60</v>
      </c>
    </row>
    <row r="651" spans="2:52" x14ac:dyDescent="0.15">
      <c r="B651" s="2" t="s">
        <v>2376</v>
      </c>
      <c r="C651" s="2" t="s">
        <v>2528</v>
      </c>
      <c r="D651" s="2" t="s">
        <v>107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107</v>
      </c>
      <c r="H651" s="4" t="str">
        <f>VLOOKUP(G651,corpsSet!$B$5:$C$46,2,0)</f>
        <v>韩遂</v>
      </c>
      <c r="I651" s="4" t="s">
        <v>107</v>
      </c>
      <c r="J651" s="4" t="str">
        <f>VLOOKUP(I651,citySet!$B$5:$C$46,2,0)</f>
        <v>天水</v>
      </c>
      <c r="K651" s="2" t="s">
        <v>1998</v>
      </c>
      <c r="L651" s="2" t="s">
        <v>962</v>
      </c>
      <c r="N651" s="4"/>
      <c r="O651" s="2" t="s">
        <v>1256</v>
      </c>
      <c r="P651" s="2" t="s">
        <v>1256</v>
      </c>
      <c r="Q651" s="4">
        <v>0</v>
      </c>
      <c r="R651" s="2" t="s">
        <v>370</v>
      </c>
      <c r="S651" s="2" t="s">
        <v>438</v>
      </c>
      <c r="T651" s="2" t="s">
        <v>477</v>
      </c>
      <c r="U651" s="2" t="s">
        <v>417</v>
      </c>
      <c r="V651" s="2" t="s">
        <v>414</v>
      </c>
      <c r="W651" s="4">
        <v>1</v>
      </c>
      <c r="X651" s="2" t="s">
        <v>365</v>
      </c>
      <c r="Y651" s="4">
        <v>0</v>
      </c>
      <c r="Z651" s="4" t="s">
        <v>39</v>
      </c>
      <c r="AA651" s="2" t="s">
        <v>403</v>
      </c>
      <c r="AB651" s="2" t="s">
        <v>269</v>
      </c>
      <c r="AC651" s="2" t="s">
        <v>257</v>
      </c>
      <c r="AD651" s="4">
        <v>19</v>
      </c>
      <c r="AE651" s="2" t="s">
        <v>10</v>
      </c>
      <c r="AF651" s="2" t="s">
        <v>200</v>
      </c>
      <c r="AG651" s="2" t="s">
        <v>467</v>
      </c>
      <c r="AH651" s="2" t="s">
        <v>185</v>
      </c>
      <c r="AI651" s="2" t="s">
        <v>972</v>
      </c>
      <c r="AJ651" s="4"/>
      <c r="AL651" s="4"/>
      <c r="AN651" s="4"/>
      <c r="AP651" s="4"/>
      <c r="AQ651" s="4"/>
      <c r="AS651" s="4">
        <v>0</v>
      </c>
      <c r="AT651" s="4">
        <v>0</v>
      </c>
      <c r="AU651" s="4">
        <v>0</v>
      </c>
      <c r="AV651" s="4">
        <v>2</v>
      </c>
      <c r="AW651" s="4">
        <v>0</v>
      </c>
      <c r="AX651" s="4">
        <v>0</v>
      </c>
      <c r="AZ651" s="2" t="s">
        <v>60</v>
      </c>
    </row>
    <row r="652" spans="2:52" x14ac:dyDescent="0.15">
      <c r="B652" s="2" t="s">
        <v>375</v>
      </c>
      <c r="C652" s="2" t="s">
        <v>2529</v>
      </c>
      <c r="D652" s="2" t="s">
        <v>29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29</v>
      </c>
      <c r="H652" s="4" t="str">
        <f>VLOOKUP(G652,corpsSet!$B$5:$C$46,2,0)</f>
        <v>袁术</v>
      </c>
      <c r="I652" s="4" t="s">
        <v>200</v>
      </c>
      <c r="J652" s="4" t="str">
        <f>VLOOKUP(I652,citySet!$B$5:$C$46,2,0)</f>
        <v>庐江</v>
      </c>
      <c r="K652" s="2" t="s">
        <v>1998</v>
      </c>
      <c r="L652" s="2" t="s">
        <v>1134</v>
      </c>
      <c r="N652" s="4"/>
      <c r="O652" s="2" t="s">
        <v>1364</v>
      </c>
      <c r="P652" s="2" t="s">
        <v>1364</v>
      </c>
      <c r="Q652" s="4">
        <v>0</v>
      </c>
      <c r="R652" s="2" t="s">
        <v>370</v>
      </c>
      <c r="S652" s="2" t="s">
        <v>435</v>
      </c>
      <c r="T652" s="2" t="s">
        <v>933</v>
      </c>
      <c r="U652" s="2" t="s">
        <v>479</v>
      </c>
      <c r="V652" s="2" t="s">
        <v>740</v>
      </c>
      <c r="W652" s="4">
        <v>1</v>
      </c>
      <c r="X652" s="2" t="s">
        <v>365</v>
      </c>
      <c r="Y652" s="4">
        <v>0</v>
      </c>
      <c r="Z652" s="4" t="s">
        <v>39</v>
      </c>
      <c r="AA652" s="2" t="s">
        <v>403</v>
      </c>
      <c r="AB652" s="2" t="s">
        <v>93</v>
      </c>
      <c r="AC652" s="2" t="s">
        <v>454</v>
      </c>
      <c r="AD652" s="4">
        <v>41</v>
      </c>
      <c r="AE652" s="2" t="s">
        <v>10</v>
      </c>
      <c r="AF652" s="2" t="s">
        <v>102</v>
      </c>
      <c r="AG652" s="2" t="s">
        <v>843</v>
      </c>
      <c r="AH652" s="2" t="s">
        <v>185</v>
      </c>
      <c r="AI652" s="2" t="s">
        <v>2376</v>
      </c>
      <c r="AJ652" s="4"/>
      <c r="AL652" s="4"/>
      <c r="AN652" s="4"/>
      <c r="AP652" s="4"/>
      <c r="AQ652" s="4"/>
      <c r="AS652" s="4">
        <v>1</v>
      </c>
      <c r="AT652" s="4">
        <v>1</v>
      </c>
      <c r="AU652" s="4">
        <v>1</v>
      </c>
      <c r="AV652" s="4">
        <v>0</v>
      </c>
      <c r="AW652" s="4">
        <v>0</v>
      </c>
      <c r="AX652" s="4">
        <v>0</v>
      </c>
      <c r="AZ652" s="2" t="s">
        <v>60</v>
      </c>
    </row>
    <row r="653" spans="2:52" x14ac:dyDescent="0.15">
      <c r="B653" s="2" t="s">
        <v>708</v>
      </c>
      <c r="C653" s="2" t="s">
        <v>2530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41</v>
      </c>
      <c r="J653" s="4" t="str">
        <f>VLOOKUP(I653,citySet!$B$5:$C$46,2,0)</f>
        <v>陈留</v>
      </c>
      <c r="K653" s="2" t="s">
        <v>1998</v>
      </c>
      <c r="L653" s="2" t="s">
        <v>2266</v>
      </c>
      <c r="M653" s="2" t="s">
        <v>2531</v>
      </c>
      <c r="N653" s="4"/>
      <c r="O653" s="2" t="s">
        <v>1891</v>
      </c>
      <c r="P653" s="2" t="s">
        <v>1891</v>
      </c>
      <c r="Q653" s="4">
        <v>0</v>
      </c>
      <c r="R653" s="2" t="s">
        <v>370</v>
      </c>
      <c r="S653" s="2" t="s">
        <v>544</v>
      </c>
      <c r="T653" s="2" t="s">
        <v>518</v>
      </c>
      <c r="U653" s="2" t="s">
        <v>424</v>
      </c>
      <c r="V653" s="2" t="s">
        <v>219</v>
      </c>
      <c r="W653" s="4">
        <v>2</v>
      </c>
      <c r="X653" s="2" t="s">
        <v>2983</v>
      </c>
      <c r="Y653" s="4">
        <v>0</v>
      </c>
      <c r="Z653" s="4" t="s">
        <v>39</v>
      </c>
      <c r="AA653" s="2" t="s">
        <v>60</v>
      </c>
      <c r="AB653" s="2" t="s">
        <v>261</v>
      </c>
      <c r="AC653" s="2" t="s">
        <v>126</v>
      </c>
      <c r="AD653" s="4">
        <v>73</v>
      </c>
      <c r="AE653" s="2" t="s">
        <v>837</v>
      </c>
      <c r="AF653" s="2" t="s">
        <v>329</v>
      </c>
      <c r="AG653" s="2" t="s">
        <v>336</v>
      </c>
      <c r="AH653" s="2" t="s">
        <v>185</v>
      </c>
      <c r="AI653" s="2" t="s">
        <v>375</v>
      </c>
      <c r="AJ653" s="4"/>
      <c r="AL653" s="4"/>
      <c r="AN653" s="4"/>
      <c r="AP653" s="4"/>
      <c r="AQ653" s="4"/>
      <c r="AS653" s="4">
        <v>0</v>
      </c>
      <c r="AT653" s="4">
        <v>0</v>
      </c>
      <c r="AU653" s="4">
        <v>0</v>
      </c>
      <c r="AV653" s="4">
        <v>2</v>
      </c>
      <c r="AW653" s="4">
        <v>2</v>
      </c>
      <c r="AX653" s="4">
        <v>0</v>
      </c>
      <c r="AZ653" s="2" t="s">
        <v>60</v>
      </c>
    </row>
    <row r="654" spans="2:52" x14ac:dyDescent="0.15">
      <c r="B654" s="2" t="s">
        <v>668</v>
      </c>
      <c r="C654" s="2" t="s">
        <v>2532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107</v>
      </c>
      <c r="J654" s="4" t="str">
        <f>VLOOKUP(I654,citySet!$B$5:$C$46,2,0)</f>
        <v>天水</v>
      </c>
      <c r="K654" s="2" t="s">
        <v>1998</v>
      </c>
      <c r="L654" s="2" t="s">
        <v>1540</v>
      </c>
      <c r="N654" s="4"/>
      <c r="O654" s="2" t="s">
        <v>2523</v>
      </c>
      <c r="P654" s="2" t="s">
        <v>2523</v>
      </c>
      <c r="Q654" s="4">
        <v>0</v>
      </c>
      <c r="R654" s="2" t="s">
        <v>370</v>
      </c>
      <c r="S654" s="2" t="s">
        <v>371</v>
      </c>
      <c r="T654" s="2" t="s">
        <v>94</v>
      </c>
      <c r="U654" s="2" t="s">
        <v>408</v>
      </c>
      <c r="V654" s="2" t="s">
        <v>374</v>
      </c>
      <c r="W654" s="4">
        <v>2</v>
      </c>
      <c r="X654" s="2" t="s">
        <v>2983</v>
      </c>
      <c r="Y654" s="4">
        <v>0</v>
      </c>
      <c r="Z654" s="4" t="s">
        <v>39</v>
      </c>
      <c r="AA654" s="2" t="s">
        <v>60</v>
      </c>
      <c r="AB654" s="2" t="s">
        <v>201</v>
      </c>
      <c r="AC654" s="2" t="s">
        <v>423</v>
      </c>
      <c r="AD654" s="4">
        <v>66</v>
      </c>
      <c r="AE654" s="2" t="s">
        <v>321</v>
      </c>
      <c r="AF654" s="2" t="s">
        <v>485</v>
      </c>
      <c r="AG654" s="2" t="s">
        <v>771</v>
      </c>
      <c r="AH654" s="2" t="s">
        <v>185</v>
      </c>
      <c r="AI654" s="2" t="s">
        <v>708</v>
      </c>
      <c r="AJ654" s="4"/>
      <c r="AL654" s="4"/>
      <c r="AN654" s="4"/>
      <c r="AP654" s="4"/>
      <c r="AQ654" s="4"/>
      <c r="AS654" s="4">
        <v>1</v>
      </c>
      <c r="AT654" s="4">
        <v>0</v>
      </c>
      <c r="AU654" s="4">
        <v>1</v>
      </c>
      <c r="AV654" s="4">
        <v>1</v>
      </c>
      <c r="AW654" s="4">
        <v>0</v>
      </c>
      <c r="AX654" s="4">
        <v>0</v>
      </c>
      <c r="AZ654" s="2" t="s">
        <v>60</v>
      </c>
    </row>
    <row r="655" spans="2:52" x14ac:dyDescent="0.15">
      <c r="B655" s="2" t="s">
        <v>2396</v>
      </c>
      <c r="C655" s="2" t="s">
        <v>2533</v>
      </c>
      <c r="D655" s="2" t="s">
        <v>31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31</v>
      </c>
      <c r="H655" s="4" t="str">
        <f>VLOOKUP(G655,corpsSet!$B$5:$C$46,2,0)</f>
        <v>孙坚</v>
      </c>
      <c r="I655" s="4" t="s">
        <v>204</v>
      </c>
      <c r="J655" s="4" t="str">
        <f>VLOOKUP(I655,citySet!$B$5:$C$46,2,0)</f>
        <v>柴桑</v>
      </c>
      <c r="K655" s="2" t="s">
        <v>2534</v>
      </c>
      <c r="L655" s="2" t="s">
        <v>1717</v>
      </c>
      <c r="N655" s="4"/>
      <c r="O655" s="2" t="s">
        <v>457</v>
      </c>
      <c r="P655" s="2" t="s">
        <v>457</v>
      </c>
      <c r="Q655" s="4">
        <v>0</v>
      </c>
      <c r="R655" s="2" t="s">
        <v>370</v>
      </c>
      <c r="S655" s="2" t="s">
        <v>435</v>
      </c>
      <c r="T655" s="2" t="s">
        <v>499</v>
      </c>
      <c r="U655" s="2" t="s">
        <v>1257</v>
      </c>
      <c r="V655" s="2" t="s">
        <v>369</v>
      </c>
      <c r="W655" s="4">
        <v>1</v>
      </c>
      <c r="X655" s="2" t="s">
        <v>365</v>
      </c>
      <c r="Y655" s="4">
        <v>0</v>
      </c>
      <c r="Z655" s="4" t="s">
        <v>39</v>
      </c>
      <c r="AA655" s="2" t="s">
        <v>185</v>
      </c>
      <c r="AB655" s="2" t="s">
        <v>481</v>
      </c>
      <c r="AC655" s="2" t="s">
        <v>235</v>
      </c>
      <c r="AD655" s="4">
        <v>42</v>
      </c>
      <c r="AE655" s="2" t="s">
        <v>220</v>
      </c>
      <c r="AF655" s="2" t="s">
        <v>254</v>
      </c>
      <c r="AG655" s="2" t="s">
        <v>1264</v>
      </c>
      <c r="AH655" s="2" t="s">
        <v>185</v>
      </c>
      <c r="AI655" s="2" t="s">
        <v>668</v>
      </c>
      <c r="AJ655" s="4"/>
      <c r="AL655" s="4"/>
      <c r="AN655" s="4"/>
      <c r="AP655" s="4"/>
      <c r="AQ655" s="4"/>
      <c r="AS655" s="4">
        <v>1</v>
      </c>
      <c r="AT655" s="4">
        <v>2</v>
      </c>
      <c r="AU655" s="4">
        <v>0</v>
      </c>
      <c r="AV655" s="4">
        <v>2</v>
      </c>
      <c r="AW655" s="4">
        <v>0</v>
      </c>
      <c r="AX655" s="4">
        <v>3</v>
      </c>
      <c r="AZ655" s="2" t="s">
        <v>60</v>
      </c>
    </row>
    <row r="656" spans="2:52" x14ac:dyDescent="0.15">
      <c r="B656" s="2" t="s">
        <v>2456</v>
      </c>
      <c r="C656" s="2" t="s">
        <v>214</v>
      </c>
      <c r="D656" s="2" t="s">
        <v>31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31</v>
      </c>
      <c r="H656" s="4" t="str">
        <f>VLOOKUP(G656,corpsSet!$B$5:$C$46,2,0)</f>
        <v>孙坚</v>
      </c>
      <c r="I656" s="4" t="s">
        <v>204</v>
      </c>
      <c r="J656" s="4" t="str">
        <f>VLOOKUP(I656,citySet!$B$5:$C$46,2,0)</f>
        <v>柴桑</v>
      </c>
      <c r="K656" s="2" t="s">
        <v>2534</v>
      </c>
      <c r="L656" s="2" t="s">
        <v>993</v>
      </c>
      <c r="M656" s="2" t="s">
        <v>2535</v>
      </c>
      <c r="N656" s="4"/>
      <c r="O656" s="2" t="s">
        <v>1012</v>
      </c>
      <c r="P656" s="2" t="s">
        <v>1012</v>
      </c>
      <c r="Q656" s="4">
        <v>0</v>
      </c>
      <c r="R656" s="2" t="s">
        <v>370</v>
      </c>
      <c r="S656" s="2" t="s">
        <v>1257</v>
      </c>
      <c r="T656" s="2" t="s">
        <v>393</v>
      </c>
      <c r="U656" s="2" t="s">
        <v>626</v>
      </c>
      <c r="V656" s="2" t="s">
        <v>369</v>
      </c>
      <c r="W656" s="4">
        <v>1</v>
      </c>
      <c r="X656" s="2" t="s">
        <v>365</v>
      </c>
      <c r="Y656" s="4">
        <v>0</v>
      </c>
      <c r="Z656" s="4" t="s">
        <v>39</v>
      </c>
      <c r="AA656" s="2" t="s">
        <v>185</v>
      </c>
      <c r="AB656" s="2" t="s">
        <v>422</v>
      </c>
      <c r="AC656" s="2" t="s">
        <v>78</v>
      </c>
      <c r="AD656" s="4">
        <v>55</v>
      </c>
      <c r="AE656" s="2" t="s">
        <v>126</v>
      </c>
      <c r="AF656" s="2" t="s">
        <v>515</v>
      </c>
      <c r="AG656" s="2" t="s">
        <v>265</v>
      </c>
      <c r="AH656" s="2" t="s">
        <v>185</v>
      </c>
      <c r="AI656" s="2" t="s">
        <v>668</v>
      </c>
      <c r="AJ656" s="4" t="s">
        <v>2396</v>
      </c>
      <c r="AK656" s="2" t="s">
        <v>2533</v>
      </c>
      <c r="AL656" s="4"/>
      <c r="AN656" s="4"/>
      <c r="AP656" s="4"/>
      <c r="AQ656" s="4"/>
      <c r="AS656" s="4">
        <v>1</v>
      </c>
      <c r="AT656" s="4">
        <v>3</v>
      </c>
      <c r="AU656" s="4">
        <v>0</v>
      </c>
      <c r="AV656" s="4">
        <v>2</v>
      </c>
      <c r="AW656" s="4">
        <v>0</v>
      </c>
      <c r="AX656" s="4">
        <v>3</v>
      </c>
      <c r="AZ656" s="2" t="s">
        <v>60</v>
      </c>
    </row>
    <row r="657" spans="2:52" x14ac:dyDescent="0.15">
      <c r="B657" s="2" t="s">
        <v>2488</v>
      </c>
      <c r="C657" s="2" t="s">
        <v>2536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95</v>
      </c>
      <c r="J657" s="4" t="str">
        <f>VLOOKUP(I657,citySet!$B$5:$C$46,2,0)</f>
        <v>武陵</v>
      </c>
      <c r="K657" s="2" t="s">
        <v>2525</v>
      </c>
      <c r="L657" s="2" t="s">
        <v>2538</v>
      </c>
      <c r="M657" s="2" t="s">
        <v>2539</v>
      </c>
      <c r="N657" s="4"/>
      <c r="O657" s="2" t="s">
        <v>2537</v>
      </c>
      <c r="P657" s="2" t="s">
        <v>2537</v>
      </c>
      <c r="Q657" s="4">
        <v>0</v>
      </c>
      <c r="R657" s="2" t="s">
        <v>370</v>
      </c>
      <c r="S657" s="2" t="s">
        <v>950</v>
      </c>
      <c r="T657" s="2" t="s">
        <v>778</v>
      </c>
      <c r="U657" s="2" t="s">
        <v>487</v>
      </c>
      <c r="V657" s="2" t="s">
        <v>515</v>
      </c>
      <c r="W657" s="4">
        <v>2</v>
      </c>
      <c r="X657" s="2" t="s">
        <v>2983</v>
      </c>
      <c r="Y657" s="4">
        <v>0</v>
      </c>
      <c r="Z657" s="4" t="s">
        <v>39</v>
      </c>
      <c r="AA657" s="2" t="s">
        <v>60</v>
      </c>
      <c r="AB657" s="2" t="s">
        <v>10</v>
      </c>
      <c r="AC657" s="2" t="s">
        <v>8</v>
      </c>
      <c r="AD657" s="4">
        <v>69</v>
      </c>
      <c r="AE657" s="2" t="s">
        <v>434</v>
      </c>
      <c r="AF657" s="2" t="s">
        <v>204</v>
      </c>
      <c r="AG657" s="2" t="s">
        <v>490</v>
      </c>
      <c r="AH657" s="2" t="s">
        <v>185</v>
      </c>
      <c r="AI657" s="2" t="s">
        <v>2456</v>
      </c>
      <c r="AJ657" s="4"/>
      <c r="AL657" s="4"/>
      <c r="AN657" s="4"/>
      <c r="AP657" s="4"/>
      <c r="AQ657" s="4"/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Z657" s="2" t="s">
        <v>60</v>
      </c>
    </row>
    <row r="658" spans="2:52" x14ac:dyDescent="0.15">
      <c r="B658" s="2" t="s">
        <v>2390</v>
      </c>
      <c r="C658" s="2" t="s">
        <v>2540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98</v>
      </c>
      <c r="J658" s="4" t="str">
        <f>VLOOKUP(I658,citySet!$B$5:$C$46,2,0)</f>
        <v>云南</v>
      </c>
      <c r="K658" s="2" t="s">
        <v>2521</v>
      </c>
      <c r="L658" s="2" t="s">
        <v>2425</v>
      </c>
      <c r="M658" s="2" t="s">
        <v>2541</v>
      </c>
      <c r="N658" s="4"/>
      <c r="O658" s="2" t="s">
        <v>991</v>
      </c>
      <c r="P658" s="2" t="s">
        <v>991</v>
      </c>
      <c r="Q658" s="4">
        <v>0</v>
      </c>
      <c r="R658" s="2" t="s">
        <v>370</v>
      </c>
      <c r="S658" s="2" t="s">
        <v>961</v>
      </c>
      <c r="T658" s="2" t="s">
        <v>407</v>
      </c>
      <c r="U658" s="2" t="s">
        <v>519</v>
      </c>
      <c r="V658" s="2" t="s">
        <v>515</v>
      </c>
      <c r="W658" s="4">
        <v>2</v>
      </c>
      <c r="X658" s="2" t="s">
        <v>2983</v>
      </c>
      <c r="Y658" s="4">
        <v>0</v>
      </c>
      <c r="Z658" s="4" t="s">
        <v>39</v>
      </c>
      <c r="AA658" s="2" t="s">
        <v>60</v>
      </c>
      <c r="AB658" s="2" t="s">
        <v>19</v>
      </c>
      <c r="AC658" s="2" t="s">
        <v>119</v>
      </c>
      <c r="AD658" s="4">
        <v>66</v>
      </c>
      <c r="AE658" s="2" t="s">
        <v>422</v>
      </c>
      <c r="AF658" s="2" t="s">
        <v>261</v>
      </c>
      <c r="AG658" s="2" t="s">
        <v>1019</v>
      </c>
      <c r="AH658" s="2" t="s">
        <v>185</v>
      </c>
      <c r="AI658" s="2" t="s">
        <v>2488</v>
      </c>
      <c r="AJ658" s="4"/>
      <c r="AL658" s="4"/>
      <c r="AN658" s="4"/>
      <c r="AP658" s="4"/>
      <c r="AQ658" s="4"/>
      <c r="AS658" s="4">
        <v>0</v>
      </c>
      <c r="AT658" s="4">
        <v>1</v>
      </c>
      <c r="AU658" s="4">
        <v>0</v>
      </c>
      <c r="AV658" s="4">
        <v>0</v>
      </c>
      <c r="AW658" s="4">
        <v>2</v>
      </c>
      <c r="AX658" s="4">
        <v>0</v>
      </c>
      <c r="AZ658" s="2" t="s">
        <v>60</v>
      </c>
    </row>
    <row r="659" spans="2:52" x14ac:dyDescent="0.15">
      <c r="B659" s="2" t="s">
        <v>2413</v>
      </c>
      <c r="C659" s="2" t="s">
        <v>2542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8</v>
      </c>
      <c r="J659" s="4" t="str">
        <f>VLOOKUP(I659,citySet!$B$5:$C$46,2,0)</f>
        <v>汝南</v>
      </c>
      <c r="K659" s="2" t="s">
        <v>2521</v>
      </c>
      <c r="L659" s="2" t="s">
        <v>1421</v>
      </c>
      <c r="M659" s="2" t="s">
        <v>2544</v>
      </c>
      <c r="N659" s="4"/>
      <c r="O659" s="2" t="s">
        <v>2301</v>
      </c>
      <c r="P659" s="2" t="s">
        <v>2301</v>
      </c>
      <c r="Q659" s="4">
        <v>0</v>
      </c>
      <c r="R659" s="2" t="s">
        <v>370</v>
      </c>
      <c r="S659" s="2" t="s">
        <v>685</v>
      </c>
      <c r="T659" s="2" t="s">
        <v>327</v>
      </c>
      <c r="U659" s="2" t="s">
        <v>651</v>
      </c>
      <c r="V659" s="2" t="s">
        <v>1018</v>
      </c>
      <c r="W659" s="4">
        <v>2</v>
      </c>
      <c r="X659" s="2" t="s">
        <v>2983</v>
      </c>
      <c r="Y659" s="4">
        <v>0</v>
      </c>
      <c r="Z659" s="4" t="s">
        <v>39</v>
      </c>
      <c r="AA659" s="2" t="s">
        <v>60</v>
      </c>
      <c r="AB659" s="2" t="s">
        <v>153</v>
      </c>
      <c r="AC659" s="2" t="s">
        <v>486</v>
      </c>
      <c r="AD659" s="4">
        <v>71</v>
      </c>
      <c r="AE659" s="2" t="s">
        <v>423</v>
      </c>
      <c r="AF659" s="2" t="s">
        <v>423</v>
      </c>
      <c r="AG659" s="2" t="s">
        <v>620</v>
      </c>
      <c r="AH659" s="2" t="s">
        <v>185</v>
      </c>
      <c r="AI659" s="2" t="s">
        <v>2543</v>
      </c>
      <c r="AJ659" s="4">
        <v>66</v>
      </c>
      <c r="AK659" s="2" t="s">
        <v>3120</v>
      </c>
      <c r="AL659" s="4"/>
      <c r="AN659" s="4"/>
      <c r="AP659" s="4"/>
      <c r="AQ659" s="4"/>
      <c r="AS659" s="4">
        <v>0</v>
      </c>
      <c r="AT659" s="4">
        <v>0</v>
      </c>
      <c r="AU659" s="4">
        <v>2</v>
      </c>
      <c r="AV659" s="4">
        <v>0</v>
      </c>
      <c r="AW659" s="4">
        <v>2</v>
      </c>
      <c r="AX659" s="4">
        <v>2</v>
      </c>
      <c r="AZ659" s="2" t="s">
        <v>60</v>
      </c>
    </row>
    <row r="660" spans="2:52" x14ac:dyDescent="0.15">
      <c r="B660" s="2" t="s">
        <v>64</v>
      </c>
      <c r="C660" s="2" t="s">
        <v>2545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20</v>
      </c>
      <c r="J660" s="4" t="str">
        <f>VLOOKUP(I660,citySet!$B$5:$C$46,2,0)</f>
        <v>濮阳</v>
      </c>
      <c r="K660" s="2" t="s">
        <v>2521</v>
      </c>
      <c r="L660" s="2" t="s">
        <v>2546</v>
      </c>
      <c r="M660" s="2" t="s">
        <v>2547</v>
      </c>
      <c r="N660" s="4"/>
      <c r="O660" s="2" t="s">
        <v>2035</v>
      </c>
      <c r="P660" s="2" t="s">
        <v>2035</v>
      </c>
      <c r="Q660" s="4">
        <v>0</v>
      </c>
      <c r="R660" s="2" t="s">
        <v>370</v>
      </c>
      <c r="S660" s="2" t="s">
        <v>585</v>
      </c>
      <c r="T660" s="2" t="s">
        <v>549</v>
      </c>
      <c r="U660" s="2" t="s">
        <v>843</v>
      </c>
      <c r="V660" s="2" t="s">
        <v>208</v>
      </c>
      <c r="W660" s="4">
        <v>2</v>
      </c>
      <c r="X660" s="2" t="s">
        <v>2983</v>
      </c>
      <c r="Y660" s="4">
        <v>0</v>
      </c>
      <c r="Z660" s="4" t="s">
        <v>39</v>
      </c>
      <c r="AA660" s="2" t="s">
        <v>60</v>
      </c>
      <c r="AB660" s="2" t="s">
        <v>432</v>
      </c>
      <c r="AC660" s="2" t="s">
        <v>153</v>
      </c>
      <c r="AD660" s="4">
        <v>58</v>
      </c>
      <c r="AE660" s="2" t="s">
        <v>374</v>
      </c>
      <c r="AF660" s="2" t="s">
        <v>93</v>
      </c>
      <c r="AG660" s="2" t="s">
        <v>738</v>
      </c>
      <c r="AH660" s="2" t="s">
        <v>185</v>
      </c>
      <c r="AI660" s="2" t="s">
        <v>2413</v>
      </c>
      <c r="AJ660" s="4"/>
      <c r="AL660" s="4"/>
      <c r="AN660" s="4"/>
      <c r="AP660" s="4"/>
      <c r="AQ660" s="4"/>
      <c r="AS660" s="4">
        <v>1</v>
      </c>
      <c r="AT660" s="4">
        <v>0</v>
      </c>
      <c r="AU660" s="4">
        <v>2</v>
      </c>
      <c r="AV660" s="4">
        <v>0</v>
      </c>
      <c r="AW660" s="4">
        <v>0</v>
      </c>
      <c r="AX660" s="4">
        <v>0</v>
      </c>
      <c r="AZ660" s="2" t="s">
        <v>60</v>
      </c>
    </row>
    <row r="661" spans="2:52" x14ac:dyDescent="0.15">
      <c r="B661" s="2" t="s">
        <v>559</v>
      </c>
      <c r="C661" s="2" t="s">
        <v>2548</v>
      </c>
      <c r="D661" s="2" t="s">
        <v>30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30</v>
      </c>
      <c r="H661" s="4" t="str">
        <f>VLOOKUP(G661,corpsSet!$B$5:$C$46,2,0)</f>
        <v>袁绍</v>
      </c>
      <c r="I661" s="4" t="s">
        <v>37</v>
      </c>
      <c r="J661" s="4" t="str">
        <f>VLOOKUP(I661,citySet!$B$5:$C$46,2,0)</f>
        <v>南皮</v>
      </c>
      <c r="K661" s="2" t="s">
        <v>2521</v>
      </c>
      <c r="L661" s="2" t="s">
        <v>2550</v>
      </c>
      <c r="N661" s="4"/>
      <c r="O661" s="2" t="s">
        <v>609</v>
      </c>
      <c r="P661" s="2" t="s">
        <v>609</v>
      </c>
      <c r="Q661" s="4">
        <v>0</v>
      </c>
      <c r="R661" s="2" t="s">
        <v>370</v>
      </c>
      <c r="S661" s="2" t="s">
        <v>435</v>
      </c>
      <c r="T661" s="2" t="s">
        <v>394</v>
      </c>
      <c r="U661" s="2" t="s">
        <v>505</v>
      </c>
      <c r="V661" s="2" t="s">
        <v>561</v>
      </c>
      <c r="W661" s="4">
        <v>1</v>
      </c>
      <c r="X661" s="2" t="s">
        <v>365</v>
      </c>
      <c r="Y661" s="4">
        <v>0</v>
      </c>
      <c r="Z661" s="4" t="s">
        <v>39</v>
      </c>
      <c r="AA661" s="2" t="s">
        <v>413</v>
      </c>
      <c r="AB661" s="2" t="s">
        <v>201</v>
      </c>
      <c r="AC661" s="2" t="s">
        <v>153</v>
      </c>
      <c r="AD661" s="4">
        <v>13</v>
      </c>
      <c r="AE661" s="2" t="s">
        <v>10</v>
      </c>
      <c r="AF661" s="2" t="s">
        <v>208</v>
      </c>
      <c r="AG661" s="2" t="s">
        <v>372</v>
      </c>
      <c r="AH661" s="2" t="s">
        <v>185</v>
      </c>
      <c r="AI661" s="2" t="s">
        <v>64</v>
      </c>
      <c r="AJ661" s="4"/>
      <c r="AK661" s="2" t="s">
        <v>2549</v>
      </c>
      <c r="AL661" s="4"/>
      <c r="AN661" s="4"/>
      <c r="AP661" s="4"/>
      <c r="AQ661" s="4"/>
      <c r="AS661" s="4">
        <v>0</v>
      </c>
      <c r="AT661" s="4">
        <v>0</v>
      </c>
      <c r="AU661" s="4">
        <v>0</v>
      </c>
      <c r="AV661" s="4">
        <v>1</v>
      </c>
      <c r="AW661" s="4">
        <v>0</v>
      </c>
      <c r="AX661" s="4">
        <v>0</v>
      </c>
      <c r="AZ661" s="2" t="s">
        <v>60</v>
      </c>
    </row>
    <row r="662" spans="2:52" x14ac:dyDescent="0.15">
      <c r="B662" s="2" t="s">
        <v>2449</v>
      </c>
      <c r="C662" s="2" t="s">
        <v>2551</v>
      </c>
      <c r="D662" s="2" t="s">
        <v>30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30</v>
      </c>
      <c r="H662" s="4" t="str">
        <f>VLOOKUP(G662,corpsSet!$B$5:$C$46,2,0)</f>
        <v>袁绍</v>
      </c>
      <c r="I662" s="4" t="s">
        <v>37</v>
      </c>
      <c r="J662" s="4" t="str">
        <f>VLOOKUP(I662,citySet!$B$5:$C$46,2,0)</f>
        <v>南皮</v>
      </c>
      <c r="K662" s="2" t="s">
        <v>2521</v>
      </c>
      <c r="L662" s="2" t="s">
        <v>1182</v>
      </c>
      <c r="N662" s="4"/>
      <c r="O662" s="2" t="s">
        <v>2040</v>
      </c>
      <c r="P662" s="2" t="s">
        <v>2040</v>
      </c>
      <c r="Q662" s="4">
        <v>0</v>
      </c>
      <c r="R662" s="2" t="s">
        <v>370</v>
      </c>
      <c r="S662" s="2" t="s">
        <v>435</v>
      </c>
      <c r="T662" s="2" t="s">
        <v>957</v>
      </c>
      <c r="U662" s="2" t="s">
        <v>505</v>
      </c>
      <c r="V662" s="2" t="s">
        <v>561</v>
      </c>
      <c r="W662" s="4">
        <v>1</v>
      </c>
      <c r="X662" s="2" t="s">
        <v>365</v>
      </c>
      <c r="Y662" s="4">
        <v>0</v>
      </c>
      <c r="Z662" s="4" t="s">
        <v>39</v>
      </c>
      <c r="AA662" s="2" t="s">
        <v>413</v>
      </c>
      <c r="AB662" s="2" t="s">
        <v>3</v>
      </c>
      <c r="AC662" s="2" t="s">
        <v>515</v>
      </c>
      <c r="AD662" s="4">
        <v>12</v>
      </c>
      <c r="AE662" s="2" t="s">
        <v>105</v>
      </c>
      <c r="AF662" s="2" t="s">
        <v>25</v>
      </c>
      <c r="AG662" s="2" t="s">
        <v>435</v>
      </c>
      <c r="AH662" s="2" t="s">
        <v>185</v>
      </c>
      <c r="AI662" s="2" t="s">
        <v>64</v>
      </c>
      <c r="AJ662" s="4"/>
      <c r="AK662" s="2" t="s">
        <v>2549</v>
      </c>
      <c r="AL662" s="4"/>
      <c r="AN662" s="4"/>
      <c r="AP662" s="4"/>
      <c r="AQ662" s="4"/>
      <c r="AS662" s="4">
        <v>0</v>
      </c>
      <c r="AT662" s="4">
        <v>0</v>
      </c>
      <c r="AU662" s="4">
        <v>0</v>
      </c>
      <c r="AV662" s="4">
        <v>1</v>
      </c>
      <c r="AW662" s="4">
        <v>0</v>
      </c>
      <c r="AX662" s="4">
        <v>0</v>
      </c>
      <c r="AZ662" s="2" t="s">
        <v>60</v>
      </c>
    </row>
    <row r="663" spans="2:52" x14ac:dyDescent="0.15">
      <c r="B663" s="2" t="s">
        <v>2543</v>
      </c>
      <c r="C663" s="2" t="s">
        <v>283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29</v>
      </c>
      <c r="J663" s="4" t="str">
        <f>VLOOKUP(I663,citySet!$B$5:$C$46,2,0)</f>
        <v>下邳</v>
      </c>
      <c r="K663" s="2" t="s">
        <v>2521</v>
      </c>
      <c r="L663" s="2" t="s">
        <v>2207</v>
      </c>
      <c r="M663" s="2" t="s">
        <v>2552</v>
      </c>
      <c r="N663" s="4"/>
      <c r="O663" s="2" t="s">
        <v>697</v>
      </c>
      <c r="P663" s="2" t="s">
        <v>697</v>
      </c>
      <c r="Q663" s="4">
        <v>0</v>
      </c>
      <c r="R663" s="2" t="s">
        <v>370</v>
      </c>
      <c r="S663" s="2" t="s">
        <v>435</v>
      </c>
      <c r="T663" s="2" t="s">
        <v>759</v>
      </c>
      <c r="U663" s="2" t="s">
        <v>651</v>
      </c>
      <c r="V663" s="2" t="s">
        <v>80</v>
      </c>
      <c r="W663" s="4">
        <v>2</v>
      </c>
      <c r="X663" s="2" t="s">
        <v>2983</v>
      </c>
      <c r="Y663" s="4">
        <v>0</v>
      </c>
      <c r="Z663" s="4" t="s">
        <v>39</v>
      </c>
      <c r="AA663" s="2" t="s">
        <v>60</v>
      </c>
      <c r="AB663" s="2" t="s">
        <v>554</v>
      </c>
      <c r="AC663" s="2" t="s">
        <v>515</v>
      </c>
      <c r="AD663" s="4">
        <v>69</v>
      </c>
      <c r="AE663" s="2" t="s">
        <v>481</v>
      </c>
      <c r="AF663" s="2" t="s">
        <v>382</v>
      </c>
      <c r="AG663" s="2" t="s">
        <v>1210</v>
      </c>
      <c r="AH663" s="2" t="s">
        <v>185</v>
      </c>
      <c r="AI663" s="2" t="s">
        <v>2449</v>
      </c>
      <c r="AJ663" s="4"/>
      <c r="AL663" s="4"/>
      <c r="AN663" s="4"/>
      <c r="AP663" s="4"/>
      <c r="AQ663" s="4"/>
      <c r="AS663" s="4">
        <v>2</v>
      </c>
      <c r="AT663" s="4">
        <v>1</v>
      </c>
      <c r="AU663" s="4">
        <v>2</v>
      </c>
      <c r="AV663" s="4">
        <v>0</v>
      </c>
      <c r="AW663" s="4">
        <v>2</v>
      </c>
      <c r="AX663" s="4">
        <v>3</v>
      </c>
      <c r="AZ663" s="2" t="s">
        <v>60</v>
      </c>
    </row>
    <row r="664" spans="2:52" x14ac:dyDescent="0.15">
      <c r="B664" s="2" t="s">
        <v>2554</v>
      </c>
      <c r="C664" s="2" t="s">
        <v>3120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8</v>
      </c>
      <c r="J664" s="4" t="str">
        <f>VLOOKUP(I664,citySet!$B$5:$C$46,2,0)</f>
        <v>汝南</v>
      </c>
      <c r="K664" s="2" t="s">
        <v>2521</v>
      </c>
      <c r="L664" s="2" t="s">
        <v>905</v>
      </c>
      <c r="M664" s="2" t="s">
        <v>2553</v>
      </c>
      <c r="N664" s="4"/>
      <c r="O664" s="2" t="s">
        <v>762</v>
      </c>
      <c r="P664" s="2" t="s">
        <v>762</v>
      </c>
      <c r="Q664" s="4">
        <v>0</v>
      </c>
      <c r="R664" s="2" t="s">
        <v>370</v>
      </c>
      <c r="S664" s="2" t="s">
        <v>438</v>
      </c>
      <c r="T664" s="2" t="s">
        <v>477</v>
      </c>
      <c r="U664" s="2" t="s">
        <v>667</v>
      </c>
      <c r="V664" s="2" t="s">
        <v>1018</v>
      </c>
      <c r="W664" s="4">
        <v>2</v>
      </c>
      <c r="X664" s="2" t="s">
        <v>2983</v>
      </c>
      <c r="Y664" s="4">
        <v>0</v>
      </c>
      <c r="Z664" s="4" t="s">
        <v>39</v>
      </c>
      <c r="AA664" s="2" t="s">
        <v>60</v>
      </c>
      <c r="AB664" s="2" t="s">
        <v>261</v>
      </c>
      <c r="AC664" s="2" t="s">
        <v>382</v>
      </c>
      <c r="AD664" s="4">
        <v>74</v>
      </c>
      <c r="AE664" s="2" t="s">
        <v>481</v>
      </c>
      <c r="AF664" s="2" t="s">
        <v>454</v>
      </c>
      <c r="AG664" s="2" t="s">
        <v>1416</v>
      </c>
      <c r="AH664" s="2" t="s">
        <v>185</v>
      </c>
      <c r="AI664" s="2" t="s">
        <v>2543</v>
      </c>
      <c r="AJ664" s="4"/>
      <c r="AL664" s="4"/>
      <c r="AN664" s="4"/>
      <c r="AP664" s="4"/>
      <c r="AQ664" s="4"/>
      <c r="AS664" s="4">
        <v>1</v>
      </c>
      <c r="AT664" s="4">
        <v>0</v>
      </c>
      <c r="AU664" s="4">
        <v>2</v>
      </c>
      <c r="AV664" s="4">
        <v>0</v>
      </c>
      <c r="AW664" s="4">
        <v>2</v>
      </c>
      <c r="AX664" s="4">
        <v>2</v>
      </c>
      <c r="AZ664" s="2" t="s">
        <v>60</v>
      </c>
    </row>
    <row r="665" spans="2:52" x14ac:dyDescent="0.15">
      <c r="B665" s="2" t="s">
        <v>2010</v>
      </c>
      <c r="C665" s="2" t="s">
        <v>13</v>
      </c>
      <c r="D665" s="2" t="s">
        <v>24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24</v>
      </c>
      <c r="H665" s="4" t="str">
        <f>VLOOKUP(G665,corpsSet!$B$5:$C$46,2,0)</f>
        <v>吕布</v>
      </c>
      <c r="I665" s="4" t="s">
        <v>29</v>
      </c>
      <c r="J665" s="4" t="str">
        <f>VLOOKUP(I665,citySet!$B$5:$C$46,2,0)</f>
        <v>下邳</v>
      </c>
      <c r="K665" s="2" t="s">
        <v>2521</v>
      </c>
      <c r="L665" s="2" t="s">
        <v>1979</v>
      </c>
      <c r="M665" s="2" t="s">
        <v>2555</v>
      </c>
      <c r="N665" s="4"/>
      <c r="O665" s="2" t="s">
        <v>31</v>
      </c>
      <c r="P665" s="2" t="s">
        <v>31</v>
      </c>
      <c r="Q665" s="4">
        <v>0</v>
      </c>
      <c r="R665" s="2" t="s">
        <v>370</v>
      </c>
      <c r="S665" s="2" t="s">
        <v>435</v>
      </c>
      <c r="T665" s="2" t="s">
        <v>824</v>
      </c>
      <c r="U665" s="2" t="s">
        <v>94</v>
      </c>
      <c r="V665" s="2" t="s">
        <v>415</v>
      </c>
      <c r="W665" s="4">
        <v>3</v>
      </c>
      <c r="X665" s="2" t="s">
        <v>2</v>
      </c>
      <c r="Y665" s="4">
        <v>0</v>
      </c>
      <c r="Z665" s="4" t="s">
        <v>39</v>
      </c>
      <c r="AA665" s="2" t="s">
        <v>185</v>
      </c>
      <c r="AB665" s="2" t="s">
        <v>837</v>
      </c>
      <c r="AC665" s="2" t="s">
        <v>185</v>
      </c>
      <c r="AD665" s="4">
        <v>26</v>
      </c>
      <c r="AE665" s="2" t="s">
        <v>41</v>
      </c>
      <c r="AF665" s="2" t="s">
        <v>126</v>
      </c>
      <c r="AG665" s="2" t="s">
        <v>604</v>
      </c>
      <c r="AH665" s="2" t="s">
        <v>185</v>
      </c>
      <c r="AI665" s="2" t="s">
        <v>2554</v>
      </c>
      <c r="AJ665" s="4"/>
      <c r="AL665" s="4"/>
      <c r="AN665" s="4" t="s">
        <v>691</v>
      </c>
      <c r="AO665" s="2" t="s">
        <v>1956</v>
      </c>
      <c r="AP665" s="4"/>
      <c r="AQ665" s="4"/>
      <c r="AS665" s="4">
        <v>2</v>
      </c>
      <c r="AT665" s="4">
        <v>3</v>
      </c>
      <c r="AU665" s="4">
        <v>3</v>
      </c>
      <c r="AV665" s="4">
        <v>3</v>
      </c>
      <c r="AW665" s="4">
        <v>0</v>
      </c>
      <c r="AX665" s="4">
        <v>0</v>
      </c>
      <c r="AZ665" s="2" t="s">
        <v>60</v>
      </c>
    </row>
    <row r="666" spans="2:52" x14ac:dyDescent="0.15">
      <c r="B666" s="2" t="s">
        <v>1632</v>
      </c>
      <c r="C666" s="2" t="s">
        <v>2556</v>
      </c>
      <c r="D666" s="2" t="s">
        <v>31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31</v>
      </c>
      <c r="H666" s="4" t="str">
        <f>VLOOKUP(G666,corpsSet!$B$5:$C$46,2,0)</f>
        <v>孙坚</v>
      </c>
      <c r="I666" s="4" t="s">
        <v>204</v>
      </c>
      <c r="J666" s="4" t="str">
        <f>VLOOKUP(I666,citySet!$B$5:$C$46,2,0)</f>
        <v>柴桑</v>
      </c>
      <c r="K666" s="2" t="s">
        <v>2521</v>
      </c>
      <c r="L666" s="2" t="s">
        <v>2557</v>
      </c>
      <c r="M666" s="2" t="s">
        <v>1827</v>
      </c>
      <c r="N666" s="4"/>
      <c r="O666" s="2" t="s">
        <v>2082</v>
      </c>
      <c r="P666" s="2" t="s">
        <v>2082</v>
      </c>
      <c r="Q666" s="4">
        <v>0</v>
      </c>
      <c r="R666" s="2" t="s">
        <v>370</v>
      </c>
      <c r="S666" s="2" t="s">
        <v>467</v>
      </c>
      <c r="T666" s="2" t="s">
        <v>725</v>
      </c>
      <c r="U666" s="2" t="s">
        <v>702</v>
      </c>
      <c r="V666" s="2" t="s">
        <v>469</v>
      </c>
      <c r="W666" s="4">
        <v>1</v>
      </c>
      <c r="X666" s="2" t="s">
        <v>365</v>
      </c>
      <c r="Y666" s="4">
        <v>0</v>
      </c>
      <c r="Z666" s="4" t="s">
        <v>39</v>
      </c>
      <c r="AA666" s="2" t="s">
        <v>185</v>
      </c>
      <c r="AB666" s="2" t="s">
        <v>148</v>
      </c>
      <c r="AC666" s="2" t="s">
        <v>235</v>
      </c>
      <c r="AD666" s="4">
        <v>89</v>
      </c>
      <c r="AE666" s="2" t="s">
        <v>431</v>
      </c>
      <c r="AF666" s="2" t="s">
        <v>554</v>
      </c>
      <c r="AG666" s="2" t="s">
        <v>1775</v>
      </c>
      <c r="AH666" s="2" t="s">
        <v>185</v>
      </c>
      <c r="AI666" s="2" t="s">
        <v>2010</v>
      </c>
      <c r="AJ666" s="4"/>
      <c r="AL666" s="4"/>
      <c r="AN666" s="4"/>
      <c r="AP666" s="4"/>
      <c r="AQ666" s="4"/>
      <c r="AS666" s="4">
        <v>3</v>
      </c>
      <c r="AT666" s="4">
        <v>2</v>
      </c>
      <c r="AU666" s="4">
        <v>1</v>
      </c>
      <c r="AV666" s="4">
        <v>1</v>
      </c>
      <c r="AW666" s="4">
        <v>3</v>
      </c>
      <c r="AX666" s="4">
        <v>3</v>
      </c>
      <c r="AZ666" s="2" t="s">
        <v>60</v>
      </c>
    </row>
    <row r="667" spans="2:52" x14ac:dyDescent="0.15">
      <c r="B667" s="2" t="s">
        <v>2561</v>
      </c>
      <c r="C667" s="2" t="s">
        <v>2558</v>
      </c>
      <c r="D667" s="2" t="s">
        <v>24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24</v>
      </c>
      <c r="H667" s="4" t="str">
        <f>VLOOKUP(G667,corpsSet!$B$5:$C$46,2,0)</f>
        <v>吕布</v>
      </c>
      <c r="I667" s="4" t="s">
        <v>29</v>
      </c>
      <c r="J667" s="4" t="str">
        <f>VLOOKUP(I667,citySet!$B$5:$C$46,2,0)</f>
        <v>下邳</v>
      </c>
      <c r="K667" s="2" t="s">
        <v>2521</v>
      </c>
      <c r="L667" s="2" t="s">
        <v>2560</v>
      </c>
      <c r="N667" s="4"/>
      <c r="O667" s="2" t="s">
        <v>2559</v>
      </c>
      <c r="P667" s="2" t="s">
        <v>2559</v>
      </c>
      <c r="Q667" s="4">
        <v>1</v>
      </c>
      <c r="R667" s="2" t="s">
        <v>577</v>
      </c>
      <c r="S667" s="2" t="s">
        <v>327</v>
      </c>
      <c r="T667" s="2" t="s">
        <v>981</v>
      </c>
      <c r="U667" s="2" t="s">
        <v>94</v>
      </c>
      <c r="V667" s="2" t="s">
        <v>415</v>
      </c>
      <c r="W667" s="4">
        <v>1</v>
      </c>
      <c r="X667" s="2" t="s">
        <v>365</v>
      </c>
      <c r="Y667" s="4">
        <v>0</v>
      </c>
      <c r="Z667" s="4" t="s">
        <v>39</v>
      </c>
      <c r="AA667" s="2" t="s">
        <v>134</v>
      </c>
      <c r="AB667" s="2" t="s">
        <v>235</v>
      </c>
      <c r="AC667" s="2" t="s">
        <v>78</v>
      </c>
      <c r="AD667" s="4">
        <v>37</v>
      </c>
      <c r="AE667" s="2" t="s">
        <v>104</v>
      </c>
      <c r="AF667" s="2" t="s">
        <v>201</v>
      </c>
      <c r="AG667" s="2" t="s">
        <v>597</v>
      </c>
      <c r="AH667" s="2" t="s">
        <v>185</v>
      </c>
      <c r="AI667" s="2" t="s">
        <v>2554</v>
      </c>
      <c r="AJ667" s="4" t="s">
        <v>2010</v>
      </c>
      <c r="AK667" s="2" t="s">
        <v>13</v>
      </c>
      <c r="AL667" s="4"/>
      <c r="AN667" s="4"/>
      <c r="AP667" s="4"/>
      <c r="AQ667" s="4"/>
      <c r="AS667" s="4">
        <v>1</v>
      </c>
      <c r="AT667" s="4">
        <v>2</v>
      </c>
      <c r="AU667" s="4">
        <v>2</v>
      </c>
      <c r="AV667" s="4">
        <v>3</v>
      </c>
      <c r="AW667" s="4">
        <v>0</v>
      </c>
      <c r="AX667" s="4">
        <v>0</v>
      </c>
      <c r="AZ667" s="2" t="s">
        <v>60</v>
      </c>
    </row>
    <row r="668" spans="2:52" x14ac:dyDescent="0.15">
      <c r="B668" s="2" t="s">
        <v>2565</v>
      </c>
      <c r="C668" s="2" t="s">
        <v>2562</v>
      </c>
      <c r="D668" s="2" t="s">
        <v>41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41</v>
      </c>
      <c r="H668" s="4" t="str">
        <f>VLOOKUP(G668,corpsSet!$B$5:$C$46,2,0)</f>
        <v>公孙度</v>
      </c>
      <c r="I668" s="4" t="s">
        <v>27</v>
      </c>
      <c r="J668" s="4" t="str">
        <f>VLOOKUP(I668,citySet!$B$5:$C$46,2,0)</f>
        <v>襄平</v>
      </c>
      <c r="K668" s="2" t="s">
        <v>2563</v>
      </c>
      <c r="L668" s="2" t="s">
        <v>2564</v>
      </c>
      <c r="N668" s="4"/>
      <c r="O668" s="2" t="s">
        <v>2047</v>
      </c>
      <c r="P668" s="2" t="s">
        <v>2047</v>
      </c>
      <c r="Q668" s="4">
        <v>0</v>
      </c>
      <c r="R668" s="2" t="s">
        <v>370</v>
      </c>
      <c r="S668" s="2" t="s">
        <v>340</v>
      </c>
      <c r="T668" s="2" t="s">
        <v>425</v>
      </c>
      <c r="U668" s="2" t="s">
        <v>626</v>
      </c>
      <c r="V668" s="2" t="s">
        <v>409</v>
      </c>
      <c r="W668" s="4">
        <v>1</v>
      </c>
      <c r="X668" s="2" t="s">
        <v>365</v>
      </c>
      <c r="Y668" s="4">
        <v>7</v>
      </c>
      <c r="Z668" s="4" t="s">
        <v>3078</v>
      </c>
      <c r="AA668" s="2" t="s">
        <v>185</v>
      </c>
      <c r="AB668" s="2" t="s">
        <v>102</v>
      </c>
      <c r="AC668" s="2" t="s">
        <v>98</v>
      </c>
      <c r="AD668" s="4">
        <v>72</v>
      </c>
      <c r="AE668" s="2" t="s">
        <v>444</v>
      </c>
      <c r="AF668" s="2" t="s">
        <v>201</v>
      </c>
      <c r="AG668" s="2" t="s">
        <v>610</v>
      </c>
      <c r="AH668" s="2" t="s">
        <v>185</v>
      </c>
      <c r="AI668" s="2" t="s">
        <v>2561</v>
      </c>
      <c r="AJ668" s="4"/>
      <c r="AL668" s="4"/>
      <c r="AN668" s="4"/>
      <c r="AP668" s="4"/>
      <c r="AQ668" s="4"/>
      <c r="AS668" s="4">
        <v>0</v>
      </c>
      <c r="AT668" s="4">
        <v>0</v>
      </c>
      <c r="AU668" s="4">
        <v>0</v>
      </c>
      <c r="AV668" s="4">
        <v>1</v>
      </c>
      <c r="AW668" s="4">
        <v>1</v>
      </c>
      <c r="AX668" s="4">
        <v>0</v>
      </c>
      <c r="AZ668" s="2" t="s">
        <v>60</v>
      </c>
    </row>
    <row r="669" spans="2:52" x14ac:dyDescent="0.15">
      <c r="B669" s="2" t="s">
        <v>1163</v>
      </c>
      <c r="C669" s="2" t="s">
        <v>2566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126</v>
      </c>
      <c r="J669" s="4" t="str">
        <f>VLOOKUP(I669,citySet!$B$5:$C$46,2,0)</f>
        <v>成都</v>
      </c>
      <c r="K669" s="2" t="s">
        <v>2567</v>
      </c>
      <c r="L669" s="2" t="s">
        <v>1637</v>
      </c>
      <c r="N669" s="4"/>
      <c r="O669" s="2" t="s">
        <v>1467</v>
      </c>
      <c r="P669" s="2" t="s">
        <v>1467</v>
      </c>
      <c r="Q669" s="4">
        <v>0</v>
      </c>
      <c r="R669" s="2" t="s">
        <v>370</v>
      </c>
      <c r="S669" s="2" t="s">
        <v>90</v>
      </c>
      <c r="T669" s="2" t="s">
        <v>504</v>
      </c>
      <c r="U669" s="2" t="s">
        <v>675</v>
      </c>
      <c r="V669" s="2" t="s">
        <v>3</v>
      </c>
      <c r="W669" s="4">
        <v>2</v>
      </c>
      <c r="X669" s="2" t="s">
        <v>2983</v>
      </c>
      <c r="Y669" s="4">
        <v>0</v>
      </c>
      <c r="Z669" s="4" t="s">
        <v>39</v>
      </c>
      <c r="AA669" s="2" t="s">
        <v>60</v>
      </c>
      <c r="AB669" s="2" t="s">
        <v>515</v>
      </c>
      <c r="AC669" s="2" t="s">
        <v>554</v>
      </c>
      <c r="AD669" s="4">
        <v>68</v>
      </c>
      <c r="AE669" s="2" t="s">
        <v>226</v>
      </c>
      <c r="AF669" s="2" t="s">
        <v>189</v>
      </c>
      <c r="AG669" s="2" t="s">
        <v>597</v>
      </c>
      <c r="AH669" s="2" t="s">
        <v>185</v>
      </c>
      <c r="AI669" s="2" t="s">
        <v>2565</v>
      </c>
      <c r="AJ669" s="4"/>
      <c r="AL669" s="4"/>
      <c r="AN669" s="4"/>
      <c r="AP669" s="4"/>
      <c r="AQ669" s="4"/>
      <c r="AS669" s="4">
        <v>0</v>
      </c>
      <c r="AT669" s="4">
        <v>2</v>
      </c>
      <c r="AU669" s="4">
        <v>2</v>
      </c>
      <c r="AV669" s="4">
        <v>0</v>
      </c>
      <c r="AW669" s="4">
        <v>1</v>
      </c>
      <c r="AX669" s="4">
        <v>0</v>
      </c>
      <c r="AZ669" s="2" t="s">
        <v>60</v>
      </c>
    </row>
    <row r="670" spans="2:52" x14ac:dyDescent="0.15">
      <c r="B670" s="2" t="s">
        <v>2572</v>
      </c>
      <c r="C670" s="2" t="s">
        <v>2568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103</v>
      </c>
      <c r="J670" s="4" t="str">
        <f>VLOOKUP(I670,citySet!$B$5:$C$46,2,0)</f>
        <v>宛</v>
      </c>
      <c r="K670" s="2" t="s">
        <v>2569</v>
      </c>
      <c r="L670" s="2" t="s">
        <v>2570</v>
      </c>
      <c r="M670" s="2" t="s">
        <v>2571</v>
      </c>
      <c r="N670" s="4"/>
      <c r="O670" s="2" t="s">
        <v>2119</v>
      </c>
      <c r="P670" s="2" t="s">
        <v>2119</v>
      </c>
      <c r="Q670" s="4">
        <v>0</v>
      </c>
      <c r="R670" s="2" t="s">
        <v>370</v>
      </c>
      <c r="S670" s="2" t="s">
        <v>435</v>
      </c>
      <c r="T670" s="2" t="s">
        <v>821</v>
      </c>
      <c r="U670" s="2" t="s">
        <v>689</v>
      </c>
      <c r="V670" s="2" t="s">
        <v>98</v>
      </c>
      <c r="W670" s="4">
        <v>2</v>
      </c>
      <c r="X670" s="2" t="s">
        <v>2983</v>
      </c>
      <c r="Y670" s="4">
        <v>0</v>
      </c>
      <c r="Z670" s="4" t="s">
        <v>39</v>
      </c>
      <c r="AA670" s="2" t="s">
        <v>60</v>
      </c>
      <c r="AB670" s="2" t="s">
        <v>14</v>
      </c>
      <c r="AC670" s="2" t="s">
        <v>41</v>
      </c>
      <c r="AD670" s="4">
        <v>87</v>
      </c>
      <c r="AE670" s="2" t="s">
        <v>445</v>
      </c>
      <c r="AF670" s="2" t="s">
        <v>8</v>
      </c>
      <c r="AG670" s="2" t="s">
        <v>609</v>
      </c>
      <c r="AH670" s="2" t="s">
        <v>185</v>
      </c>
      <c r="AI670" s="2" t="s">
        <v>1163</v>
      </c>
      <c r="AJ670" s="4"/>
      <c r="AL670" s="4"/>
      <c r="AN670" s="4"/>
      <c r="AP670" s="4"/>
      <c r="AQ670" s="4"/>
      <c r="AS670" s="4">
        <v>0</v>
      </c>
      <c r="AT670" s="4">
        <v>0</v>
      </c>
      <c r="AU670" s="4">
        <v>0</v>
      </c>
      <c r="AV670" s="4">
        <v>0</v>
      </c>
      <c r="AW670" s="4">
        <v>1</v>
      </c>
      <c r="AX670" s="4">
        <v>0</v>
      </c>
      <c r="AZ670" s="2" t="s">
        <v>60</v>
      </c>
    </row>
    <row r="671" spans="2:52" x14ac:dyDescent="0.15">
      <c r="B671" s="2" t="s">
        <v>2576</v>
      </c>
      <c r="C671" s="2" t="s">
        <v>2573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32</v>
      </c>
      <c r="J671" s="4" t="str">
        <f>VLOOKUP(I671,citySet!$B$5:$C$46,2,0)</f>
        <v>小沛</v>
      </c>
      <c r="K671" s="2" t="s">
        <v>2574</v>
      </c>
      <c r="L671" s="2" t="s">
        <v>863</v>
      </c>
      <c r="M671" s="2" t="s">
        <v>2575</v>
      </c>
      <c r="N671" s="4"/>
      <c r="O671" s="2" t="s">
        <v>580</v>
      </c>
      <c r="P671" s="2" t="s">
        <v>580</v>
      </c>
      <c r="Q671" s="4">
        <v>0</v>
      </c>
      <c r="R671" s="2" t="s">
        <v>370</v>
      </c>
      <c r="S671" s="2" t="s">
        <v>368</v>
      </c>
      <c r="T671" s="2" t="s">
        <v>489</v>
      </c>
      <c r="U671" s="2" t="s">
        <v>405</v>
      </c>
      <c r="V671" s="2" t="s">
        <v>80</v>
      </c>
      <c r="W671" s="4">
        <v>2</v>
      </c>
      <c r="X671" s="2" t="s">
        <v>2983</v>
      </c>
      <c r="Y671" s="4">
        <v>0</v>
      </c>
      <c r="Z671" s="4" t="s">
        <v>39</v>
      </c>
      <c r="AA671" s="2" t="s">
        <v>60</v>
      </c>
      <c r="AB671" s="2" t="s">
        <v>189</v>
      </c>
      <c r="AC671" s="2" t="s">
        <v>10</v>
      </c>
      <c r="AD671" s="4">
        <v>67</v>
      </c>
      <c r="AE671" s="2" t="s">
        <v>422</v>
      </c>
      <c r="AF671" s="2" t="s">
        <v>329</v>
      </c>
      <c r="AG671" s="2" t="s">
        <v>645</v>
      </c>
      <c r="AH671" s="2" t="s">
        <v>185</v>
      </c>
      <c r="AI671" s="2" t="s">
        <v>2572</v>
      </c>
      <c r="AJ671" s="4"/>
      <c r="AL671" s="4"/>
      <c r="AN671" s="4"/>
      <c r="AP671" s="4"/>
      <c r="AQ671" s="4"/>
      <c r="AS671" s="4">
        <v>0</v>
      </c>
      <c r="AT671" s="4">
        <v>0</v>
      </c>
      <c r="AU671" s="4">
        <v>0</v>
      </c>
      <c r="AV671" s="4">
        <v>0</v>
      </c>
      <c r="AW671" s="4">
        <v>1</v>
      </c>
      <c r="AX671" s="4">
        <v>1</v>
      </c>
      <c r="AZ671" s="2" t="s">
        <v>60</v>
      </c>
    </row>
    <row r="672" spans="2:52" x14ac:dyDescent="0.15">
      <c r="B672" s="2" t="s">
        <v>2579</v>
      </c>
      <c r="C672" s="2" t="s">
        <v>2577</v>
      </c>
      <c r="D672" s="2" t="s">
        <v>31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31</v>
      </c>
      <c r="H672" s="4" t="str">
        <f>VLOOKUP(G672,corpsSet!$B$5:$C$46,2,0)</f>
        <v>孙坚</v>
      </c>
      <c r="I672" s="4" t="s">
        <v>204</v>
      </c>
      <c r="J672" s="4" t="str">
        <f>VLOOKUP(I672,citySet!$B$5:$C$46,2,0)</f>
        <v>柴桑</v>
      </c>
      <c r="K672" s="2" t="s">
        <v>2002</v>
      </c>
      <c r="L672" s="2" t="s">
        <v>652</v>
      </c>
      <c r="M672" s="2" t="s">
        <v>2578</v>
      </c>
      <c r="N672" s="4"/>
      <c r="O672" s="2" t="s">
        <v>1018</v>
      </c>
      <c r="P672" s="2" t="s">
        <v>1018</v>
      </c>
      <c r="Q672" s="4">
        <v>0</v>
      </c>
      <c r="R672" s="2" t="s">
        <v>370</v>
      </c>
      <c r="S672" s="2" t="s">
        <v>564</v>
      </c>
      <c r="T672" s="2" t="s">
        <v>712</v>
      </c>
      <c r="U672" s="2" t="s">
        <v>371</v>
      </c>
      <c r="V672" s="2" t="s">
        <v>469</v>
      </c>
      <c r="W672" s="4">
        <v>1</v>
      </c>
      <c r="X672" s="2" t="s">
        <v>365</v>
      </c>
      <c r="Y672" s="4">
        <v>7</v>
      </c>
      <c r="Z672" s="4" t="s">
        <v>3078</v>
      </c>
      <c r="AA672" s="2" t="s">
        <v>185</v>
      </c>
      <c r="AB672" s="2" t="s">
        <v>329</v>
      </c>
      <c r="AC672" s="2" t="s">
        <v>201</v>
      </c>
      <c r="AD672" s="4">
        <v>92</v>
      </c>
      <c r="AE672" s="2" t="s">
        <v>176</v>
      </c>
      <c r="AF672" s="2" t="s">
        <v>78</v>
      </c>
      <c r="AG672" s="2" t="s">
        <v>1781</v>
      </c>
      <c r="AH672" s="2" t="s">
        <v>185</v>
      </c>
      <c r="AI672" s="2" t="s">
        <v>2576</v>
      </c>
      <c r="AJ672" s="4"/>
      <c r="AL672" s="4"/>
      <c r="AN672" s="4"/>
      <c r="AP672" s="4"/>
      <c r="AQ672" s="4"/>
      <c r="AS672" s="4">
        <v>2</v>
      </c>
      <c r="AT672" s="4">
        <v>2</v>
      </c>
      <c r="AU672" s="4">
        <v>2</v>
      </c>
      <c r="AV672" s="4">
        <v>0</v>
      </c>
      <c r="AW672" s="4">
        <v>2</v>
      </c>
      <c r="AX672" s="4">
        <v>2</v>
      </c>
      <c r="AZ672" s="2" t="s">
        <v>60</v>
      </c>
    </row>
    <row r="673" spans="2:52" x14ac:dyDescent="0.15">
      <c r="B673" s="2" t="s">
        <v>2582</v>
      </c>
      <c r="C673" s="2" t="s">
        <v>2580</v>
      </c>
      <c r="D673" s="2" t="s">
        <v>31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31</v>
      </c>
      <c r="H673" s="4" t="str">
        <f>VLOOKUP(G673,corpsSet!$B$5:$C$46,2,0)</f>
        <v>孙坚</v>
      </c>
      <c r="I673" s="4" t="s">
        <v>204</v>
      </c>
      <c r="J673" s="4" t="str">
        <f>VLOOKUP(I673,citySet!$B$5:$C$46,2,0)</f>
        <v>柴桑</v>
      </c>
      <c r="K673" s="2" t="s">
        <v>2002</v>
      </c>
      <c r="L673" s="2" t="s">
        <v>2581</v>
      </c>
      <c r="N673" s="4"/>
      <c r="O673" s="2" t="s">
        <v>2561</v>
      </c>
      <c r="P673" s="2" t="s">
        <v>2561</v>
      </c>
      <c r="Q673" s="4">
        <v>0</v>
      </c>
      <c r="R673" s="2" t="s">
        <v>370</v>
      </c>
      <c r="S673" s="2" t="s">
        <v>395</v>
      </c>
      <c r="T673" s="2" t="s">
        <v>406</v>
      </c>
      <c r="U673" s="2" t="s">
        <v>1046</v>
      </c>
      <c r="V673" s="2" t="s">
        <v>469</v>
      </c>
      <c r="W673" s="4">
        <v>1</v>
      </c>
      <c r="X673" s="2" t="s">
        <v>365</v>
      </c>
      <c r="Y673" s="4">
        <v>0</v>
      </c>
      <c r="Z673" s="4" t="s">
        <v>39</v>
      </c>
      <c r="AA673" s="2" t="s">
        <v>185</v>
      </c>
      <c r="AB673" s="2" t="s">
        <v>515</v>
      </c>
      <c r="AC673" s="2" t="s">
        <v>19</v>
      </c>
      <c r="AD673" s="4">
        <v>74</v>
      </c>
      <c r="AE673" s="2" t="s">
        <v>434</v>
      </c>
      <c r="AF673" s="2" t="s">
        <v>261</v>
      </c>
      <c r="AG673" s="2" t="s">
        <v>615</v>
      </c>
      <c r="AH673" s="2" t="s">
        <v>185</v>
      </c>
      <c r="AI673" s="2" t="s">
        <v>2576</v>
      </c>
      <c r="AJ673" s="4" t="s">
        <v>2579</v>
      </c>
      <c r="AK673" s="2" t="s">
        <v>2577</v>
      </c>
      <c r="AL673" s="4"/>
      <c r="AN673" s="4"/>
      <c r="AP673" s="4"/>
      <c r="AQ673" s="4"/>
      <c r="AS673" s="4">
        <v>0</v>
      </c>
      <c r="AT673" s="4">
        <v>1</v>
      </c>
      <c r="AU673" s="4">
        <v>2</v>
      </c>
      <c r="AV673" s="4">
        <v>0</v>
      </c>
      <c r="AW673" s="4">
        <v>2</v>
      </c>
      <c r="AX673" s="4">
        <v>2</v>
      </c>
      <c r="AZ673" s="2" t="s">
        <v>60</v>
      </c>
    </row>
    <row r="674" spans="2:52" x14ac:dyDescent="0.15">
      <c r="B674" s="2" t="s">
        <v>2585</v>
      </c>
      <c r="C674" s="2" t="s">
        <v>2583</v>
      </c>
      <c r="D674" s="2" t="s">
        <v>208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208</v>
      </c>
      <c r="H674" s="4" t="str">
        <f>VLOOKUP(G674,corpsSet!$B$5:$C$46,2,0)</f>
        <v>何进</v>
      </c>
      <c r="I674" s="4" t="s">
        <v>104</v>
      </c>
      <c r="J674" s="4" t="str">
        <f>VLOOKUP(I674,citySet!$B$5:$C$46,2,0)</f>
        <v>长安</v>
      </c>
      <c r="K674" s="2" t="s">
        <v>2584</v>
      </c>
      <c r="L674" s="2" t="s">
        <v>894</v>
      </c>
      <c r="M674" s="2" t="s">
        <v>1519</v>
      </c>
      <c r="N674" s="4"/>
      <c r="O674" s="2" t="s">
        <v>950</v>
      </c>
      <c r="P674" s="2" t="s">
        <v>950</v>
      </c>
      <c r="Q674" s="4">
        <v>0</v>
      </c>
      <c r="R674" s="2" t="s">
        <v>370</v>
      </c>
      <c r="S674" s="2" t="s">
        <v>435</v>
      </c>
      <c r="T674" s="2" t="s">
        <v>664</v>
      </c>
      <c r="U674" s="2" t="s">
        <v>585</v>
      </c>
      <c r="V674" s="2" t="s">
        <v>481</v>
      </c>
      <c r="W674" s="4">
        <v>1</v>
      </c>
      <c r="X674" s="2" t="s">
        <v>365</v>
      </c>
      <c r="Y674" s="4">
        <v>4</v>
      </c>
      <c r="Z674" s="4" t="s">
        <v>1091</v>
      </c>
      <c r="AA674" s="2" t="s">
        <v>185</v>
      </c>
      <c r="AB674" s="2" t="s">
        <v>258</v>
      </c>
      <c r="AC674" s="2" t="s">
        <v>382</v>
      </c>
      <c r="AD674" s="4">
        <v>82</v>
      </c>
      <c r="AE674" s="2" t="s">
        <v>256</v>
      </c>
      <c r="AF674" s="2" t="s">
        <v>235</v>
      </c>
      <c r="AG674" s="2" t="s">
        <v>1875</v>
      </c>
      <c r="AH674" s="2" t="s">
        <v>185</v>
      </c>
      <c r="AI674" s="2" t="s">
        <v>2582</v>
      </c>
      <c r="AJ674" s="4"/>
      <c r="AL674" s="4"/>
      <c r="AN674" s="4"/>
      <c r="AP674" s="4"/>
      <c r="AQ674" s="4"/>
      <c r="AS674" s="4">
        <v>2</v>
      </c>
      <c r="AT674" s="4">
        <v>1</v>
      </c>
      <c r="AU674" s="4">
        <v>3</v>
      </c>
      <c r="AV674" s="4">
        <v>2</v>
      </c>
      <c r="AW674" s="4">
        <v>1</v>
      </c>
      <c r="AX674" s="4">
        <v>0</v>
      </c>
      <c r="AZ674" s="2" t="s">
        <v>60</v>
      </c>
    </row>
    <row r="675" spans="2:52" x14ac:dyDescent="0.15">
      <c r="B675" s="2" t="s">
        <v>2586</v>
      </c>
      <c r="C675" s="2" t="s">
        <v>2917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52</v>
      </c>
      <c r="L675" s="2" t="s">
        <v>2984</v>
      </c>
      <c r="N675" s="4"/>
      <c r="O675" s="2" t="s">
        <v>60</v>
      </c>
      <c r="P675" s="2" t="s">
        <v>60</v>
      </c>
      <c r="Q675" s="4">
        <v>0</v>
      </c>
      <c r="S675" s="2" t="s">
        <v>435</v>
      </c>
      <c r="T675" s="2" t="s">
        <v>499</v>
      </c>
      <c r="U675" s="2" t="s">
        <v>372</v>
      </c>
      <c r="V675" s="2" t="s">
        <v>60</v>
      </c>
      <c r="W675" s="4">
        <v>0</v>
      </c>
      <c r="Y675" s="4">
        <v>0</v>
      </c>
      <c r="Z675" s="4" t="s">
        <v>39</v>
      </c>
      <c r="AA675" s="2" t="s">
        <v>60</v>
      </c>
      <c r="AB675" s="2" t="s">
        <v>4</v>
      </c>
      <c r="AC675" s="2" t="s">
        <v>4</v>
      </c>
      <c r="AD675" s="4">
        <v>50</v>
      </c>
      <c r="AE675" s="2" t="s">
        <v>4</v>
      </c>
      <c r="AF675" s="2" t="s">
        <v>4</v>
      </c>
      <c r="AG675" s="2" t="s">
        <v>487</v>
      </c>
      <c r="AH675" s="2" t="s">
        <v>185</v>
      </c>
      <c r="AI675" s="2" t="s">
        <v>2585</v>
      </c>
      <c r="AJ675" s="4"/>
      <c r="AL675" s="4"/>
      <c r="AN675" s="4"/>
      <c r="AP675" s="4"/>
      <c r="AQ675" s="4"/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Z675" s="2" t="s">
        <v>60</v>
      </c>
    </row>
    <row r="676" spans="2:52" x14ac:dyDescent="0.15">
      <c r="B676" s="2" t="s">
        <v>792</v>
      </c>
      <c r="C676" s="2" t="s">
        <v>2918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52</v>
      </c>
      <c r="L676" s="2" t="s">
        <v>2985</v>
      </c>
      <c r="N676" s="4"/>
      <c r="O676" s="2" t="s">
        <v>60</v>
      </c>
      <c r="P676" s="2" t="s">
        <v>60</v>
      </c>
      <c r="Q676" s="4">
        <v>0</v>
      </c>
      <c r="S676" s="2" t="s">
        <v>435</v>
      </c>
      <c r="T676" s="2" t="s">
        <v>499</v>
      </c>
      <c r="U676" s="2" t="s">
        <v>372</v>
      </c>
      <c r="V676" s="2" t="s">
        <v>60</v>
      </c>
      <c r="W676" s="4">
        <v>0</v>
      </c>
      <c r="Y676" s="4">
        <v>0</v>
      </c>
      <c r="Z676" s="4" t="s">
        <v>39</v>
      </c>
      <c r="AA676" s="2" t="s">
        <v>60</v>
      </c>
      <c r="AB676" s="2" t="s">
        <v>4</v>
      </c>
      <c r="AC676" s="2" t="s">
        <v>4</v>
      </c>
      <c r="AD676" s="4">
        <v>50</v>
      </c>
      <c r="AE676" s="2" t="s">
        <v>4</v>
      </c>
      <c r="AF676" s="2" t="s">
        <v>4</v>
      </c>
      <c r="AG676" s="2" t="s">
        <v>487</v>
      </c>
      <c r="AH676" s="2" t="s">
        <v>185</v>
      </c>
      <c r="AI676" s="2" t="s">
        <v>2586</v>
      </c>
      <c r="AJ676" s="4"/>
      <c r="AL676" s="4"/>
      <c r="AN676" s="4"/>
      <c r="AP676" s="4"/>
      <c r="AQ676" s="4"/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Z676" s="2" t="s">
        <v>60</v>
      </c>
    </row>
    <row r="677" spans="2:52" x14ac:dyDescent="0.15">
      <c r="B677" s="2" t="s">
        <v>2587</v>
      </c>
      <c r="C677" s="2" t="s">
        <v>2919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52</v>
      </c>
      <c r="L677" s="2" t="s">
        <v>2986</v>
      </c>
      <c r="N677" s="4"/>
      <c r="O677" s="2" t="s">
        <v>60</v>
      </c>
      <c r="P677" s="2" t="s">
        <v>60</v>
      </c>
      <c r="Q677" s="4">
        <v>0</v>
      </c>
      <c r="S677" s="2" t="s">
        <v>435</v>
      </c>
      <c r="T677" s="2" t="s">
        <v>499</v>
      </c>
      <c r="U677" s="2" t="s">
        <v>372</v>
      </c>
      <c r="V677" s="2" t="s">
        <v>60</v>
      </c>
      <c r="W677" s="4">
        <v>0</v>
      </c>
      <c r="Y677" s="4">
        <v>0</v>
      </c>
      <c r="Z677" s="4" t="s">
        <v>39</v>
      </c>
      <c r="AA677" s="2" t="s">
        <v>60</v>
      </c>
      <c r="AB677" s="2" t="s">
        <v>4</v>
      </c>
      <c r="AC677" s="2" t="s">
        <v>4</v>
      </c>
      <c r="AD677" s="4">
        <v>50</v>
      </c>
      <c r="AE677" s="2" t="s">
        <v>4</v>
      </c>
      <c r="AF677" s="2" t="s">
        <v>4</v>
      </c>
      <c r="AG677" s="2" t="s">
        <v>487</v>
      </c>
      <c r="AH677" s="2" t="s">
        <v>185</v>
      </c>
      <c r="AI677" s="2" t="s">
        <v>792</v>
      </c>
      <c r="AJ677" s="4"/>
      <c r="AL677" s="4"/>
      <c r="AN677" s="4"/>
      <c r="AP677" s="4"/>
      <c r="AQ677" s="4"/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Z677" s="2" t="s">
        <v>60</v>
      </c>
    </row>
    <row r="678" spans="2:52" x14ac:dyDescent="0.15">
      <c r="B678" s="2" t="s">
        <v>2588</v>
      </c>
      <c r="C678" s="2" t="s">
        <v>2920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52</v>
      </c>
      <c r="L678" s="2" t="s">
        <v>2987</v>
      </c>
      <c r="N678" s="4"/>
      <c r="O678" s="2" t="s">
        <v>60</v>
      </c>
      <c r="P678" s="2" t="s">
        <v>60</v>
      </c>
      <c r="Q678" s="4">
        <v>0</v>
      </c>
      <c r="S678" s="2" t="s">
        <v>435</v>
      </c>
      <c r="T678" s="2" t="s">
        <v>499</v>
      </c>
      <c r="U678" s="2" t="s">
        <v>372</v>
      </c>
      <c r="V678" s="2" t="s">
        <v>60</v>
      </c>
      <c r="W678" s="4">
        <v>0</v>
      </c>
      <c r="Y678" s="4">
        <v>0</v>
      </c>
      <c r="Z678" s="4" t="s">
        <v>39</v>
      </c>
      <c r="AA678" s="2" t="s">
        <v>60</v>
      </c>
      <c r="AB678" s="2" t="s">
        <v>4</v>
      </c>
      <c r="AC678" s="2" t="s">
        <v>4</v>
      </c>
      <c r="AD678" s="4">
        <v>50</v>
      </c>
      <c r="AE678" s="2" t="s">
        <v>4</v>
      </c>
      <c r="AF678" s="2" t="s">
        <v>4</v>
      </c>
      <c r="AG678" s="2" t="s">
        <v>487</v>
      </c>
      <c r="AH678" s="2" t="s">
        <v>185</v>
      </c>
      <c r="AI678" s="2" t="s">
        <v>2587</v>
      </c>
      <c r="AJ678" s="4"/>
      <c r="AL678" s="4"/>
      <c r="AN678" s="4"/>
      <c r="AP678" s="4"/>
      <c r="AQ678" s="4"/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Z678" s="2" t="s">
        <v>60</v>
      </c>
    </row>
    <row r="679" spans="2:52" x14ac:dyDescent="0.15">
      <c r="B679" s="2" t="s">
        <v>2589</v>
      </c>
      <c r="C679" s="2" t="s">
        <v>2921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52</v>
      </c>
      <c r="L679" s="2" t="s">
        <v>2988</v>
      </c>
      <c r="N679" s="4"/>
      <c r="O679" s="2" t="s">
        <v>60</v>
      </c>
      <c r="P679" s="2" t="s">
        <v>60</v>
      </c>
      <c r="Q679" s="4">
        <v>0</v>
      </c>
      <c r="S679" s="2" t="s">
        <v>435</v>
      </c>
      <c r="T679" s="2" t="s">
        <v>499</v>
      </c>
      <c r="U679" s="2" t="s">
        <v>372</v>
      </c>
      <c r="V679" s="2" t="s">
        <v>60</v>
      </c>
      <c r="W679" s="4">
        <v>0</v>
      </c>
      <c r="Y679" s="4">
        <v>0</v>
      </c>
      <c r="Z679" s="4" t="s">
        <v>39</v>
      </c>
      <c r="AA679" s="2" t="s">
        <v>60</v>
      </c>
      <c r="AB679" s="2" t="s">
        <v>4</v>
      </c>
      <c r="AC679" s="2" t="s">
        <v>4</v>
      </c>
      <c r="AD679" s="4">
        <v>50</v>
      </c>
      <c r="AE679" s="2" t="s">
        <v>4</v>
      </c>
      <c r="AF679" s="2" t="s">
        <v>4</v>
      </c>
      <c r="AG679" s="2" t="s">
        <v>487</v>
      </c>
      <c r="AH679" s="2" t="s">
        <v>185</v>
      </c>
      <c r="AI679" s="2" t="s">
        <v>2588</v>
      </c>
      <c r="AJ679" s="4"/>
      <c r="AL679" s="4"/>
      <c r="AN679" s="4"/>
      <c r="AP679" s="4"/>
      <c r="AQ679" s="4"/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Z679" s="2" t="s">
        <v>60</v>
      </c>
    </row>
    <row r="680" spans="2:52" x14ac:dyDescent="0.15">
      <c r="B680" s="2" t="s">
        <v>2590</v>
      </c>
      <c r="C680" s="2" t="s">
        <v>2922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52</v>
      </c>
      <c r="L680" s="2" t="s">
        <v>2989</v>
      </c>
      <c r="N680" s="4"/>
      <c r="O680" s="2" t="s">
        <v>60</v>
      </c>
      <c r="P680" s="2" t="s">
        <v>60</v>
      </c>
      <c r="Q680" s="4">
        <v>0</v>
      </c>
      <c r="S680" s="2" t="s">
        <v>435</v>
      </c>
      <c r="T680" s="2" t="s">
        <v>499</v>
      </c>
      <c r="U680" s="2" t="s">
        <v>372</v>
      </c>
      <c r="V680" s="2" t="s">
        <v>60</v>
      </c>
      <c r="W680" s="4">
        <v>0</v>
      </c>
      <c r="Y680" s="4">
        <v>0</v>
      </c>
      <c r="Z680" s="4" t="s">
        <v>39</v>
      </c>
      <c r="AA680" s="2" t="s">
        <v>60</v>
      </c>
      <c r="AB680" s="2" t="s">
        <v>4</v>
      </c>
      <c r="AC680" s="2" t="s">
        <v>4</v>
      </c>
      <c r="AD680" s="4">
        <v>50</v>
      </c>
      <c r="AE680" s="2" t="s">
        <v>4</v>
      </c>
      <c r="AF680" s="2" t="s">
        <v>4</v>
      </c>
      <c r="AG680" s="2" t="s">
        <v>487</v>
      </c>
      <c r="AH680" s="2" t="s">
        <v>185</v>
      </c>
      <c r="AI680" s="2" t="s">
        <v>2589</v>
      </c>
      <c r="AJ680" s="4"/>
      <c r="AL680" s="4"/>
      <c r="AN680" s="4"/>
      <c r="AP680" s="4"/>
      <c r="AQ680" s="4"/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Z680" s="2" t="s">
        <v>60</v>
      </c>
    </row>
    <row r="681" spans="2:52" x14ac:dyDescent="0.15">
      <c r="B681" s="2" t="s">
        <v>2591</v>
      </c>
      <c r="C681" s="2" t="s">
        <v>2923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52</v>
      </c>
      <c r="L681" s="2" t="s">
        <v>2990</v>
      </c>
      <c r="N681" s="4"/>
      <c r="O681" s="2" t="s">
        <v>60</v>
      </c>
      <c r="P681" s="2" t="s">
        <v>60</v>
      </c>
      <c r="Q681" s="4">
        <v>0</v>
      </c>
      <c r="S681" s="2" t="s">
        <v>435</v>
      </c>
      <c r="T681" s="2" t="s">
        <v>499</v>
      </c>
      <c r="U681" s="2" t="s">
        <v>372</v>
      </c>
      <c r="V681" s="2" t="s">
        <v>60</v>
      </c>
      <c r="W681" s="4">
        <v>0</v>
      </c>
      <c r="Y681" s="4">
        <v>0</v>
      </c>
      <c r="Z681" s="4" t="s">
        <v>39</v>
      </c>
      <c r="AA681" s="2" t="s">
        <v>60</v>
      </c>
      <c r="AB681" s="2" t="s">
        <v>4</v>
      </c>
      <c r="AC681" s="2" t="s">
        <v>4</v>
      </c>
      <c r="AD681" s="4">
        <v>50</v>
      </c>
      <c r="AE681" s="2" t="s">
        <v>4</v>
      </c>
      <c r="AF681" s="2" t="s">
        <v>4</v>
      </c>
      <c r="AG681" s="2" t="s">
        <v>487</v>
      </c>
      <c r="AH681" s="2" t="s">
        <v>185</v>
      </c>
      <c r="AI681" s="2" t="s">
        <v>2590</v>
      </c>
      <c r="AJ681" s="4"/>
      <c r="AL681" s="4"/>
      <c r="AN681" s="4"/>
      <c r="AP681" s="4"/>
      <c r="AQ681" s="4"/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Z681" s="2" t="s">
        <v>60</v>
      </c>
    </row>
    <row r="682" spans="2:52" x14ac:dyDescent="0.15">
      <c r="B682" s="2" t="s">
        <v>1466</v>
      </c>
      <c r="C682" s="2" t="s">
        <v>2924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52</v>
      </c>
      <c r="L682" s="2" t="s">
        <v>2991</v>
      </c>
      <c r="N682" s="4"/>
      <c r="O682" s="2" t="s">
        <v>60</v>
      </c>
      <c r="P682" s="2" t="s">
        <v>60</v>
      </c>
      <c r="Q682" s="4">
        <v>0</v>
      </c>
      <c r="S682" s="2" t="s">
        <v>435</v>
      </c>
      <c r="T682" s="2" t="s">
        <v>499</v>
      </c>
      <c r="U682" s="2" t="s">
        <v>372</v>
      </c>
      <c r="V682" s="2" t="s">
        <v>60</v>
      </c>
      <c r="W682" s="4">
        <v>0</v>
      </c>
      <c r="Y682" s="4">
        <v>0</v>
      </c>
      <c r="Z682" s="4" t="s">
        <v>39</v>
      </c>
      <c r="AA682" s="2" t="s">
        <v>60</v>
      </c>
      <c r="AB682" s="2" t="s">
        <v>4</v>
      </c>
      <c r="AC682" s="2" t="s">
        <v>4</v>
      </c>
      <c r="AD682" s="4">
        <v>50</v>
      </c>
      <c r="AE682" s="2" t="s">
        <v>4</v>
      </c>
      <c r="AF682" s="2" t="s">
        <v>4</v>
      </c>
      <c r="AG682" s="2" t="s">
        <v>487</v>
      </c>
      <c r="AH682" s="2" t="s">
        <v>185</v>
      </c>
      <c r="AI682" s="2" t="s">
        <v>2591</v>
      </c>
      <c r="AJ682" s="4"/>
      <c r="AL682" s="4"/>
      <c r="AN682" s="4"/>
      <c r="AP682" s="4"/>
      <c r="AQ682" s="4"/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Z682" s="2" t="s">
        <v>60</v>
      </c>
    </row>
    <row r="683" spans="2:52" x14ac:dyDescent="0.15">
      <c r="B683" s="2" t="s">
        <v>2592</v>
      </c>
      <c r="C683" s="2" t="s">
        <v>2925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52</v>
      </c>
      <c r="L683" s="2" t="s">
        <v>2992</v>
      </c>
      <c r="N683" s="4"/>
      <c r="O683" s="2" t="s">
        <v>60</v>
      </c>
      <c r="P683" s="2" t="s">
        <v>60</v>
      </c>
      <c r="Q683" s="4">
        <v>0</v>
      </c>
      <c r="S683" s="2" t="s">
        <v>435</v>
      </c>
      <c r="T683" s="2" t="s">
        <v>499</v>
      </c>
      <c r="U683" s="2" t="s">
        <v>372</v>
      </c>
      <c r="V683" s="2" t="s">
        <v>60</v>
      </c>
      <c r="W683" s="4">
        <v>0</v>
      </c>
      <c r="Y683" s="4">
        <v>0</v>
      </c>
      <c r="Z683" s="4" t="s">
        <v>39</v>
      </c>
      <c r="AA683" s="2" t="s">
        <v>60</v>
      </c>
      <c r="AB683" s="2" t="s">
        <v>4</v>
      </c>
      <c r="AC683" s="2" t="s">
        <v>4</v>
      </c>
      <c r="AD683" s="4">
        <v>50</v>
      </c>
      <c r="AE683" s="2" t="s">
        <v>4</v>
      </c>
      <c r="AF683" s="2" t="s">
        <v>4</v>
      </c>
      <c r="AG683" s="2" t="s">
        <v>487</v>
      </c>
      <c r="AH683" s="2" t="s">
        <v>185</v>
      </c>
      <c r="AI683" s="2" t="s">
        <v>1466</v>
      </c>
      <c r="AJ683" s="4"/>
      <c r="AL683" s="4"/>
      <c r="AN683" s="4"/>
      <c r="AP683" s="4"/>
      <c r="AQ683" s="4"/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Z683" s="2" t="s">
        <v>60</v>
      </c>
    </row>
    <row r="684" spans="2:52" x14ac:dyDescent="0.15">
      <c r="B684" s="2" t="s">
        <v>2240</v>
      </c>
      <c r="C684" s="2" t="s">
        <v>2926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52</v>
      </c>
      <c r="L684" s="2" t="s">
        <v>2993</v>
      </c>
      <c r="N684" s="4"/>
      <c r="O684" s="2" t="s">
        <v>60</v>
      </c>
      <c r="P684" s="2" t="s">
        <v>60</v>
      </c>
      <c r="Q684" s="4">
        <v>0</v>
      </c>
      <c r="S684" s="2" t="s">
        <v>435</v>
      </c>
      <c r="T684" s="2" t="s">
        <v>499</v>
      </c>
      <c r="U684" s="2" t="s">
        <v>372</v>
      </c>
      <c r="V684" s="2" t="s">
        <v>60</v>
      </c>
      <c r="W684" s="4">
        <v>0</v>
      </c>
      <c r="Y684" s="4">
        <v>0</v>
      </c>
      <c r="Z684" s="4" t="s">
        <v>39</v>
      </c>
      <c r="AA684" s="2" t="s">
        <v>60</v>
      </c>
      <c r="AB684" s="2" t="s">
        <v>4</v>
      </c>
      <c r="AC684" s="2" t="s">
        <v>4</v>
      </c>
      <c r="AD684" s="4">
        <v>50</v>
      </c>
      <c r="AE684" s="2" t="s">
        <v>4</v>
      </c>
      <c r="AF684" s="2" t="s">
        <v>4</v>
      </c>
      <c r="AG684" s="2" t="s">
        <v>487</v>
      </c>
      <c r="AH684" s="2" t="s">
        <v>185</v>
      </c>
      <c r="AI684" s="2" t="s">
        <v>2592</v>
      </c>
      <c r="AJ684" s="4"/>
      <c r="AL684" s="4"/>
      <c r="AN684" s="4"/>
      <c r="AP684" s="4"/>
      <c r="AQ684" s="4"/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Z684" s="2" t="s">
        <v>60</v>
      </c>
    </row>
    <row r="685" spans="2:52" x14ac:dyDescent="0.15">
      <c r="B685" s="2" t="s">
        <v>1918</v>
      </c>
      <c r="C685" s="2" t="s">
        <v>2927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52</v>
      </c>
      <c r="L685" s="2" t="s">
        <v>2994</v>
      </c>
      <c r="N685" s="4"/>
      <c r="O685" s="2" t="s">
        <v>60</v>
      </c>
      <c r="P685" s="2" t="s">
        <v>60</v>
      </c>
      <c r="Q685" s="4">
        <v>0</v>
      </c>
      <c r="S685" s="2" t="s">
        <v>435</v>
      </c>
      <c r="T685" s="2" t="s">
        <v>499</v>
      </c>
      <c r="U685" s="2" t="s">
        <v>372</v>
      </c>
      <c r="V685" s="2" t="s">
        <v>60</v>
      </c>
      <c r="W685" s="4">
        <v>0</v>
      </c>
      <c r="Y685" s="4">
        <v>0</v>
      </c>
      <c r="Z685" s="4" t="s">
        <v>39</v>
      </c>
      <c r="AA685" s="2" t="s">
        <v>60</v>
      </c>
      <c r="AB685" s="2" t="s">
        <v>4</v>
      </c>
      <c r="AC685" s="2" t="s">
        <v>4</v>
      </c>
      <c r="AD685" s="4">
        <v>50</v>
      </c>
      <c r="AE685" s="2" t="s">
        <v>4</v>
      </c>
      <c r="AF685" s="2" t="s">
        <v>4</v>
      </c>
      <c r="AG685" s="2" t="s">
        <v>487</v>
      </c>
      <c r="AH685" s="2" t="s">
        <v>185</v>
      </c>
      <c r="AI685" s="2" t="s">
        <v>2240</v>
      </c>
      <c r="AJ685" s="4"/>
      <c r="AL685" s="4"/>
      <c r="AN685" s="4"/>
      <c r="AP685" s="4"/>
      <c r="AQ685" s="4"/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Z685" s="2" t="s">
        <v>60</v>
      </c>
    </row>
    <row r="686" spans="2:52" x14ac:dyDescent="0.15">
      <c r="B686" s="2" t="s">
        <v>2593</v>
      </c>
      <c r="C686" s="2" t="s">
        <v>2928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52</v>
      </c>
      <c r="L686" s="2" t="s">
        <v>2995</v>
      </c>
      <c r="N686" s="4"/>
      <c r="O686" s="2" t="s">
        <v>60</v>
      </c>
      <c r="P686" s="2" t="s">
        <v>60</v>
      </c>
      <c r="Q686" s="4">
        <v>0</v>
      </c>
      <c r="S686" s="2" t="s">
        <v>435</v>
      </c>
      <c r="T686" s="2" t="s">
        <v>499</v>
      </c>
      <c r="U686" s="2" t="s">
        <v>372</v>
      </c>
      <c r="V686" s="2" t="s">
        <v>60</v>
      </c>
      <c r="W686" s="4">
        <v>0</v>
      </c>
      <c r="Y686" s="4">
        <v>0</v>
      </c>
      <c r="Z686" s="4" t="s">
        <v>39</v>
      </c>
      <c r="AA686" s="2" t="s">
        <v>60</v>
      </c>
      <c r="AB686" s="2" t="s">
        <v>4</v>
      </c>
      <c r="AC686" s="2" t="s">
        <v>4</v>
      </c>
      <c r="AD686" s="4">
        <v>50</v>
      </c>
      <c r="AE686" s="2" t="s">
        <v>4</v>
      </c>
      <c r="AF686" s="2" t="s">
        <v>4</v>
      </c>
      <c r="AG686" s="2" t="s">
        <v>487</v>
      </c>
      <c r="AH686" s="2" t="s">
        <v>185</v>
      </c>
      <c r="AI686" s="2" t="s">
        <v>1918</v>
      </c>
      <c r="AJ686" s="4"/>
      <c r="AL686" s="4"/>
      <c r="AN686" s="4"/>
      <c r="AP686" s="4"/>
      <c r="AQ686" s="4"/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Z686" s="2" t="s">
        <v>60</v>
      </c>
    </row>
    <row r="687" spans="2:52" x14ac:dyDescent="0.15">
      <c r="B687" s="2" t="s">
        <v>2594</v>
      </c>
      <c r="C687" s="2" t="s">
        <v>2929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52</v>
      </c>
      <c r="L687" s="2" t="s">
        <v>2996</v>
      </c>
      <c r="N687" s="4"/>
      <c r="O687" s="2" t="s">
        <v>60</v>
      </c>
      <c r="P687" s="2" t="s">
        <v>60</v>
      </c>
      <c r="Q687" s="4">
        <v>0</v>
      </c>
      <c r="S687" s="2" t="s">
        <v>435</v>
      </c>
      <c r="T687" s="2" t="s">
        <v>499</v>
      </c>
      <c r="U687" s="2" t="s">
        <v>372</v>
      </c>
      <c r="V687" s="2" t="s">
        <v>60</v>
      </c>
      <c r="W687" s="4">
        <v>0</v>
      </c>
      <c r="Y687" s="4">
        <v>0</v>
      </c>
      <c r="Z687" s="4" t="s">
        <v>39</v>
      </c>
      <c r="AA687" s="2" t="s">
        <v>60</v>
      </c>
      <c r="AB687" s="2" t="s">
        <v>4</v>
      </c>
      <c r="AC687" s="2" t="s">
        <v>4</v>
      </c>
      <c r="AD687" s="4">
        <v>50</v>
      </c>
      <c r="AE687" s="2" t="s">
        <v>4</v>
      </c>
      <c r="AF687" s="2" t="s">
        <v>4</v>
      </c>
      <c r="AG687" s="2" t="s">
        <v>487</v>
      </c>
      <c r="AH687" s="2" t="s">
        <v>185</v>
      </c>
      <c r="AI687" s="2" t="s">
        <v>2593</v>
      </c>
      <c r="AJ687" s="4"/>
      <c r="AL687" s="4"/>
      <c r="AN687" s="4"/>
      <c r="AP687" s="4"/>
      <c r="AQ687" s="4"/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Z687" s="2" t="s">
        <v>60</v>
      </c>
    </row>
    <row r="688" spans="2:52" x14ac:dyDescent="0.15">
      <c r="B688" s="2" t="s">
        <v>2595</v>
      </c>
      <c r="C688" s="2" t="s">
        <v>2930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52</v>
      </c>
      <c r="L688" s="2" t="s">
        <v>2997</v>
      </c>
      <c r="N688" s="4"/>
      <c r="O688" s="2" t="s">
        <v>60</v>
      </c>
      <c r="P688" s="2" t="s">
        <v>60</v>
      </c>
      <c r="Q688" s="4">
        <v>0</v>
      </c>
      <c r="S688" s="2" t="s">
        <v>435</v>
      </c>
      <c r="T688" s="2" t="s">
        <v>499</v>
      </c>
      <c r="U688" s="2" t="s">
        <v>372</v>
      </c>
      <c r="V688" s="2" t="s">
        <v>60</v>
      </c>
      <c r="W688" s="4">
        <v>0</v>
      </c>
      <c r="Y688" s="4">
        <v>0</v>
      </c>
      <c r="Z688" s="4" t="s">
        <v>39</v>
      </c>
      <c r="AA688" s="2" t="s">
        <v>60</v>
      </c>
      <c r="AB688" s="2" t="s">
        <v>4</v>
      </c>
      <c r="AC688" s="2" t="s">
        <v>4</v>
      </c>
      <c r="AD688" s="4">
        <v>50</v>
      </c>
      <c r="AE688" s="2" t="s">
        <v>4</v>
      </c>
      <c r="AF688" s="2" t="s">
        <v>4</v>
      </c>
      <c r="AG688" s="2" t="s">
        <v>487</v>
      </c>
      <c r="AH688" s="2" t="s">
        <v>185</v>
      </c>
      <c r="AI688" s="2" t="s">
        <v>2594</v>
      </c>
      <c r="AJ688" s="4"/>
      <c r="AL688" s="4"/>
      <c r="AN688" s="4"/>
      <c r="AP688" s="4"/>
      <c r="AQ688" s="4"/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Z688" s="2" t="s">
        <v>60</v>
      </c>
    </row>
    <row r="689" spans="2:52" x14ac:dyDescent="0.15">
      <c r="B689" s="2" t="s">
        <v>2596</v>
      </c>
      <c r="C689" s="2" t="s">
        <v>2931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52</v>
      </c>
      <c r="L689" s="2" t="s">
        <v>2998</v>
      </c>
      <c r="N689" s="4"/>
      <c r="O689" s="2" t="s">
        <v>60</v>
      </c>
      <c r="P689" s="2" t="s">
        <v>60</v>
      </c>
      <c r="Q689" s="4">
        <v>0</v>
      </c>
      <c r="S689" s="2" t="s">
        <v>435</v>
      </c>
      <c r="T689" s="2" t="s">
        <v>499</v>
      </c>
      <c r="U689" s="2" t="s">
        <v>372</v>
      </c>
      <c r="V689" s="2" t="s">
        <v>60</v>
      </c>
      <c r="W689" s="4">
        <v>0</v>
      </c>
      <c r="Y689" s="4">
        <v>0</v>
      </c>
      <c r="Z689" s="4" t="s">
        <v>39</v>
      </c>
      <c r="AA689" s="2" t="s">
        <v>60</v>
      </c>
      <c r="AB689" s="2" t="s">
        <v>4</v>
      </c>
      <c r="AC689" s="2" t="s">
        <v>4</v>
      </c>
      <c r="AD689" s="4">
        <v>50</v>
      </c>
      <c r="AE689" s="2" t="s">
        <v>4</v>
      </c>
      <c r="AF689" s="2" t="s">
        <v>4</v>
      </c>
      <c r="AG689" s="2" t="s">
        <v>487</v>
      </c>
      <c r="AH689" s="2" t="s">
        <v>185</v>
      </c>
      <c r="AI689" s="2" t="s">
        <v>2595</v>
      </c>
      <c r="AJ689" s="4"/>
      <c r="AL689" s="4"/>
      <c r="AN689" s="4"/>
      <c r="AP689" s="4"/>
      <c r="AQ689" s="4"/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Z689" s="2" t="s">
        <v>60</v>
      </c>
    </row>
    <row r="690" spans="2:52" x14ac:dyDescent="0.15">
      <c r="B690" s="2" t="s">
        <v>267</v>
      </c>
      <c r="C690" s="2" t="s">
        <v>2932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52</v>
      </c>
      <c r="L690" s="2" t="s">
        <v>2999</v>
      </c>
      <c r="N690" s="4"/>
      <c r="O690" s="2" t="s">
        <v>60</v>
      </c>
      <c r="P690" s="2" t="s">
        <v>60</v>
      </c>
      <c r="Q690" s="4">
        <v>0</v>
      </c>
      <c r="S690" s="2" t="s">
        <v>435</v>
      </c>
      <c r="T690" s="2" t="s">
        <v>499</v>
      </c>
      <c r="U690" s="2" t="s">
        <v>372</v>
      </c>
      <c r="V690" s="2" t="s">
        <v>60</v>
      </c>
      <c r="W690" s="4">
        <v>0</v>
      </c>
      <c r="Y690" s="4">
        <v>0</v>
      </c>
      <c r="Z690" s="4" t="s">
        <v>39</v>
      </c>
      <c r="AA690" s="2" t="s">
        <v>60</v>
      </c>
      <c r="AB690" s="2" t="s">
        <v>4</v>
      </c>
      <c r="AC690" s="2" t="s">
        <v>4</v>
      </c>
      <c r="AD690" s="4">
        <v>50</v>
      </c>
      <c r="AE690" s="2" t="s">
        <v>4</v>
      </c>
      <c r="AF690" s="2" t="s">
        <v>4</v>
      </c>
      <c r="AG690" s="2" t="s">
        <v>487</v>
      </c>
      <c r="AH690" s="2" t="s">
        <v>185</v>
      </c>
      <c r="AI690" s="2" t="s">
        <v>2596</v>
      </c>
      <c r="AJ690" s="4"/>
      <c r="AL690" s="4"/>
      <c r="AN690" s="4"/>
      <c r="AP690" s="4"/>
      <c r="AQ690" s="4"/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Z690" s="2" t="s">
        <v>60</v>
      </c>
    </row>
    <row r="691" spans="2:52" x14ac:dyDescent="0.15">
      <c r="B691" s="2" t="s">
        <v>663</v>
      </c>
      <c r="C691" s="2" t="s">
        <v>2933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52</v>
      </c>
      <c r="L691" s="2" t="s">
        <v>3000</v>
      </c>
      <c r="N691" s="4"/>
      <c r="O691" s="2" t="s">
        <v>60</v>
      </c>
      <c r="P691" s="2" t="s">
        <v>60</v>
      </c>
      <c r="Q691" s="4">
        <v>0</v>
      </c>
      <c r="S691" s="2" t="s">
        <v>435</v>
      </c>
      <c r="T691" s="2" t="s">
        <v>499</v>
      </c>
      <c r="U691" s="2" t="s">
        <v>372</v>
      </c>
      <c r="V691" s="2" t="s">
        <v>60</v>
      </c>
      <c r="W691" s="4">
        <v>0</v>
      </c>
      <c r="Y691" s="4">
        <v>0</v>
      </c>
      <c r="Z691" s="4" t="s">
        <v>39</v>
      </c>
      <c r="AA691" s="2" t="s">
        <v>60</v>
      </c>
      <c r="AB691" s="2" t="s">
        <v>4</v>
      </c>
      <c r="AC691" s="2" t="s">
        <v>4</v>
      </c>
      <c r="AD691" s="4">
        <v>50</v>
      </c>
      <c r="AE691" s="2" t="s">
        <v>4</v>
      </c>
      <c r="AF691" s="2" t="s">
        <v>4</v>
      </c>
      <c r="AG691" s="2" t="s">
        <v>487</v>
      </c>
      <c r="AH691" s="2" t="s">
        <v>185</v>
      </c>
      <c r="AI691" s="2" t="s">
        <v>267</v>
      </c>
      <c r="AJ691" s="4"/>
      <c r="AL691" s="4"/>
      <c r="AN691" s="4"/>
      <c r="AP691" s="4"/>
      <c r="AQ691" s="4"/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Z691" s="2" t="s">
        <v>60</v>
      </c>
    </row>
    <row r="692" spans="2:52" x14ac:dyDescent="0.15">
      <c r="B692" s="2" t="s">
        <v>2026</v>
      </c>
      <c r="C692" s="2" t="s">
        <v>2934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52</v>
      </c>
      <c r="L692" s="2" t="s">
        <v>3001</v>
      </c>
      <c r="N692" s="4"/>
      <c r="O692" s="2" t="s">
        <v>60</v>
      </c>
      <c r="P692" s="2" t="s">
        <v>60</v>
      </c>
      <c r="Q692" s="4">
        <v>0</v>
      </c>
      <c r="S692" s="2" t="s">
        <v>435</v>
      </c>
      <c r="T692" s="2" t="s">
        <v>499</v>
      </c>
      <c r="U692" s="2" t="s">
        <v>372</v>
      </c>
      <c r="V692" s="2" t="s">
        <v>60</v>
      </c>
      <c r="W692" s="4">
        <v>0</v>
      </c>
      <c r="Y692" s="4">
        <v>0</v>
      </c>
      <c r="Z692" s="4" t="s">
        <v>39</v>
      </c>
      <c r="AA692" s="2" t="s">
        <v>60</v>
      </c>
      <c r="AB692" s="2" t="s">
        <v>4</v>
      </c>
      <c r="AC692" s="2" t="s">
        <v>4</v>
      </c>
      <c r="AD692" s="4">
        <v>50</v>
      </c>
      <c r="AE692" s="2" t="s">
        <v>4</v>
      </c>
      <c r="AF692" s="2" t="s">
        <v>4</v>
      </c>
      <c r="AG692" s="2" t="s">
        <v>487</v>
      </c>
      <c r="AH692" s="2" t="s">
        <v>185</v>
      </c>
      <c r="AI692" s="2" t="s">
        <v>663</v>
      </c>
      <c r="AJ692" s="4"/>
      <c r="AL692" s="4"/>
      <c r="AN692" s="4"/>
      <c r="AP692" s="4"/>
      <c r="AQ692" s="4"/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Z692" s="2" t="s">
        <v>60</v>
      </c>
    </row>
    <row r="693" spans="2:52" x14ac:dyDescent="0.15">
      <c r="B693" s="2" t="s">
        <v>724</v>
      </c>
      <c r="C693" s="2" t="s">
        <v>2935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52</v>
      </c>
      <c r="L693" s="2" t="s">
        <v>3002</v>
      </c>
      <c r="N693" s="4"/>
      <c r="O693" s="2" t="s">
        <v>60</v>
      </c>
      <c r="P693" s="2" t="s">
        <v>60</v>
      </c>
      <c r="Q693" s="4">
        <v>0</v>
      </c>
      <c r="S693" s="2" t="s">
        <v>435</v>
      </c>
      <c r="T693" s="2" t="s">
        <v>499</v>
      </c>
      <c r="U693" s="2" t="s">
        <v>372</v>
      </c>
      <c r="V693" s="2" t="s">
        <v>60</v>
      </c>
      <c r="W693" s="4">
        <v>0</v>
      </c>
      <c r="Y693" s="4">
        <v>0</v>
      </c>
      <c r="Z693" s="4" t="s">
        <v>39</v>
      </c>
      <c r="AA693" s="2" t="s">
        <v>60</v>
      </c>
      <c r="AB693" s="2" t="s">
        <v>4</v>
      </c>
      <c r="AC693" s="2" t="s">
        <v>4</v>
      </c>
      <c r="AD693" s="4">
        <v>50</v>
      </c>
      <c r="AE693" s="2" t="s">
        <v>4</v>
      </c>
      <c r="AF693" s="2" t="s">
        <v>4</v>
      </c>
      <c r="AG693" s="2" t="s">
        <v>487</v>
      </c>
      <c r="AH693" s="2" t="s">
        <v>185</v>
      </c>
      <c r="AI693" s="2" t="s">
        <v>2026</v>
      </c>
      <c r="AJ693" s="4"/>
      <c r="AL693" s="4"/>
      <c r="AN693" s="4"/>
      <c r="AP693" s="4"/>
      <c r="AQ693" s="4"/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Z693" s="2" t="s">
        <v>60</v>
      </c>
    </row>
    <row r="694" spans="2:52" x14ac:dyDescent="0.15">
      <c r="B694" s="2" t="s">
        <v>2597</v>
      </c>
      <c r="C694" s="2" t="s">
        <v>2936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52</v>
      </c>
      <c r="L694" s="2" t="s">
        <v>3003</v>
      </c>
      <c r="N694" s="4"/>
      <c r="O694" s="2" t="s">
        <v>60</v>
      </c>
      <c r="P694" s="2" t="s">
        <v>60</v>
      </c>
      <c r="Q694" s="4">
        <v>0</v>
      </c>
      <c r="S694" s="2" t="s">
        <v>435</v>
      </c>
      <c r="T694" s="2" t="s">
        <v>499</v>
      </c>
      <c r="U694" s="2" t="s">
        <v>372</v>
      </c>
      <c r="V694" s="2" t="s">
        <v>60</v>
      </c>
      <c r="W694" s="4">
        <v>0</v>
      </c>
      <c r="Y694" s="4">
        <v>0</v>
      </c>
      <c r="Z694" s="4" t="s">
        <v>39</v>
      </c>
      <c r="AA694" s="2" t="s">
        <v>60</v>
      </c>
      <c r="AB694" s="2" t="s">
        <v>4</v>
      </c>
      <c r="AC694" s="2" t="s">
        <v>4</v>
      </c>
      <c r="AD694" s="4">
        <v>50</v>
      </c>
      <c r="AE694" s="2" t="s">
        <v>4</v>
      </c>
      <c r="AF694" s="2" t="s">
        <v>4</v>
      </c>
      <c r="AG694" s="2" t="s">
        <v>487</v>
      </c>
      <c r="AH694" s="2" t="s">
        <v>185</v>
      </c>
      <c r="AI694" s="2" t="s">
        <v>724</v>
      </c>
      <c r="AJ694" s="4"/>
      <c r="AL694" s="4"/>
      <c r="AN694" s="4"/>
      <c r="AP694" s="4"/>
      <c r="AQ694" s="4"/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Z694" s="2" t="s">
        <v>60</v>
      </c>
    </row>
    <row r="695" spans="2:52" x14ac:dyDescent="0.15">
      <c r="B695" s="2" t="s">
        <v>823</v>
      </c>
      <c r="C695" s="2" t="s">
        <v>2937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52</v>
      </c>
      <c r="L695" s="2" t="s">
        <v>3004</v>
      </c>
      <c r="N695" s="4"/>
      <c r="O695" s="2" t="s">
        <v>60</v>
      </c>
      <c r="P695" s="2" t="s">
        <v>60</v>
      </c>
      <c r="Q695" s="4">
        <v>0</v>
      </c>
      <c r="S695" s="2" t="s">
        <v>435</v>
      </c>
      <c r="T695" s="2" t="s">
        <v>499</v>
      </c>
      <c r="U695" s="2" t="s">
        <v>372</v>
      </c>
      <c r="V695" s="2" t="s">
        <v>60</v>
      </c>
      <c r="W695" s="4">
        <v>0</v>
      </c>
      <c r="Y695" s="4">
        <v>0</v>
      </c>
      <c r="Z695" s="4" t="s">
        <v>39</v>
      </c>
      <c r="AA695" s="2" t="s">
        <v>60</v>
      </c>
      <c r="AB695" s="2" t="s">
        <v>4</v>
      </c>
      <c r="AC695" s="2" t="s">
        <v>4</v>
      </c>
      <c r="AD695" s="4">
        <v>50</v>
      </c>
      <c r="AE695" s="2" t="s">
        <v>4</v>
      </c>
      <c r="AF695" s="2" t="s">
        <v>4</v>
      </c>
      <c r="AG695" s="2" t="s">
        <v>487</v>
      </c>
      <c r="AH695" s="2" t="s">
        <v>185</v>
      </c>
      <c r="AI695" s="2" t="s">
        <v>2597</v>
      </c>
      <c r="AJ695" s="4"/>
      <c r="AL695" s="4"/>
      <c r="AN695" s="4"/>
      <c r="AP695" s="4"/>
      <c r="AQ695" s="4"/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Z695" s="2" t="s">
        <v>60</v>
      </c>
    </row>
    <row r="696" spans="2:52" x14ac:dyDescent="0.15">
      <c r="B696" s="2" t="s">
        <v>2598</v>
      </c>
      <c r="C696" s="2" t="s">
        <v>2938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52</v>
      </c>
      <c r="L696" s="2" t="s">
        <v>3005</v>
      </c>
      <c r="N696" s="4"/>
      <c r="O696" s="2" t="s">
        <v>60</v>
      </c>
      <c r="P696" s="2" t="s">
        <v>60</v>
      </c>
      <c r="Q696" s="4">
        <v>0</v>
      </c>
      <c r="S696" s="2" t="s">
        <v>435</v>
      </c>
      <c r="T696" s="2" t="s">
        <v>499</v>
      </c>
      <c r="U696" s="2" t="s">
        <v>372</v>
      </c>
      <c r="V696" s="2" t="s">
        <v>60</v>
      </c>
      <c r="W696" s="4">
        <v>0</v>
      </c>
      <c r="Y696" s="4">
        <v>0</v>
      </c>
      <c r="Z696" s="4" t="s">
        <v>39</v>
      </c>
      <c r="AA696" s="2" t="s">
        <v>60</v>
      </c>
      <c r="AB696" s="2" t="s">
        <v>4</v>
      </c>
      <c r="AC696" s="2" t="s">
        <v>4</v>
      </c>
      <c r="AD696" s="4">
        <v>50</v>
      </c>
      <c r="AE696" s="2" t="s">
        <v>4</v>
      </c>
      <c r="AF696" s="2" t="s">
        <v>4</v>
      </c>
      <c r="AG696" s="2" t="s">
        <v>487</v>
      </c>
      <c r="AH696" s="2" t="s">
        <v>185</v>
      </c>
      <c r="AI696" s="2" t="s">
        <v>823</v>
      </c>
      <c r="AJ696" s="4"/>
      <c r="AL696" s="4"/>
      <c r="AN696" s="4"/>
      <c r="AP696" s="4"/>
      <c r="AQ696" s="4"/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Z696" s="2" t="s">
        <v>60</v>
      </c>
    </row>
    <row r="697" spans="2:52" x14ac:dyDescent="0.15">
      <c r="B697" s="2" t="s">
        <v>448</v>
      </c>
      <c r="C697" s="2" t="s">
        <v>2939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52</v>
      </c>
      <c r="L697" s="2" t="s">
        <v>3006</v>
      </c>
      <c r="N697" s="4"/>
      <c r="O697" s="2" t="s">
        <v>60</v>
      </c>
      <c r="P697" s="2" t="s">
        <v>60</v>
      </c>
      <c r="Q697" s="4">
        <v>0</v>
      </c>
      <c r="S697" s="2" t="s">
        <v>435</v>
      </c>
      <c r="T697" s="2" t="s">
        <v>499</v>
      </c>
      <c r="U697" s="2" t="s">
        <v>372</v>
      </c>
      <c r="V697" s="2" t="s">
        <v>60</v>
      </c>
      <c r="W697" s="4">
        <v>0</v>
      </c>
      <c r="Y697" s="4">
        <v>0</v>
      </c>
      <c r="Z697" s="4" t="s">
        <v>39</v>
      </c>
      <c r="AA697" s="2" t="s">
        <v>60</v>
      </c>
      <c r="AB697" s="2" t="s">
        <v>4</v>
      </c>
      <c r="AC697" s="2" t="s">
        <v>4</v>
      </c>
      <c r="AD697" s="4">
        <v>50</v>
      </c>
      <c r="AE697" s="2" t="s">
        <v>4</v>
      </c>
      <c r="AF697" s="2" t="s">
        <v>4</v>
      </c>
      <c r="AG697" s="2" t="s">
        <v>487</v>
      </c>
      <c r="AH697" s="2" t="s">
        <v>185</v>
      </c>
      <c r="AI697" s="2" t="s">
        <v>2598</v>
      </c>
      <c r="AJ697" s="4"/>
      <c r="AL697" s="4"/>
      <c r="AN697" s="4"/>
      <c r="AP697" s="4"/>
      <c r="AQ697" s="4"/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Z697" s="2" t="s">
        <v>60</v>
      </c>
    </row>
    <row r="698" spans="2:52" x14ac:dyDescent="0.15">
      <c r="B698" s="2" t="s">
        <v>949</v>
      </c>
      <c r="C698" s="2" t="s">
        <v>2940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52</v>
      </c>
      <c r="L698" s="2" t="s">
        <v>3007</v>
      </c>
      <c r="N698" s="4"/>
      <c r="O698" s="2" t="s">
        <v>60</v>
      </c>
      <c r="P698" s="2" t="s">
        <v>60</v>
      </c>
      <c r="Q698" s="4">
        <v>0</v>
      </c>
      <c r="S698" s="2" t="s">
        <v>435</v>
      </c>
      <c r="T698" s="2" t="s">
        <v>499</v>
      </c>
      <c r="U698" s="2" t="s">
        <v>372</v>
      </c>
      <c r="V698" s="2" t="s">
        <v>60</v>
      </c>
      <c r="W698" s="4">
        <v>0</v>
      </c>
      <c r="Y698" s="4">
        <v>0</v>
      </c>
      <c r="Z698" s="4" t="s">
        <v>39</v>
      </c>
      <c r="AA698" s="2" t="s">
        <v>60</v>
      </c>
      <c r="AB698" s="2" t="s">
        <v>4</v>
      </c>
      <c r="AC698" s="2" t="s">
        <v>4</v>
      </c>
      <c r="AD698" s="4">
        <v>50</v>
      </c>
      <c r="AE698" s="2" t="s">
        <v>4</v>
      </c>
      <c r="AF698" s="2" t="s">
        <v>4</v>
      </c>
      <c r="AG698" s="2" t="s">
        <v>487</v>
      </c>
      <c r="AH698" s="2" t="s">
        <v>185</v>
      </c>
      <c r="AI698" s="2" t="s">
        <v>448</v>
      </c>
      <c r="AJ698" s="4"/>
      <c r="AL698" s="4"/>
      <c r="AN698" s="4"/>
      <c r="AP698" s="4"/>
      <c r="AQ698" s="4"/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Z698" s="2" t="s">
        <v>60</v>
      </c>
    </row>
    <row r="699" spans="2:52" x14ac:dyDescent="0.15">
      <c r="B699" s="2" t="s">
        <v>1000</v>
      </c>
      <c r="C699" s="2" t="s">
        <v>2941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52</v>
      </c>
      <c r="L699" s="2" t="s">
        <v>3008</v>
      </c>
      <c r="N699" s="4"/>
      <c r="O699" s="2" t="s">
        <v>60</v>
      </c>
      <c r="P699" s="2" t="s">
        <v>60</v>
      </c>
      <c r="Q699" s="4">
        <v>0</v>
      </c>
      <c r="S699" s="2" t="s">
        <v>435</v>
      </c>
      <c r="T699" s="2" t="s">
        <v>499</v>
      </c>
      <c r="U699" s="2" t="s">
        <v>372</v>
      </c>
      <c r="V699" s="2" t="s">
        <v>60</v>
      </c>
      <c r="W699" s="4">
        <v>0</v>
      </c>
      <c r="Y699" s="4">
        <v>0</v>
      </c>
      <c r="Z699" s="4" t="s">
        <v>39</v>
      </c>
      <c r="AA699" s="2" t="s">
        <v>60</v>
      </c>
      <c r="AB699" s="2" t="s">
        <v>4</v>
      </c>
      <c r="AC699" s="2" t="s">
        <v>4</v>
      </c>
      <c r="AD699" s="4">
        <v>50</v>
      </c>
      <c r="AE699" s="2" t="s">
        <v>4</v>
      </c>
      <c r="AF699" s="2" t="s">
        <v>4</v>
      </c>
      <c r="AG699" s="2" t="s">
        <v>487</v>
      </c>
      <c r="AH699" s="2" t="s">
        <v>185</v>
      </c>
      <c r="AI699" s="2" t="s">
        <v>949</v>
      </c>
      <c r="AJ699" s="4"/>
      <c r="AL699" s="4"/>
      <c r="AN699" s="4"/>
      <c r="AP699" s="4"/>
      <c r="AQ699" s="4"/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Z699" s="2" t="s">
        <v>60</v>
      </c>
    </row>
    <row r="700" spans="2:52" x14ac:dyDescent="0.15">
      <c r="B700" s="2" t="s">
        <v>741</v>
      </c>
      <c r="C700" s="2" t="s">
        <v>2942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52</v>
      </c>
      <c r="L700" s="2" t="s">
        <v>3009</v>
      </c>
      <c r="N700" s="4"/>
      <c r="O700" s="2" t="s">
        <v>60</v>
      </c>
      <c r="P700" s="2" t="s">
        <v>60</v>
      </c>
      <c r="Q700" s="4">
        <v>0</v>
      </c>
      <c r="S700" s="2" t="s">
        <v>435</v>
      </c>
      <c r="T700" s="2" t="s">
        <v>499</v>
      </c>
      <c r="U700" s="2" t="s">
        <v>372</v>
      </c>
      <c r="V700" s="2" t="s">
        <v>60</v>
      </c>
      <c r="W700" s="4">
        <v>0</v>
      </c>
      <c r="Y700" s="4">
        <v>0</v>
      </c>
      <c r="Z700" s="4" t="s">
        <v>39</v>
      </c>
      <c r="AA700" s="2" t="s">
        <v>60</v>
      </c>
      <c r="AB700" s="2" t="s">
        <v>4</v>
      </c>
      <c r="AC700" s="2" t="s">
        <v>4</v>
      </c>
      <c r="AD700" s="4">
        <v>50</v>
      </c>
      <c r="AE700" s="2" t="s">
        <v>4</v>
      </c>
      <c r="AF700" s="2" t="s">
        <v>4</v>
      </c>
      <c r="AG700" s="2" t="s">
        <v>487</v>
      </c>
      <c r="AH700" s="2" t="s">
        <v>185</v>
      </c>
      <c r="AI700" s="2" t="s">
        <v>1000</v>
      </c>
      <c r="AJ700" s="4"/>
      <c r="AL700" s="4"/>
      <c r="AN700" s="4"/>
      <c r="AP700" s="4"/>
      <c r="AQ700" s="4"/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Z700" s="2" t="s">
        <v>60</v>
      </c>
    </row>
    <row r="701" spans="2:52" x14ac:dyDescent="0.15">
      <c r="B701" s="2" t="s">
        <v>1101</v>
      </c>
      <c r="C701" s="2" t="s">
        <v>2943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52</v>
      </c>
      <c r="L701" s="2" t="s">
        <v>3010</v>
      </c>
      <c r="N701" s="4"/>
      <c r="O701" s="2" t="s">
        <v>60</v>
      </c>
      <c r="P701" s="2" t="s">
        <v>60</v>
      </c>
      <c r="Q701" s="4">
        <v>0</v>
      </c>
      <c r="S701" s="2" t="s">
        <v>435</v>
      </c>
      <c r="T701" s="2" t="s">
        <v>499</v>
      </c>
      <c r="U701" s="2" t="s">
        <v>372</v>
      </c>
      <c r="V701" s="2" t="s">
        <v>60</v>
      </c>
      <c r="W701" s="4">
        <v>0</v>
      </c>
      <c r="Y701" s="4">
        <v>0</v>
      </c>
      <c r="Z701" s="4" t="s">
        <v>39</v>
      </c>
      <c r="AA701" s="2" t="s">
        <v>60</v>
      </c>
      <c r="AB701" s="2" t="s">
        <v>4</v>
      </c>
      <c r="AC701" s="2" t="s">
        <v>4</v>
      </c>
      <c r="AD701" s="4">
        <v>50</v>
      </c>
      <c r="AE701" s="2" t="s">
        <v>4</v>
      </c>
      <c r="AF701" s="2" t="s">
        <v>4</v>
      </c>
      <c r="AG701" s="2" t="s">
        <v>487</v>
      </c>
      <c r="AH701" s="2" t="s">
        <v>185</v>
      </c>
      <c r="AI701" s="2" t="s">
        <v>741</v>
      </c>
      <c r="AJ701" s="4"/>
      <c r="AL701" s="4"/>
      <c r="AN701" s="4"/>
      <c r="AP701" s="4"/>
      <c r="AQ701" s="4"/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Z701" s="2" t="s">
        <v>60</v>
      </c>
    </row>
    <row r="702" spans="2:52" x14ac:dyDescent="0.15">
      <c r="B702" s="2" t="s">
        <v>2599</v>
      </c>
      <c r="C702" s="2" t="s">
        <v>2944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52</v>
      </c>
      <c r="L702" s="2" t="s">
        <v>3011</v>
      </c>
      <c r="N702" s="4"/>
      <c r="O702" s="2" t="s">
        <v>60</v>
      </c>
      <c r="P702" s="2" t="s">
        <v>60</v>
      </c>
      <c r="Q702" s="4">
        <v>0</v>
      </c>
      <c r="S702" s="2" t="s">
        <v>435</v>
      </c>
      <c r="T702" s="2" t="s">
        <v>499</v>
      </c>
      <c r="U702" s="2" t="s">
        <v>372</v>
      </c>
      <c r="V702" s="2" t="s">
        <v>60</v>
      </c>
      <c r="W702" s="4">
        <v>0</v>
      </c>
      <c r="Y702" s="4">
        <v>0</v>
      </c>
      <c r="Z702" s="4" t="s">
        <v>39</v>
      </c>
      <c r="AA702" s="2" t="s">
        <v>60</v>
      </c>
      <c r="AB702" s="2" t="s">
        <v>4</v>
      </c>
      <c r="AC702" s="2" t="s">
        <v>4</v>
      </c>
      <c r="AD702" s="4">
        <v>50</v>
      </c>
      <c r="AE702" s="2" t="s">
        <v>4</v>
      </c>
      <c r="AF702" s="2" t="s">
        <v>4</v>
      </c>
      <c r="AG702" s="2" t="s">
        <v>487</v>
      </c>
      <c r="AH702" s="2" t="s">
        <v>185</v>
      </c>
      <c r="AI702" s="2" t="s">
        <v>1101</v>
      </c>
      <c r="AJ702" s="4"/>
      <c r="AL702" s="4"/>
      <c r="AN702" s="4"/>
      <c r="AP702" s="4"/>
      <c r="AQ702" s="4"/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Z702" s="2" t="s">
        <v>60</v>
      </c>
    </row>
    <row r="703" spans="2:52" x14ac:dyDescent="0.15">
      <c r="B703" s="2" t="s">
        <v>1252</v>
      </c>
      <c r="C703" s="2" t="s">
        <v>2945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52</v>
      </c>
      <c r="L703" s="2" t="s">
        <v>3012</v>
      </c>
      <c r="N703" s="4"/>
      <c r="O703" s="2" t="s">
        <v>60</v>
      </c>
      <c r="P703" s="2" t="s">
        <v>60</v>
      </c>
      <c r="Q703" s="4">
        <v>0</v>
      </c>
      <c r="S703" s="2" t="s">
        <v>435</v>
      </c>
      <c r="T703" s="2" t="s">
        <v>499</v>
      </c>
      <c r="U703" s="2" t="s">
        <v>372</v>
      </c>
      <c r="V703" s="2" t="s">
        <v>60</v>
      </c>
      <c r="W703" s="4">
        <v>0</v>
      </c>
      <c r="Y703" s="4">
        <v>0</v>
      </c>
      <c r="Z703" s="4" t="s">
        <v>39</v>
      </c>
      <c r="AA703" s="2" t="s">
        <v>60</v>
      </c>
      <c r="AB703" s="2" t="s">
        <v>4</v>
      </c>
      <c r="AC703" s="2" t="s">
        <v>4</v>
      </c>
      <c r="AD703" s="4">
        <v>50</v>
      </c>
      <c r="AE703" s="2" t="s">
        <v>4</v>
      </c>
      <c r="AF703" s="2" t="s">
        <v>4</v>
      </c>
      <c r="AG703" s="2" t="s">
        <v>487</v>
      </c>
      <c r="AH703" s="2" t="s">
        <v>185</v>
      </c>
      <c r="AI703" s="2" t="s">
        <v>2599</v>
      </c>
      <c r="AJ703" s="4"/>
      <c r="AL703" s="4"/>
      <c r="AN703" s="4"/>
      <c r="AP703" s="4"/>
      <c r="AQ703" s="4"/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Z703" s="2" t="s">
        <v>60</v>
      </c>
    </row>
    <row r="704" spans="2:52" x14ac:dyDescent="0.15">
      <c r="B704" s="2" t="s">
        <v>172</v>
      </c>
      <c r="C704" s="2" t="s">
        <v>2600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2459</v>
      </c>
      <c r="L704" s="2" t="s">
        <v>2329</v>
      </c>
      <c r="M704" s="2" t="s">
        <v>2601</v>
      </c>
      <c r="N704" s="4"/>
      <c r="O704" s="2" t="s">
        <v>60</v>
      </c>
      <c r="P704" s="2" t="s">
        <v>60</v>
      </c>
      <c r="Q704" s="4">
        <v>0</v>
      </c>
      <c r="S704" s="2" t="s">
        <v>435</v>
      </c>
      <c r="T704" s="2" t="s">
        <v>499</v>
      </c>
      <c r="U704" s="2" t="s">
        <v>372</v>
      </c>
      <c r="V704" s="2" t="s">
        <v>60</v>
      </c>
      <c r="W704" s="4">
        <v>0</v>
      </c>
      <c r="Y704" s="4">
        <v>0</v>
      </c>
      <c r="Z704" s="4" t="s">
        <v>39</v>
      </c>
      <c r="AA704" s="2" t="s">
        <v>60</v>
      </c>
      <c r="AB704" s="2" t="s">
        <v>4</v>
      </c>
      <c r="AC704" s="2" t="s">
        <v>4</v>
      </c>
      <c r="AD704" s="4">
        <v>50</v>
      </c>
      <c r="AE704" s="2" t="s">
        <v>4</v>
      </c>
      <c r="AF704" s="2" t="s">
        <v>4</v>
      </c>
      <c r="AG704" s="2" t="s">
        <v>487</v>
      </c>
      <c r="AH704" s="2" t="s">
        <v>185</v>
      </c>
      <c r="AI704" s="2" t="s">
        <v>1252</v>
      </c>
      <c r="AJ704" s="4"/>
      <c r="AL704" s="4"/>
      <c r="AN704" s="4"/>
      <c r="AP704" s="4"/>
      <c r="AQ704" s="4"/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Z704" s="2" t="s">
        <v>60</v>
      </c>
    </row>
    <row r="705" spans="2:52" x14ac:dyDescent="0.15">
      <c r="B705" s="2" t="s">
        <v>2605</v>
      </c>
      <c r="C705" s="2" t="s">
        <v>2602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104</v>
      </c>
      <c r="J705" s="4" t="str">
        <f>VLOOKUP(I705,citySet!$B$5:$C$46,2,0)</f>
        <v>长安</v>
      </c>
      <c r="K705" s="2" t="s">
        <v>1100</v>
      </c>
      <c r="L705" s="2" t="s">
        <v>2604</v>
      </c>
      <c r="N705" s="4"/>
      <c r="O705" s="2" t="s">
        <v>2334</v>
      </c>
      <c r="P705" s="2" t="s">
        <v>2334</v>
      </c>
      <c r="Q705" s="4">
        <v>0</v>
      </c>
      <c r="R705" s="2" t="s">
        <v>370</v>
      </c>
      <c r="S705" s="2" t="s">
        <v>435</v>
      </c>
      <c r="T705" s="2" t="s">
        <v>824</v>
      </c>
      <c r="U705" s="2" t="s">
        <v>393</v>
      </c>
      <c r="V705" s="2" t="s">
        <v>60</v>
      </c>
      <c r="W705" s="4">
        <v>6</v>
      </c>
      <c r="X705" s="2" t="s">
        <v>2603</v>
      </c>
      <c r="Y705" s="4">
        <v>0</v>
      </c>
      <c r="Z705" s="4" t="s">
        <v>39</v>
      </c>
      <c r="AA705" s="2" t="s">
        <v>60</v>
      </c>
      <c r="AB705" s="2" t="s">
        <v>36</v>
      </c>
      <c r="AC705" s="2" t="s">
        <v>37</v>
      </c>
      <c r="AD705" s="4">
        <v>12</v>
      </c>
      <c r="AE705" s="2" t="s">
        <v>189</v>
      </c>
      <c r="AF705" s="2" t="s">
        <v>107</v>
      </c>
      <c r="AG705" s="2" t="s">
        <v>404</v>
      </c>
      <c r="AH705" s="2" t="s">
        <v>185</v>
      </c>
      <c r="AI705" s="2" t="s">
        <v>172</v>
      </c>
      <c r="AJ705" s="4"/>
      <c r="AL705" s="4"/>
      <c r="AN705" s="4"/>
      <c r="AP705" s="4"/>
      <c r="AQ705" s="4"/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Z705" s="2" t="s">
        <v>60</v>
      </c>
    </row>
    <row r="706" spans="2:52" x14ac:dyDescent="0.15">
      <c r="B706" s="2" t="s">
        <v>1336</v>
      </c>
      <c r="C706" s="2" t="s">
        <v>2606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104</v>
      </c>
      <c r="J706" s="4" t="str">
        <f>VLOOKUP(I706,citySet!$B$5:$C$46,2,0)</f>
        <v>长安</v>
      </c>
      <c r="K706" s="2" t="s">
        <v>2607</v>
      </c>
      <c r="L706" s="2" t="s">
        <v>2604</v>
      </c>
      <c r="N706" s="4"/>
      <c r="O706" s="2" t="s">
        <v>2326</v>
      </c>
      <c r="P706" s="2" t="s">
        <v>2326</v>
      </c>
      <c r="Q706" s="4">
        <v>0</v>
      </c>
      <c r="R706" s="2" t="s">
        <v>370</v>
      </c>
      <c r="S706" s="2" t="s">
        <v>435</v>
      </c>
      <c r="T706" s="2" t="s">
        <v>549</v>
      </c>
      <c r="U706" s="2" t="s">
        <v>372</v>
      </c>
      <c r="V706" s="2" t="s">
        <v>60</v>
      </c>
      <c r="W706" s="4">
        <v>6</v>
      </c>
      <c r="X706" s="2" t="s">
        <v>2603</v>
      </c>
      <c r="Y706" s="4">
        <v>0</v>
      </c>
      <c r="Z706" s="4" t="s">
        <v>39</v>
      </c>
      <c r="AA706" s="2" t="s">
        <v>60</v>
      </c>
      <c r="AB706" s="2" t="s">
        <v>31</v>
      </c>
      <c r="AC706" s="2" t="s">
        <v>33</v>
      </c>
      <c r="AD706" s="4">
        <v>9</v>
      </c>
      <c r="AE706" s="2" t="s">
        <v>37</v>
      </c>
      <c r="AF706" s="2" t="s">
        <v>24</v>
      </c>
      <c r="AG706" s="2" t="s">
        <v>5</v>
      </c>
      <c r="AH706" s="2" t="s">
        <v>185</v>
      </c>
      <c r="AI706" s="2" t="s">
        <v>2605</v>
      </c>
      <c r="AJ706" s="4"/>
      <c r="AL706" s="4"/>
      <c r="AN706" s="4"/>
      <c r="AP706" s="4"/>
      <c r="AQ706" s="4"/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Z706" s="2" t="s">
        <v>60</v>
      </c>
    </row>
    <row r="707" spans="2:52" x14ac:dyDescent="0.15">
      <c r="B707" s="2" t="s">
        <v>2609</v>
      </c>
      <c r="C707" s="2" t="s">
        <v>43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104</v>
      </c>
      <c r="J707" s="4" t="str">
        <f>VLOOKUP(I707,citySet!$B$5:$C$46,2,0)</f>
        <v>长安</v>
      </c>
      <c r="K707" s="2" t="s">
        <v>2608</v>
      </c>
      <c r="L707" s="2" t="s">
        <v>2604</v>
      </c>
      <c r="N707" s="4"/>
      <c r="O707" s="2" t="s">
        <v>2234</v>
      </c>
      <c r="P707" s="2" t="s">
        <v>2234</v>
      </c>
      <c r="Q707" s="4">
        <v>0</v>
      </c>
      <c r="R707" s="2" t="s">
        <v>370</v>
      </c>
      <c r="S707" s="2" t="s">
        <v>435</v>
      </c>
      <c r="T707" s="2" t="s">
        <v>778</v>
      </c>
      <c r="U707" s="2" t="s">
        <v>609</v>
      </c>
      <c r="V707" s="2" t="s">
        <v>60</v>
      </c>
      <c r="W707" s="4">
        <v>0</v>
      </c>
      <c r="Y707" s="4">
        <v>0</v>
      </c>
      <c r="Z707" s="4" t="s">
        <v>39</v>
      </c>
      <c r="AA707" s="2" t="s">
        <v>60</v>
      </c>
      <c r="AB707" s="2" t="s">
        <v>20</v>
      </c>
      <c r="AC707" s="2" t="s">
        <v>29</v>
      </c>
      <c r="AD707" s="4">
        <v>26</v>
      </c>
      <c r="AE707" s="2" t="s">
        <v>219</v>
      </c>
      <c r="AF707" s="2" t="s">
        <v>431</v>
      </c>
      <c r="AG707" s="2" t="s">
        <v>436</v>
      </c>
      <c r="AH707" s="2" t="s">
        <v>185</v>
      </c>
      <c r="AI707" s="2" t="s">
        <v>1336</v>
      </c>
      <c r="AJ707" s="4"/>
      <c r="AL707" s="4"/>
      <c r="AN707" s="4"/>
      <c r="AP707" s="4"/>
      <c r="AQ707" s="4"/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Z707" s="2" t="s">
        <v>60</v>
      </c>
    </row>
    <row r="708" spans="2:52" x14ac:dyDescent="0.15">
      <c r="B708" s="2" t="s">
        <v>1094</v>
      </c>
      <c r="C708" s="2" t="s">
        <v>2610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193</v>
      </c>
      <c r="J708" s="4" t="str">
        <f>VLOOKUP(I708,citySet!$B$5:$C$46,2,0)</f>
        <v>吴</v>
      </c>
      <c r="K708" s="2" t="s">
        <v>439</v>
      </c>
      <c r="L708" s="2" t="s">
        <v>2611</v>
      </c>
      <c r="N708" s="4"/>
      <c r="O708" s="2" t="s">
        <v>2157</v>
      </c>
      <c r="P708" s="2" t="s">
        <v>2157</v>
      </c>
      <c r="Q708" s="4">
        <v>0</v>
      </c>
      <c r="R708" s="2" t="s">
        <v>370</v>
      </c>
      <c r="S708" s="2" t="s">
        <v>435</v>
      </c>
      <c r="T708" s="2" t="s">
        <v>684</v>
      </c>
      <c r="U708" s="2" t="s">
        <v>950</v>
      </c>
      <c r="V708" s="2" t="s">
        <v>60</v>
      </c>
      <c r="W708" s="4">
        <v>0</v>
      </c>
      <c r="Y708" s="4">
        <v>0</v>
      </c>
      <c r="Z708" s="4" t="s">
        <v>39</v>
      </c>
      <c r="AA708" s="2" t="s">
        <v>60</v>
      </c>
      <c r="AB708" s="2" t="s">
        <v>20</v>
      </c>
      <c r="AC708" s="2" t="s">
        <v>36</v>
      </c>
      <c r="AD708" s="4">
        <v>66</v>
      </c>
      <c r="AE708" s="2" t="s">
        <v>123</v>
      </c>
      <c r="AF708" s="2" t="s">
        <v>79</v>
      </c>
      <c r="AG708" s="2" t="s">
        <v>917</v>
      </c>
      <c r="AH708" s="2" t="s">
        <v>185</v>
      </c>
      <c r="AI708" s="2" t="s">
        <v>2609</v>
      </c>
      <c r="AJ708" s="4"/>
      <c r="AL708" s="4"/>
      <c r="AN708" s="4"/>
      <c r="AP708" s="4"/>
      <c r="AQ708" s="4"/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Z708" s="2" t="s">
        <v>60</v>
      </c>
    </row>
    <row r="709" spans="2:52" x14ac:dyDescent="0.15">
      <c r="B709" s="2" t="s">
        <v>1150</v>
      </c>
      <c r="C709" s="2" t="s">
        <v>2612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200</v>
      </c>
      <c r="J709" s="4" t="str">
        <f>VLOOKUP(I709,citySet!$B$5:$C$46,2,0)</f>
        <v>庐江</v>
      </c>
      <c r="K709" s="2" t="s">
        <v>750</v>
      </c>
      <c r="L709" s="2" t="s">
        <v>2613</v>
      </c>
      <c r="N709" s="4"/>
      <c r="O709" s="2" t="s">
        <v>2160</v>
      </c>
      <c r="P709" s="2" t="s">
        <v>2160</v>
      </c>
      <c r="Q709" s="4">
        <v>0</v>
      </c>
      <c r="R709" s="2" t="s">
        <v>370</v>
      </c>
      <c r="S709" s="2" t="s">
        <v>435</v>
      </c>
      <c r="T709" s="2" t="s">
        <v>634</v>
      </c>
      <c r="U709" s="2" t="s">
        <v>702</v>
      </c>
      <c r="V709" s="2" t="s">
        <v>60</v>
      </c>
      <c r="W709" s="4">
        <v>0</v>
      </c>
      <c r="Y709" s="4">
        <v>0</v>
      </c>
      <c r="Z709" s="4" t="s">
        <v>39</v>
      </c>
      <c r="AA709" s="2" t="s">
        <v>60</v>
      </c>
      <c r="AB709" s="2" t="s">
        <v>30</v>
      </c>
      <c r="AC709" s="2" t="s">
        <v>34</v>
      </c>
      <c r="AD709" s="4">
        <v>68</v>
      </c>
      <c r="AE709" s="2" t="s">
        <v>374</v>
      </c>
      <c r="AF709" s="2" t="s">
        <v>153</v>
      </c>
      <c r="AG709" s="2" t="s">
        <v>373</v>
      </c>
      <c r="AH709" s="2" t="s">
        <v>185</v>
      </c>
      <c r="AI709" s="2" t="s">
        <v>1094</v>
      </c>
      <c r="AJ709" s="4"/>
      <c r="AL709" s="4"/>
      <c r="AN709" s="4"/>
      <c r="AP709" s="4"/>
      <c r="AQ709" s="4"/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Z709" s="2" t="s">
        <v>60</v>
      </c>
    </row>
    <row r="710" spans="2:52" x14ac:dyDescent="0.15">
      <c r="B710" s="2" t="s">
        <v>1400</v>
      </c>
      <c r="C710" s="2" t="s">
        <v>2614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33</v>
      </c>
      <c r="J710" s="4" t="str">
        <f>VLOOKUP(I710,citySet!$B$5:$C$46,2,0)</f>
        <v>平原</v>
      </c>
      <c r="K710" s="2" t="s">
        <v>934</v>
      </c>
      <c r="L710" s="2" t="s">
        <v>2615</v>
      </c>
      <c r="N710" s="4"/>
      <c r="O710" s="2" t="s">
        <v>318</v>
      </c>
      <c r="P710" s="2" t="s">
        <v>318</v>
      </c>
      <c r="Q710" s="4">
        <v>0</v>
      </c>
      <c r="R710" s="2" t="s">
        <v>370</v>
      </c>
      <c r="S710" s="2" t="s">
        <v>675</v>
      </c>
      <c r="T710" s="2" t="s">
        <v>950</v>
      </c>
      <c r="U710" s="2" t="s">
        <v>639</v>
      </c>
      <c r="V710" s="2" t="s">
        <v>60</v>
      </c>
      <c r="W710" s="4">
        <v>0</v>
      </c>
      <c r="Y710" s="4">
        <v>0</v>
      </c>
      <c r="Z710" s="4" t="s">
        <v>39</v>
      </c>
      <c r="AA710" s="2" t="s">
        <v>60</v>
      </c>
      <c r="AB710" s="2" t="s">
        <v>41</v>
      </c>
      <c r="AC710" s="2" t="s">
        <v>29</v>
      </c>
      <c r="AD710" s="4">
        <v>72</v>
      </c>
      <c r="AE710" s="2" t="s">
        <v>423</v>
      </c>
      <c r="AF710" s="2" t="s">
        <v>102</v>
      </c>
      <c r="AG710" s="2" t="s">
        <v>536</v>
      </c>
      <c r="AH710" s="2" t="s">
        <v>185</v>
      </c>
      <c r="AI710" s="2" t="s">
        <v>1150</v>
      </c>
      <c r="AJ710" s="4"/>
      <c r="AL710" s="4"/>
      <c r="AN710" s="4"/>
      <c r="AP710" s="4"/>
      <c r="AQ710" s="4"/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Z710" s="2" t="s">
        <v>60</v>
      </c>
    </row>
    <row r="711" spans="2:52" x14ac:dyDescent="0.15">
      <c r="B711" s="2" t="s">
        <v>1516</v>
      </c>
      <c r="C711" s="2" t="s">
        <v>2616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8</v>
      </c>
      <c r="J711" s="4" t="str">
        <f>VLOOKUP(I711,citySet!$B$5:$C$46,2,0)</f>
        <v>汝南</v>
      </c>
      <c r="K711" s="2" t="s">
        <v>1083</v>
      </c>
      <c r="L711" s="2" t="s">
        <v>2485</v>
      </c>
      <c r="N711" s="4"/>
      <c r="O711" s="2" t="s">
        <v>2168</v>
      </c>
      <c r="P711" s="2" t="s">
        <v>2168</v>
      </c>
      <c r="Q711" s="4">
        <v>0</v>
      </c>
      <c r="R711" s="2" t="s">
        <v>370</v>
      </c>
      <c r="S711" s="2" t="s">
        <v>435</v>
      </c>
      <c r="T711" s="2" t="s">
        <v>466</v>
      </c>
      <c r="U711" s="2" t="s">
        <v>327</v>
      </c>
      <c r="V711" s="2" t="s">
        <v>60</v>
      </c>
      <c r="W711" s="4">
        <v>0</v>
      </c>
      <c r="Y711" s="4">
        <v>0</v>
      </c>
      <c r="Z711" s="4" t="s">
        <v>39</v>
      </c>
      <c r="AA711" s="2" t="s">
        <v>60</v>
      </c>
      <c r="AB711" s="2" t="s">
        <v>18</v>
      </c>
      <c r="AC711" s="2" t="s">
        <v>24</v>
      </c>
      <c r="AD711" s="4">
        <v>74</v>
      </c>
      <c r="AE711" s="2" t="s">
        <v>176</v>
      </c>
      <c r="AF711" s="2" t="s">
        <v>554</v>
      </c>
      <c r="AG711" s="2" t="s">
        <v>381</v>
      </c>
      <c r="AH711" s="2" t="s">
        <v>185</v>
      </c>
      <c r="AI711" s="2" t="s">
        <v>1400</v>
      </c>
      <c r="AJ711" s="4"/>
      <c r="AL711" s="4"/>
      <c r="AN711" s="4"/>
      <c r="AP711" s="4"/>
      <c r="AQ711" s="4"/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Z711" s="2" t="s">
        <v>60</v>
      </c>
    </row>
    <row r="712" spans="2:52" x14ac:dyDescent="0.15">
      <c r="B712" s="2" t="s">
        <v>1532</v>
      </c>
      <c r="C712" s="2" t="s">
        <v>2617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126</v>
      </c>
      <c r="J712" s="4" t="str">
        <f>VLOOKUP(I712,citySet!$B$5:$C$46,2,0)</f>
        <v>成都</v>
      </c>
      <c r="K712" s="2" t="s">
        <v>1337</v>
      </c>
      <c r="L712" s="2" t="s">
        <v>1848</v>
      </c>
      <c r="N712" s="4"/>
      <c r="O712" s="2" t="s">
        <v>127</v>
      </c>
      <c r="P712" s="2" t="s">
        <v>127</v>
      </c>
      <c r="Q712" s="4">
        <v>0</v>
      </c>
      <c r="R712" s="2" t="s">
        <v>370</v>
      </c>
      <c r="S712" s="2" t="s">
        <v>435</v>
      </c>
      <c r="T712" s="2" t="s">
        <v>476</v>
      </c>
      <c r="U712" s="2" t="s">
        <v>86</v>
      </c>
      <c r="V712" s="2" t="s">
        <v>60</v>
      </c>
      <c r="W712" s="4">
        <v>0</v>
      </c>
      <c r="Y712" s="4">
        <v>0</v>
      </c>
      <c r="Z712" s="4" t="s">
        <v>39</v>
      </c>
      <c r="AA712" s="2" t="s">
        <v>60</v>
      </c>
      <c r="AB712" s="2" t="s">
        <v>32</v>
      </c>
      <c r="AC712" s="2" t="s">
        <v>32</v>
      </c>
      <c r="AD712" s="4">
        <v>94</v>
      </c>
      <c r="AE712" s="2" t="s">
        <v>189</v>
      </c>
      <c r="AF712" s="2" t="s">
        <v>423</v>
      </c>
      <c r="AG712" s="2" t="s">
        <v>479</v>
      </c>
      <c r="AH712" s="2" t="s">
        <v>185</v>
      </c>
      <c r="AI712" s="2" t="s">
        <v>1516</v>
      </c>
      <c r="AJ712" s="4"/>
      <c r="AL712" s="4"/>
      <c r="AN712" s="4"/>
      <c r="AP712" s="4"/>
      <c r="AQ712" s="4"/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Z712" s="2" t="s">
        <v>60</v>
      </c>
    </row>
    <row r="713" spans="2:52" x14ac:dyDescent="0.15">
      <c r="B713" s="2" t="s">
        <v>1613</v>
      </c>
      <c r="C713" s="2" t="s">
        <v>2618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119</v>
      </c>
      <c r="J713" s="4" t="str">
        <f>VLOOKUP(I713,citySet!$B$5:$C$46,2,0)</f>
        <v>襄阳</v>
      </c>
      <c r="K713" s="2" t="s">
        <v>583</v>
      </c>
      <c r="L713" s="2" t="s">
        <v>2619</v>
      </c>
      <c r="N713" s="4"/>
      <c r="O713" s="2" t="s">
        <v>2176</v>
      </c>
      <c r="P713" s="2" t="s">
        <v>2176</v>
      </c>
      <c r="Q713" s="4">
        <v>0</v>
      </c>
      <c r="R713" s="2" t="s">
        <v>370</v>
      </c>
      <c r="S713" s="2" t="s">
        <v>585</v>
      </c>
      <c r="T713" s="2" t="s">
        <v>549</v>
      </c>
      <c r="U713" s="2" t="s">
        <v>406</v>
      </c>
      <c r="V713" s="2" t="s">
        <v>60</v>
      </c>
      <c r="W713" s="4">
        <v>0</v>
      </c>
      <c r="Y713" s="4">
        <v>0</v>
      </c>
      <c r="Z713" s="4" t="s">
        <v>39</v>
      </c>
      <c r="AA713" s="2" t="s">
        <v>60</v>
      </c>
      <c r="AB713" s="2" t="s">
        <v>107</v>
      </c>
      <c r="AC713" s="2" t="s">
        <v>30</v>
      </c>
      <c r="AD713" s="4">
        <v>92</v>
      </c>
      <c r="AE713" s="2" t="s">
        <v>175</v>
      </c>
      <c r="AF713" s="2" t="s">
        <v>258</v>
      </c>
      <c r="AG713" s="2" t="s">
        <v>416</v>
      </c>
      <c r="AH713" s="2" t="s">
        <v>185</v>
      </c>
      <c r="AI713" s="2" t="s">
        <v>1532</v>
      </c>
      <c r="AJ713" s="4"/>
      <c r="AL713" s="4"/>
      <c r="AN713" s="4"/>
      <c r="AP713" s="4"/>
      <c r="AQ713" s="4"/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Z713" s="2" t="s">
        <v>60</v>
      </c>
    </row>
    <row r="714" spans="2:52" x14ac:dyDescent="0.15">
      <c r="B714" s="2" t="s">
        <v>1164</v>
      </c>
      <c r="C714" s="2" t="s">
        <v>3121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33</v>
      </c>
      <c r="J714" s="4" t="str">
        <f>VLOOKUP(I714,citySet!$B$5:$C$46,2,0)</f>
        <v>平原</v>
      </c>
      <c r="K714" s="2" t="s">
        <v>2620</v>
      </c>
      <c r="L714" s="2" t="s">
        <v>2621</v>
      </c>
      <c r="M714" s="2" t="s">
        <v>2622</v>
      </c>
      <c r="N714" s="4"/>
      <c r="O714" s="2" t="s">
        <v>1571</v>
      </c>
      <c r="P714" s="2" t="s">
        <v>1571</v>
      </c>
      <c r="Q714" s="4">
        <v>0</v>
      </c>
      <c r="R714" s="2" t="s">
        <v>370</v>
      </c>
      <c r="S714" s="2" t="s">
        <v>544</v>
      </c>
      <c r="T714" s="2" t="s">
        <v>549</v>
      </c>
      <c r="U714" s="2" t="s">
        <v>479</v>
      </c>
      <c r="V714" s="2" t="s">
        <v>60</v>
      </c>
      <c r="W714" s="4">
        <v>0</v>
      </c>
      <c r="Y714" s="4">
        <v>0</v>
      </c>
      <c r="Z714" s="4" t="s">
        <v>39</v>
      </c>
      <c r="AA714" s="2" t="s">
        <v>60</v>
      </c>
      <c r="AB714" s="2" t="s">
        <v>31</v>
      </c>
      <c r="AC714" s="2" t="s">
        <v>36</v>
      </c>
      <c r="AD714" s="4">
        <v>83</v>
      </c>
      <c r="AE714" s="2" t="s">
        <v>434</v>
      </c>
      <c r="AF714" s="2" t="s">
        <v>36</v>
      </c>
      <c r="AG714" s="2" t="s">
        <v>1001</v>
      </c>
      <c r="AH714" s="2" t="s">
        <v>185</v>
      </c>
      <c r="AI714" s="2" t="s">
        <v>1613</v>
      </c>
      <c r="AJ714" s="4"/>
      <c r="AL714" s="4"/>
      <c r="AN714" s="4"/>
      <c r="AP714" s="4"/>
      <c r="AQ714" s="4"/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Z714" s="2" t="s">
        <v>60</v>
      </c>
    </row>
    <row r="715" spans="2:52" x14ac:dyDescent="0.15">
      <c r="B715" s="2" t="s">
        <v>1077</v>
      </c>
      <c r="C715" s="2" t="s">
        <v>1165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119</v>
      </c>
      <c r="J715" s="4" t="str">
        <f>VLOOKUP(I715,citySet!$B$5:$C$46,2,0)</f>
        <v>襄阳</v>
      </c>
      <c r="K715" s="2" t="s">
        <v>1155</v>
      </c>
      <c r="L715" s="2" t="s">
        <v>2624</v>
      </c>
      <c r="N715" s="4"/>
      <c r="O715" s="2" t="s">
        <v>2623</v>
      </c>
      <c r="P715" s="2" t="s">
        <v>2623</v>
      </c>
      <c r="Q715" s="4">
        <v>0</v>
      </c>
      <c r="R715" s="2" t="s">
        <v>370</v>
      </c>
      <c r="S715" s="2" t="s">
        <v>435</v>
      </c>
      <c r="T715" s="2" t="s">
        <v>499</v>
      </c>
      <c r="U715" s="2" t="s">
        <v>609</v>
      </c>
      <c r="V715" s="2" t="s">
        <v>60</v>
      </c>
      <c r="W715" s="4">
        <v>0</v>
      </c>
      <c r="Y715" s="4">
        <v>0</v>
      </c>
      <c r="Z715" s="4" t="s">
        <v>39</v>
      </c>
      <c r="AA715" s="2" t="s">
        <v>60</v>
      </c>
      <c r="AB715" s="2" t="s">
        <v>30</v>
      </c>
      <c r="AC715" s="2" t="s">
        <v>30</v>
      </c>
      <c r="AD715" s="4">
        <v>64</v>
      </c>
      <c r="AE715" s="2" t="s">
        <v>431</v>
      </c>
      <c r="AF715" s="2" t="s">
        <v>367</v>
      </c>
      <c r="AG715" s="2" t="s">
        <v>991</v>
      </c>
      <c r="AH715" s="2" t="s">
        <v>185</v>
      </c>
      <c r="AI715" s="2" t="s">
        <v>1164</v>
      </c>
      <c r="AJ715" s="4"/>
      <c r="AL715" s="4"/>
      <c r="AN715" s="4"/>
      <c r="AP715" s="4"/>
      <c r="AQ715" s="4"/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Z715" s="2" t="s">
        <v>60</v>
      </c>
    </row>
    <row r="716" spans="2:52" x14ac:dyDescent="0.15">
      <c r="B716" s="2" t="s">
        <v>531</v>
      </c>
      <c r="C716" s="2" t="s">
        <v>1488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200</v>
      </c>
      <c r="J716" s="4" t="str">
        <f>VLOOKUP(I716,citySet!$B$5:$C$46,2,0)</f>
        <v>庐江</v>
      </c>
      <c r="K716" s="2" t="s">
        <v>1071</v>
      </c>
      <c r="L716" s="2" t="s">
        <v>863</v>
      </c>
      <c r="N716" s="4"/>
      <c r="O716" s="2" t="s">
        <v>270</v>
      </c>
      <c r="P716" s="2" t="s">
        <v>270</v>
      </c>
      <c r="Q716" s="4">
        <v>0</v>
      </c>
      <c r="R716" s="2" t="s">
        <v>370</v>
      </c>
      <c r="S716" s="2" t="s">
        <v>435</v>
      </c>
      <c r="T716" s="2" t="s">
        <v>545</v>
      </c>
      <c r="U716" s="2" t="s">
        <v>340</v>
      </c>
      <c r="V716" s="2" t="s">
        <v>60</v>
      </c>
      <c r="W716" s="4">
        <v>0</v>
      </c>
      <c r="Y716" s="4">
        <v>0</v>
      </c>
      <c r="Z716" s="4" t="s">
        <v>39</v>
      </c>
      <c r="AA716" s="2" t="s">
        <v>60</v>
      </c>
      <c r="AB716" s="2" t="s">
        <v>20</v>
      </c>
      <c r="AC716" s="2" t="s">
        <v>36</v>
      </c>
      <c r="AD716" s="4">
        <v>66</v>
      </c>
      <c r="AE716" s="2" t="s">
        <v>367</v>
      </c>
      <c r="AF716" s="2" t="s">
        <v>554</v>
      </c>
      <c r="AG716" s="2" t="s">
        <v>977</v>
      </c>
      <c r="AH716" s="2" t="s">
        <v>185</v>
      </c>
      <c r="AI716" s="2" t="s">
        <v>1077</v>
      </c>
      <c r="AJ716" s="4"/>
      <c r="AL716" s="4"/>
      <c r="AN716" s="4"/>
      <c r="AP716" s="4"/>
      <c r="AQ716" s="4"/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Z716" s="2" t="s">
        <v>60</v>
      </c>
    </row>
    <row r="717" spans="2:52" x14ac:dyDescent="0.15">
      <c r="B717" s="2" t="s">
        <v>450</v>
      </c>
      <c r="C717" s="2" t="s">
        <v>2625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33</v>
      </c>
      <c r="J717" s="4" t="str">
        <f>VLOOKUP(I717,citySet!$B$5:$C$46,2,0)</f>
        <v>平原</v>
      </c>
      <c r="K717" s="2" t="s">
        <v>2626</v>
      </c>
      <c r="L717" s="2" t="s">
        <v>2627</v>
      </c>
      <c r="N717" s="4"/>
      <c r="O717" s="2" t="s">
        <v>2572</v>
      </c>
      <c r="P717" s="2" t="s">
        <v>2572</v>
      </c>
      <c r="Q717" s="4">
        <v>0</v>
      </c>
      <c r="R717" s="2" t="s">
        <v>370</v>
      </c>
      <c r="S717" s="2" t="s">
        <v>435</v>
      </c>
      <c r="T717" s="2" t="s">
        <v>435</v>
      </c>
      <c r="U717" s="2" t="s">
        <v>597</v>
      </c>
      <c r="V717" s="2" t="s">
        <v>60</v>
      </c>
      <c r="W717" s="4">
        <v>0</v>
      </c>
      <c r="Y717" s="4">
        <v>0</v>
      </c>
      <c r="Z717" s="4" t="s">
        <v>39</v>
      </c>
      <c r="AA717" s="2" t="s">
        <v>60</v>
      </c>
      <c r="AB717" s="2" t="s">
        <v>4</v>
      </c>
      <c r="AC717" s="2" t="s">
        <v>4</v>
      </c>
      <c r="AD717" s="4">
        <v>90</v>
      </c>
      <c r="AE717" s="2" t="s">
        <v>4</v>
      </c>
      <c r="AF717" s="2" t="s">
        <v>176</v>
      </c>
      <c r="AG717" s="2" t="s">
        <v>1208</v>
      </c>
      <c r="AH717" s="2" t="s">
        <v>185</v>
      </c>
      <c r="AI717" s="2" t="s">
        <v>531</v>
      </c>
      <c r="AJ717" s="4"/>
      <c r="AL717" s="4"/>
      <c r="AN717" s="4"/>
      <c r="AP717" s="4"/>
      <c r="AQ717" s="4"/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Z717" s="2" t="s">
        <v>60</v>
      </c>
    </row>
    <row r="718" spans="2:52" x14ac:dyDescent="0.15">
      <c r="B718" s="2" t="s">
        <v>2629</v>
      </c>
      <c r="C718" s="2" t="s">
        <v>2628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33</v>
      </c>
      <c r="J718" s="4" t="str">
        <f>VLOOKUP(I718,citySet!$B$5:$C$46,2,0)</f>
        <v>平原</v>
      </c>
      <c r="K718" s="2" t="s">
        <v>1969</v>
      </c>
      <c r="L718" s="2" t="s">
        <v>2627</v>
      </c>
      <c r="N718" s="4"/>
      <c r="O718" s="2" t="s">
        <v>2576</v>
      </c>
      <c r="P718" s="2" t="s">
        <v>2576</v>
      </c>
      <c r="Q718" s="4">
        <v>0</v>
      </c>
      <c r="R718" s="2" t="s">
        <v>370</v>
      </c>
      <c r="S718" s="2" t="s">
        <v>435</v>
      </c>
      <c r="T718" s="2" t="s">
        <v>435</v>
      </c>
      <c r="U718" s="2" t="s">
        <v>597</v>
      </c>
      <c r="V718" s="2" t="s">
        <v>60</v>
      </c>
      <c r="W718" s="4">
        <v>0</v>
      </c>
      <c r="Y718" s="4">
        <v>0</v>
      </c>
      <c r="Z718" s="4" t="s">
        <v>39</v>
      </c>
      <c r="AA718" s="2" t="s">
        <v>60</v>
      </c>
      <c r="AB718" s="2" t="s">
        <v>4</v>
      </c>
      <c r="AC718" s="2" t="s">
        <v>4</v>
      </c>
      <c r="AD718" s="4">
        <v>90</v>
      </c>
      <c r="AE718" s="2" t="s">
        <v>4</v>
      </c>
      <c r="AF718" s="2" t="s">
        <v>176</v>
      </c>
      <c r="AG718" s="2" t="s">
        <v>1208</v>
      </c>
      <c r="AH718" s="2" t="s">
        <v>185</v>
      </c>
      <c r="AI718" s="2" t="s">
        <v>450</v>
      </c>
      <c r="AJ718" s="4"/>
      <c r="AL718" s="4"/>
      <c r="AN718" s="4"/>
      <c r="AP718" s="4"/>
      <c r="AQ718" s="4"/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Z718" s="2" t="s">
        <v>60</v>
      </c>
    </row>
    <row r="719" spans="2:52" x14ac:dyDescent="0.15">
      <c r="B719" s="2" t="s">
        <v>2198</v>
      </c>
      <c r="C719" s="2" t="s">
        <v>2630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2631</v>
      </c>
      <c r="L719" s="2" t="s">
        <v>73</v>
      </c>
      <c r="N719" s="4"/>
      <c r="O719" s="2" t="s">
        <v>2579</v>
      </c>
      <c r="P719" s="2" t="s">
        <v>2579</v>
      </c>
      <c r="Q719" s="4">
        <v>0</v>
      </c>
      <c r="R719" s="2" t="s">
        <v>370</v>
      </c>
      <c r="S719" s="2" t="s">
        <v>435</v>
      </c>
      <c r="T719" s="2" t="s">
        <v>435</v>
      </c>
      <c r="U719" s="2" t="s">
        <v>597</v>
      </c>
      <c r="V719" s="2" t="s">
        <v>60</v>
      </c>
      <c r="W719" s="4">
        <v>0</v>
      </c>
      <c r="Y719" s="4">
        <v>0</v>
      </c>
      <c r="Z719" s="4" t="s">
        <v>39</v>
      </c>
      <c r="AA719" s="2" t="s">
        <v>60</v>
      </c>
      <c r="AB719" s="2" t="s">
        <v>27</v>
      </c>
      <c r="AC719" s="2" t="s">
        <v>27</v>
      </c>
      <c r="AD719" s="4">
        <v>1</v>
      </c>
      <c r="AE719" s="2" t="s">
        <v>27</v>
      </c>
      <c r="AF719" s="2" t="s">
        <v>27</v>
      </c>
      <c r="AG719" s="2" t="s">
        <v>33</v>
      </c>
      <c r="AH719" s="2" t="s">
        <v>185</v>
      </c>
      <c r="AI719" s="2" t="s">
        <v>2629</v>
      </c>
      <c r="AJ719" s="4"/>
      <c r="AL719" s="4"/>
      <c r="AN719" s="4"/>
      <c r="AP719" s="4"/>
      <c r="AQ719" s="4"/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Z719" s="2" t="s">
        <v>60</v>
      </c>
    </row>
    <row r="720" spans="2:52" x14ac:dyDescent="0.15">
      <c r="B720" s="2" t="s">
        <v>2537</v>
      </c>
      <c r="C720" s="2" t="s">
        <v>2632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2286</v>
      </c>
      <c r="L720" s="2" t="s">
        <v>2633</v>
      </c>
      <c r="N720" s="4"/>
      <c r="O720" s="2" t="s">
        <v>2582</v>
      </c>
      <c r="P720" s="2" t="s">
        <v>2582</v>
      </c>
      <c r="Q720" s="4">
        <v>0</v>
      </c>
      <c r="R720" s="2" t="s">
        <v>370</v>
      </c>
      <c r="S720" s="2" t="s">
        <v>435</v>
      </c>
      <c r="T720" s="2" t="s">
        <v>435</v>
      </c>
      <c r="U720" s="2" t="s">
        <v>597</v>
      </c>
      <c r="V720" s="2" t="s">
        <v>60</v>
      </c>
      <c r="W720" s="4">
        <v>0</v>
      </c>
      <c r="Y720" s="4">
        <v>0</v>
      </c>
      <c r="Z720" s="4" t="s">
        <v>39</v>
      </c>
      <c r="AA720" s="2" t="s">
        <v>60</v>
      </c>
      <c r="AB720" s="2" t="s">
        <v>32</v>
      </c>
      <c r="AC720" s="2" t="s">
        <v>24</v>
      </c>
      <c r="AD720" s="4">
        <v>12</v>
      </c>
      <c r="AE720" s="2" t="s">
        <v>27</v>
      </c>
      <c r="AF720" s="2" t="s">
        <v>27</v>
      </c>
      <c r="AG720" s="2" t="s">
        <v>220</v>
      </c>
      <c r="AH720" s="2" t="s">
        <v>185</v>
      </c>
      <c r="AI720" s="2" t="s">
        <v>2198</v>
      </c>
      <c r="AJ720" s="4"/>
      <c r="AL720" s="4"/>
      <c r="AN720" s="4"/>
      <c r="AP720" s="4"/>
      <c r="AQ720" s="4"/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Z720" s="2" t="s">
        <v>60</v>
      </c>
    </row>
    <row r="721" spans="2:52" x14ac:dyDescent="0.15">
      <c r="B721" s="2" t="s">
        <v>2237</v>
      </c>
      <c r="C721" s="2" t="s">
        <v>110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66</v>
      </c>
      <c r="L721" s="2" t="s">
        <v>2634</v>
      </c>
      <c r="N721" s="4"/>
      <c r="O721" s="2" t="s">
        <v>2585</v>
      </c>
      <c r="P721" s="2" t="s">
        <v>2585</v>
      </c>
      <c r="Q721" s="4">
        <v>0</v>
      </c>
      <c r="R721" s="2" t="s">
        <v>370</v>
      </c>
      <c r="S721" s="2" t="s">
        <v>435</v>
      </c>
      <c r="T721" s="2" t="s">
        <v>435</v>
      </c>
      <c r="U721" s="2" t="s">
        <v>597</v>
      </c>
      <c r="V721" s="2" t="s">
        <v>60</v>
      </c>
      <c r="W721" s="4">
        <v>0</v>
      </c>
      <c r="Y721" s="4">
        <v>0</v>
      </c>
      <c r="Z721" s="4" t="s">
        <v>39</v>
      </c>
      <c r="AA721" s="2" t="s">
        <v>60</v>
      </c>
      <c r="AB721" s="2" t="s">
        <v>27</v>
      </c>
      <c r="AC721" s="2" t="s">
        <v>32</v>
      </c>
      <c r="AD721" s="4">
        <v>1</v>
      </c>
      <c r="AE721" s="2" t="s">
        <v>27</v>
      </c>
      <c r="AF721" s="2" t="s">
        <v>27</v>
      </c>
      <c r="AG721" s="2" t="s">
        <v>17</v>
      </c>
      <c r="AH721" s="2" t="s">
        <v>185</v>
      </c>
      <c r="AI721" s="2" t="s">
        <v>2537</v>
      </c>
      <c r="AJ721" s="4"/>
      <c r="AL721" s="4"/>
      <c r="AN721" s="4"/>
      <c r="AP721" s="4"/>
      <c r="AQ721" s="4"/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Z721" s="2" t="s">
        <v>60</v>
      </c>
    </row>
    <row r="722" spans="2:52" x14ac:dyDescent="0.15">
      <c r="B722" s="2" t="s">
        <v>2635</v>
      </c>
      <c r="C722" s="2" t="s">
        <v>370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370</v>
      </c>
      <c r="N722" s="4"/>
      <c r="O722" s="2" t="s">
        <v>2586</v>
      </c>
      <c r="P722" s="2" t="s">
        <v>2586</v>
      </c>
      <c r="Q722" s="4">
        <v>0</v>
      </c>
      <c r="R722" s="2" t="s">
        <v>370</v>
      </c>
      <c r="S722" s="2" t="s">
        <v>435</v>
      </c>
      <c r="T722" s="2" t="s">
        <v>435</v>
      </c>
      <c r="U722" s="2" t="s">
        <v>597</v>
      </c>
      <c r="V722" s="2" t="s">
        <v>60</v>
      </c>
      <c r="W722" s="4">
        <v>0</v>
      </c>
      <c r="Y722" s="4">
        <v>0</v>
      </c>
      <c r="Z722" s="4" t="s">
        <v>39</v>
      </c>
      <c r="AA722" s="2" t="s">
        <v>60</v>
      </c>
      <c r="AB722" s="2" t="s">
        <v>27</v>
      </c>
      <c r="AC722" s="2" t="s">
        <v>27</v>
      </c>
      <c r="AD722" s="4">
        <v>1</v>
      </c>
      <c r="AE722" s="2" t="s">
        <v>27</v>
      </c>
      <c r="AF722" s="2" t="s">
        <v>27</v>
      </c>
      <c r="AG722" s="2" t="s">
        <v>33</v>
      </c>
      <c r="AH722" s="2" t="s">
        <v>185</v>
      </c>
      <c r="AI722" s="2" t="s">
        <v>2237</v>
      </c>
      <c r="AJ722" s="4"/>
      <c r="AL722" s="4"/>
      <c r="AN722" s="4"/>
      <c r="AP722" s="4"/>
      <c r="AQ722" s="4"/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Z722" s="2" t="s">
        <v>60</v>
      </c>
    </row>
    <row r="723" spans="2:52" x14ac:dyDescent="0.15">
      <c r="B723" s="2" t="s">
        <v>2248</v>
      </c>
      <c r="C723" s="2" t="s">
        <v>577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577</v>
      </c>
      <c r="N723" s="4"/>
      <c r="O723" s="2" t="s">
        <v>792</v>
      </c>
      <c r="P723" s="2" t="s">
        <v>792</v>
      </c>
      <c r="Q723" s="4">
        <v>1</v>
      </c>
      <c r="R723" s="2" t="s">
        <v>577</v>
      </c>
      <c r="S723" s="2" t="s">
        <v>435</v>
      </c>
      <c r="T723" s="2" t="s">
        <v>435</v>
      </c>
      <c r="U723" s="2" t="s">
        <v>597</v>
      </c>
      <c r="V723" s="2" t="s">
        <v>60</v>
      </c>
      <c r="W723" s="4">
        <v>0</v>
      </c>
      <c r="Y723" s="4">
        <v>0</v>
      </c>
      <c r="Z723" s="4" t="s">
        <v>39</v>
      </c>
      <c r="AA723" s="2" t="s">
        <v>60</v>
      </c>
      <c r="AB723" s="2" t="s">
        <v>27</v>
      </c>
      <c r="AC723" s="2" t="s">
        <v>27</v>
      </c>
      <c r="AD723" s="4">
        <v>1</v>
      </c>
      <c r="AE723" s="2" t="s">
        <v>27</v>
      </c>
      <c r="AF723" s="2" t="s">
        <v>27</v>
      </c>
      <c r="AG723" s="2" t="s">
        <v>33</v>
      </c>
      <c r="AH723" s="2" t="s">
        <v>185</v>
      </c>
      <c r="AI723" s="2" t="s">
        <v>2635</v>
      </c>
      <c r="AJ723" s="4"/>
      <c r="AL723" s="4"/>
      <c r="AN723" s="4"/>
      <c r="AP723" s="4"/>
      <c r="AQ723" s="4"/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Z723" s="2" t="s">
        <v>60</v>
      </c>
    </row>
    <row r="724" spans="2:52" x14ac:dyDescent="0.15">
      <c r="B724" s="2" t="s">
        <v>2639</v>
      </c>
      <c r="C724" s="2" t="s">
        <v>2636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2637</v>
      </c>
      <c r="L724" s="2" t="s">
        <v>2638</v>
      </c>
      <c r="N724" s="4"/>
      <c r="O724" s="2" t="s">
        <v>2587</v>
      </c>
      <c r="P724" s="2" t="s">
        <v>2587</v>
      </c>
      <c r="Q724" s="4">
        <v>0</v>
      </c>
      <c r="R724" s="2" t="s">
        <v>370</v>
      </c>
      <c r="S724" s="2" t="s">
        <v>435</v>
      </c>
      <c r="T724" s="2" t="s">
        <v>435</v>
      </c>
      <c r="U724" s="2" t="s">
        <v>597</v>
      </c>
      <c r="V724" s="2" t="s">
        <v>60</v>
      </c>
      <c r="W724" s="4">
        <v>0</v>
      </c>
      <c r="Y724" s="4">
        <v>0</v>
      </c>
      <c r="Z724" s="4" t="s">
        <v>39</v>
      </c>
      <c r="AA724" s="2" t="s">
        <v>60</v>
      </c>
      <c r="AB724" s="2" t="s">
        <v>27</v>
      </c>
      <c r="AC724" s="2" t="s">
        <v>27</v>
      </c>
      <c r="AD724" s="4">
        <v>1</v>
      </c>
      <c r="AE724" s="2" t="s">
        <v>27</v>
      </c>
      <c r="AF724" s="2" t="s">
        <v>27</v>
      </c>
      <c r="AG724" s="2" t="s">
        <v>33</v>
      </c>
      <c r="AH724" s="2" t="s">
        <v>185</v>
      </c>
      <c r="AI724" s="2" t="s">
        <v>2248</v>
      </c>
      <c r="AJ724" s="4"/>
      <c r="AL724" s="4"/>
      <c r="AN724" s="4"/>
      <c r="AP724" s="4"/>
      <c r="AQ724" s="4"/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Z724" s="2" t="s">
        <v>60</v>
      </c>
    </row>
    <row r="725" spans="2:52" x14ac:dyDescent="0.15">
      <c r="B725" s="2" t="s">
        <v>2642</v>
      </c>
      <c r="C725" s="2" t="s">
        <v>2640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1489</v>
      </c>
      <c r="L725" s="2" t="s">
        <v>2641</v>
      </c>
      <c r="N725" s="4"/>
      <c r="O725" s="2" t="s">
        <v>2588</v>
      </c>
      <c r="P725" s="2" t="s">
        <v>2588</v>
      </c>
      <c r="Q725" s="4">
        <v>0</v>
      </c>
      <c r="R725" s="2" t="s">
        <v>370</v>
      </c>
      <c r="S725" s="2" t="s">
        <v>435</v>
      </c>
      <c r="T725" s="2" t="s">
        <v>435</v>
      </c>
      <c r="U725" s="2" t="s">
        <v>597</v>
      </c>
      <c r="V725" s="2" t="s">
        <v>60</v>
      </c>
      <c r="W725" s="4">
        <v>0</v>
      </c>
      <c r="Y725" s="4">
        <v>0</v>
      </c>
      <c r="Z725" s="4" t="s">
        <v>39</v>
      </c>
      <c r="AA725" s="2" t="s">
        <v>60</v>
      </c>
      <c r="AB725" s="2" t="s">
        <v>27</v>
      </c>
      <c r="AC725" s="2" t="s">
        <v>27</v>
      </c>
      <c r="AD725" s="4">
        <v>1</v>
      </c>
      <c r="AE725" s="2" t="s">
        <v>27</v>
      </c>
      <c r="AF725" s="2" t="s">
        <v>27</v>
      </c>
      <c r="AG725" s="2" t="s">
        <v>33</v>
      </c>
      <c r="AH725" s="2" t="s">
        <v>185</v>
      </c>
      <c r="AI725" s="2" t="s">
        <v>2639</v>
      </c>
      <c r="AJ725" s="4"/>
      <c r="AL725" s="4"/>
      <c r="AN725" s="4"/>
      <c r="AP725" s="4"/>
      <c r="AQ725" s="4"/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Z725" s="2" t="s">
        <v>60</v>
      </c>
    </row>
    <row r="726" spans="2:52" x14ac:dyDescent="0.15">
      <c r="B726" s="2" t="s">
        <v>2402</v>
      </c>
      <c r="C726" s="2" t="s">
        <v>44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71</v>
      </c>
      <c r="L726" s="2" t="s">
        <v>2643</v>
      </c>
      <c r="N726" s="4"/>
      <c r="O726" s="2" t="s">
        <v>1466</v>
      </c>
      <c r="P726" s="2" t="s">
        <v>1466</v>
      </c>
      <c r="Q726" s="4">
        <v>0</v>
      </c>
      <c r="R726" s="2" t="s">
        <v>370</v>
      </c>
      <c r="S726" s="2" t="s">
        <v>435</v>
      </c>
      <c r="T726" s="2" t="s">
        <v>499</v>
      </c>
      <c r="U726" s="2" t="s">
        <v>919</v>
      </c>
      <c r="V726" s="2" t="s">
        <v>60</v>
      </c>
      <c r="W726" s="4">
        <v>4</v>
      </c>
      <c r="X726" s="2" t="s">
        <v>914</v>
      </c>
      <c r="Y726" s="4">
        <v>0</v>
      </c>
      <c r="Z726" s="4" t="s">
        <v>39</v>
      </c>
      <c r="AA726" s="2" t="s">
        <v>60</v>
      </c>
      <c r="AB726" s="2" t="s">
        <v>444</v>
      </c>
      <c r="AC726" s="2" t="s">
        <v>153</v>
      </c>
      <c r="AD726" s="4">
        <v>30</v>
      </c>
      <c r="AE726" s="2" t="s">
        <v>107</v>
      </c>
      <c r="AF726" s="2" t="s">
        <v>14</v>
      </c>
      <c r="AG726" s="2" t="s">
        <v>626</v>
      </c>
      <c r="AH726" s="2" t="s">
        <v>185</v>
      </c>
      <c r="AI726" s="2" t="s">
        <v>2642</v>
      </c>
      <c r="AJ726" s="4"/>
      <c r="AL726" s="4"/>
      <c r="AN726" s="4"/>
      <c r="AP726" s="4"/>
      <c r="AQ726" s="4"/>
      <c r="AS726" s="4">
        <v>0</v>
      </c>
      <c r="AT726" s="4">
        <v>0</v>
      </c>
      <c r="AU726" s="4">
        <v>1</v>
      </c>
      <c r="AV726" s="4">
        <v>2</v>
      </c>
      <c r="AW726" s="4">
        <v>0</v>
      </c>
      <c r="AX726" s="4">
        <v>0</v>
      </c>
      <c r="AZ726" s="2" t="s">
        <v>60</v>
      </c>
    </row>
    <row r="727" spans="2:52" x14ac:dyDescent="0.15">
      <c r="B727" s="2" t="s">
        <v>2457</v>
      </c>
      <c r="C727" s="2" t="s">
        <v>2644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71</v>
      </c>
      <c r="L727" s="2" t="s">
        <v>2645</v>
      </c>
      <c r="N727" s="4"/>
      <c r="O727" s="2" t="s">
        <v>2592</v>
      </c>
      <c r="P727" s="2" t="s">
        <v>2592</v>
      </c>
      <c r="Q727" s="4">
        <v>0</v>
      </c>
      <c r="R727" s="2" t="s">
        <v>370</v>
      </c>
      <c r="S727" s="2" t="s">
        <v>435</v>
      </c>
      <c r="T727" s="2" t="s">
        <v>499</v>
      </c>
      <c r="U727" s="2" t="s">
        <v>919</v>
      </c>
      <c r="V727" s="2" t="s">
        <v>60</v>
      </c>
      <c r="W727" s="4">
        <v>1</v>
      </c>
      <c r="X727" s="2" t="s">
        <v>365</v>
      </c>
      <c r="Y727" s="4">
        <v>0</v>
      </c>
      <c r="Z727" s="4" t="s">
        <v>39</v>
      </c>
      <c r="AA727" s="2" t="s">
        <v>60</v>
      </c>
      <c r="AB727" s="2" t="s">
        <v>254</v>
      </c>
      <c r="AC727" s="2" t="s">
        <v>269</v>
      </c>
      <c r="AD727" s="4">
        <v>25</v>
      </c>
      <c r="AE727" s="2" t="s">
        <v>18</v>
      </c>
      <c r="AF727" s="2" t="s">
        <v>8</v>
      </c>
      <c r="AG727" s="2" t="s">
        <v>712</v>
      </c>
      <c r="AH727" s="2" t="s">
        <v>185</v>
      </c>
      <c r="AI727" s="2" t="s">
        <v>2402</v>
      </c>
      <c r="AJ727" s="4"/>
      <c r="AL727" s="4"/>
      <c r="AN727" s="4"/>
      <c r="AP727" s="4"/>
      <c r="AQ727" s="4"/>
      <c r="AS727" s="4">
        <v>0</v>
      </c>
      <c r="AT727" s="4">
        <v>0</v>
      </c>
      <c r="AU727" s="4">
        <v>1</v>
      </c>
      <c r="AV727" s="4">
        <v>2</v>
      </c>
      <c r="AW727" s="4">
        <v>0</v>
      </c>
      <c r="AX727" s="4">
        <v>0</v>
      </c>
      <c r="AZ727" s="2" t="s">
        <v>60</v>
      </c>
    </row>
    <row r="728" spans="2:52" x14ac:dyDescent="0.15">
      <c r="B728" s="2" t="s">
        <v>2502</v>
      </c>
      <c r="C728" s="2" t="s">
        <v>45</v>
      </c>
      <c r="D728" s="2" t="s">
        <v>207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207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69</v>
      </c>
      <c r="L728" s="2" t="s">
        <v>2643</v>
      </c>
      <c r="N728" s="4"/>
      <c r="O728" s="2" t="s">
        <v>2240</v>
      </c>
      <c r="P728" s="2" t="s">
        <v>2240</v>
      </c>
      <c r="Q728" s="4">
        <v>0</v>
      </c>
      <c r="R728" s="2" t="s">
        <v>370</v>
      </c>
      <c r="S728" s="2" t="s">
        <v>435</v>
      </c>
      <c r="T728" s="2" t="s">
        <v>499</v>
      </c>
      <c r="U728" s="2" t="s">
        <v>919</v>
      </c>
      <c r="V728" s="2" t="s">
        <v>60</v>
      </c>
      <c r="W728" s="4">
        <v>4</v>
      </c>
      <c r="X728" s="2" t="s">
        <v>914</v>
      </c>
      <c r="Y728" s="4">
        <v>0</v>
      </c>
      <c r="Z728" s="4" t="s">
        <v>39</v>
      </c>
      <c r="AA728" s="2" t="s">
        <v>60</v>
      </c>
      <c r="AB728" s="2" t="s">
        <v>382</v>
      </c>
      <c r="AC728" s="2" t="s">
        <v>515</v>
      </c>
      <c r="AD728" s="4">
        <v>31</v>
      </c>
      <c r="AE728" s="2" t="s">
        <v>106</v>
      </c>
      <c r="AF728" s="2" t="s">
        <v>7</v>
      </c>
      <c r="AG728" s="2" t="s">
        <v>562</v>
      </c>
      <c r="AH728" s="2" t="s">
        <v>185</v>
      </c>
      <c r="AI728" s="2" t="s">
        <v>2457</v>
      </c>
      <c r="AJ728" s="4"/>
      <c r="AL728" s="4"/>
      <c r="AN728" s="4"/>
      <c r="AP728" s="4"/>
      <c r="AQ728" s="4"/>
      <c r="AS728" s="4">
        <v>1</v>
      </c>
      <c r="AT728" s="4">
        <v>0</v>
      </c>
      <c r="AU728" s="4">
        <v>0</v>
      </c>
      <c r="AV728" s="4">
        <v>2</v>
      </c>
      <c r="AW728" s="4">
        <v>0</v>
      </c>
      <c r="AX728" s="4">
        <v>0</v>
      </c>
      <c r="AZ728" s="2" t="s">
        <v>60</v>
      </c>
    </row>
    <row r="729" spans="2:52" x14ac:dyDescent="0.15">
      <c r="B729" s="2" t="s">
        <v>2647</v>
      </c>
      <c r="C729" s="2" t="s">
        <v>2646</v>
      </c>
      <c r="D729" s="2" t="s">
        <v>207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207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69</v>
      </c>
      <c r="L729" s="2" t="s">
        <v>2645</v>
      </c>
      <c r="N729" s="4"/>
      <c r="O729" s="2" t="s">
        <v>1918</v>
      </c>
      <c r="P729" s="2" t="s">
        <v>1918</v>
      </c>
      <c r="Q729" s="4">
        <v>0</v>
      </c>
      <c r="R729" s="2" t="s">
        <v>370</v>
      </c>
      <c r="S729" s="2" t="s">
        <v>435</v>
      </c>
      <c r="T729" s="2" t="s">
        <v>499</v>
      </c>
      <c r="U729" s="2" t="s">
        <v>919</v>
      </c>
      <c r="V729" s="2" t="s">
        <v>60</v>
      </c>
      <c r="W729" s="4">
        <v>1</v>
      </c>
      <c r="X729" s="2" t="s">
        <v>365</v>
      </c>
      <c r="Y729" s="4">
        <v>0</v>
      </c>
      <c r="Z729" s="4" t="s">
        <v>39</v>
      </c>
      <c r="AA729" s="2" t="s">
        <v>60</v>
      </c>
      <c r="AB729" s="2" t="s">
        <v>201</v>
      </c>
      <c r="AC729" s="2" t="s">
        <v>423</v>
      </c>
      <c r="AD729" s="4">
        <v>19</v>
      </c>
      <c r="AE729" s="2" t="s">
        <v>8</v>
      </c>
      <c r="AF729" s="2" t="s">
        <v>104</v>
      </c>
      <c r="AG729" s="2" t="s">
        <v>555</v>
      </c>
      <c r="AH729" s="2" t="s">
        <v>185</v>
      </c>
      <c r="AI729" s="2" t="s">
        <v>2502</v>
      </c>
      <c r="AJ729" s="4"/>
      <c r="AL729" s="4"/>
      <c r="AN729" s="4"/>
      <c r="AP729" s="4"/>
      <c r="AQ729" s="4"/>
      <c r="AS729" s="4">
        <v>1</v>
      </c>
      <c r="AT729" s="4">
        <v>0</v>
      </c>
      <c r="AU729" s="4">
        <v>0</v>
      </c>
      <c r="AV729" s="4">
        <v>2</v>
      </c>
      <c r="AW729" s="4">
        <v>0</v>
      </c>
      <c r="AX729" s="4">
        <v>0</v>
      </c>
      <c r="AZ729" s="2" t="s">
        <v>60</v>
      </c>
    </row>
    <row r="730" spans="2:52" x14ac:dyDescent="0.15">
      <c r="B730" s="2" t="s">
        <v>2508</v>
      </c>
      <c r="C730" s="2" t="s">
        <v>46</v>
      </c>
      <c r="D730" s="2" t="s">
        <v>21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21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70</v>
      </c>
      <c r="L730" s="2" t="s">
        <v>2643</v>
      </c>
      <c r="N730" s="4"/>
      <c r="O730" s="2" t="s">
        <v>2593</v>
      </c>
      <c r="P730" s="2" t="s">
        <v>2593</v>
      </c>
      <c r="Q730" s="4">
        <v>0</v>
      </c>
      <c r="R730" s="2" t="s">
        <v>370</v>
      </c>
      <c r="S730" s="2" t="s">
        <v>435</v>
      </c>
      <c r="T730" s="2" t="s">
        <v>499</v>
      </c>
      <c r="U730" s="2" t="s">
        <v>919</v>
      </c>
      <c r="V730" s="2" t="s">
        <v>60</v>
      </c>
      <c r="W730" s="4">
        <v>4</v>
      </c>
      <c r="X730" s="2" t="s">
        <v>914</v>
      </c>
      <c r="Y730" s="4">
        <v>0</v>
      </c>
      <c r="Z730" s="4" t="s">
        <v>39</v>
      </c>
      <c r="AA730" s="2" t="s">
        <v>60</v>
      </c>
      <c r="AB730" s="2" t="s">
        <v>423</v>
      </c>
      <c r="AC730" s="2" t="s">
        <v>374</v>
      </c>
      <c r="AD730" s="4">
        <v>27</v>
      </c>
      <c r="AE730" s="2" t="s">
        <v>10</v>
      </c>
      <c r="AF730" s="2" t="s">
        <v>3</v>
      </c>
      <c r="AG730" s="2" t="s">
        <v>626</v>
      </c>
      <c r="AH730" s="2" t="s">
        <v>185</v>
      </c>
      <c r="AI730" s="2" t="s">
        <v>2647</v>
      </c>
      <c r="AJ730" s="4"/>
      <c r="AL730" s="4"/>
      <c r="AN730" s="4"/>
      <c r="AP730" s="4"/>
      <c r="AQ730" s="4"/>
      <c r="AS730" s="4">
        <v>1</v>
      </c>
      <c r="AT730" s="4">
        <v>2</v>
      </c>
      <c r="AU730" s="4">
        <v>1</v>
      </c>
      <c r="AV730" s="4">
        <v>0</v>
      </c>
      <c r="AW730" s="4">
        <v>0</v>
      </c>
      <c r="AX730" s="4">
        <v>2</v>
      </c>
      <c r="AZ730" s="2" t="s">
        <v>60</v>
      </c>
    </row>
    <row r="731" spans="2:52" x14ac:dyDescent="0.15">
      <c r="B731" s="2" t="s">
        <v>1364</v>
      </c>
      <c r="C731" s="2" t="s">
        <v>2648</v>
      </c>
      <c r="D731" s="2" t="s">
        <v>21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21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70</v>
      </c>
      <c r="L731" s="2" t="s">
        <v>2645</v>
      </c>
      <c r="N731" s="4"/>
      <c r="O731" s="2" t="s">
        <v>2594</v>
      </c>
      <c r="P731" s="2" t="s">
        <v>2594</v>
      </c>
      <c r="Q731" s="4">
        <v>0</v>
      </c>
      <c r="R731" s="2" t="s">
        <v>370</v>
      </c>
      <c r="S731" s="2" t="s">
        <v>435</v>
      </c>
      <c r="T731" s="2" t="s">
        <v>499</v>
      </c>
      <c r="U731" s="2" t="s">
        <v>919</v>
      </c>
      <c r="V731" s="2" t="s">
        <v>60</v>
      </c>
      <c r="W731" s="4">
        <v>1</v>
      </c>
      <c r="X731" s="2" t="s">
        <v>365</v>
      </c>
      <c r="Y731" s="4">
        <v>0</v>
      </c>
      <c r="Z731" s="4" t="s">
        <v>39</v>
      </c>
      <c r="AA731" s="2" t="s">
        <v>60</v>
      </c>
      <c r="AB731" s="2" t="s">
        <v>254</v>
      </c>
      <c r="AC731" s="2" t="s">
        <v>444</v>
      </c>
      <c r="AD731" s="4">
        <v>19</v>
      </c>
      <c r="AE731" s="2" t="s">
        <v>41</v>
      </c>
      <c r="AF731" s="2" t="s">
        <v>105</v>
      </c>
      <c r="AG731" s="2" t="s">
        <v>555</v>
      </c>
      <c r="AH731" s="2" t="s">
        <v>185</v>
      </c>
      <c r="AI731" s="2" t="s">
        <v>2508</v>
      </c>
      <c r="AJ731" s="4"/>
      <c r="AL731" s="4"/>
      <c r="AN731" s="4"/>
      <c r="AP731" s="4"/>
      <c r="AQ731" s="4"/>
      <c r="AS731" s="4">
        <v>1</v>
      </c>
      <c r="AT731" s="4">
        <v>2</v>
      </c>
      <c r="AU731" s="4">
        <v>1</v>
      </c>
      <c r="AV731" s="4">
        <v>0</v>
      </c>
      <c r="AW731" s="4">
        <v>0</v>
      </c>
      <c r="AX731" s="4">
        <v>2</v>
      </c>
      <c r="AZ731" s="2" t="s">
        <v>60</v>
      </c>
    </row>
    <row r="732" spans="2:52" x14ac:dyDescent="0.15">
      <c r="B732" s="2" t="s">
        <v>1891</v>
      </c>
      <c r="C732" s="2" t="s">
        <v>47</v>
      </c>
      <c r="D732" s="2" t="s">
        <v>237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237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72</v>
      </c>
      <c r="L732" s="2" t="s">
        <v>2643</v>
      </c>
      <c r="N732" s="4"/>
      <c r="O732" s="2" t="s">
        <v>2595</v>
      </c>
      <c r="P732" s="2" t="s">
        <v>2595</v>
      </c>
      <c r="Q732" s="4">
        <v>0</v>
      </c>
      <c r="R732" s="2" t="s">
        <v>370</v>
      </c>
      <c r="S732" s="2" t="s">
        <v>435</v>
      </c>
      <c r="T732" s="2" t="s">
        <v>499</v>
      </c>
      <c r="U732" s="2" t="s">
        <v>919</v>
      </c>
      <c r="V732" s="2" t="s">
        <v>60</v>
      </c>
      <c r="W732" s="4">
        <v>4</v>
      </c>
      <c r="X732" s="2" t="s">
        <v>914</v>
      </c>
      <c r="Y732" s="4">
        <v>0</v>
      </c>
      <c r="Z732" s="4" t="s">
        <v>39</v>
      </c>
      <c r="AA732" s="2" t="s">
        <v>60</v>
      </c>
      <c r="AB732" s="2" t="s">
        <v>382</v>
      </c>
      <c r="AC732" s="2" t="s">
        <v>153</v>
      </c>
      <c r="AD732" s="4">
        <v>26</v>
      </c>
      <c r="AE732" s="2" t="s">
        <v>10</v>
      </c>
      <c r="AF732" s="2" t="s">
        <v>254</v>
      </c>
      <c r="AG732" s="2" t="s">
        <v>562</v>
      </c>
      <c r="AH732" s="2" t="s">
        <v>185</v>
      </c>
      <c r="AI732" s="2" t="s">
        <v>1364</v>
      </c>
      <c r="AJ732" s="4"/>
      <c r="AL732" s="4"/>
      <c r="AN732" s="4"/>
      <c r="AP732" s="4"/>
      <c r="AQ732" s="4"/>
      <c r="AS732" s="4">
        <v>1</v>
      </c>
      <c r="AT732" s="4">
        <v>2</v>
      </c>
      <c r="AU732" s="4">
        <v>1</v>
      </c>
      <c r="AV732" s="4">
        <v>0</v>
      </c>
      <c r="AW732" s="4">
        <v>0</v>
      </c>
      <c r="AX732" s="4">
        <v>0</v>
      </c>
      <c r="AZ732" s="2" t="s">
        <v>60</v>
      </c>
    </row>
    <row r="733" spans="2:52" x14ac:dyDescent="0.15">
      <c r="B733" s="2" t="s">
        <v>2119</v>
      </c>
      <c r="C733" s="2" t="s">
        <v>2649</v>
      </c>
      <c r="D733" s="2" t="s">
        <v>237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237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72</v>
      </c>
      <c r="L733" s="2" t="s">
        <v>2645</v>
      </c>
      <c r="N733" s="4"/>
      <c r="O733" s="2" t="s">
        <v>2596</v>
      </c>
      <c r="P733" s="2" t="s">
        <v>2596</v>
      </c>
      <c r="Q733" s="4">
        <v>0</v>
      </c>
      <c r="R733" s="2" t="s">
        <v>370</v>
      </c>
      <c r="S733" s="2" t="s">
        <v>435</v>
      </c>
      <c r="T733" s="2" t="s">
        <v>499</v>
      </c>
      <c r="U733" s="2" t="s">
        <v>919</v>
      </c>
      <c r="V733" s="2" t="s">
        <v>60</v>
      </c>
      <c r="W733" s="4">
        <v>1</v>
      </c>
      <c r="X733" s="2" t="s">
        <v>365</v>
      </c>
      <c r="Y733" s="4">
        <v>0</v>
      </c>
      <c r="Z733" s="4" t="s">
        <v>39</v>
      </c>
      <c r="AA733" s="2" t="s">
        <v>60</v>
      </c>
      <c r="AB733" s="2" t="s">
        <v>3</v>
      </c>
      <c r="AC733" s="2" t="s">
        <v>382</v>
      </c>
      <c r="AD733" s="4">
        <v>16</v>
      </c>
      <c r="AE733" s="2" t="s">
        <v>18</v>
      </c>
      <c r="AF733" s="2" t="s">
        <v>10</v>
      </c>
      <c r="AG733" s="2" t="s">
        <v>579</v>
      </c>
      <c r="AH733" s="2" t="s">
        <v>185</v>
      </c>
      <c r="AI733" s="2" t="s">
        <v>1891</v>
      </c>
      <c r="AJ733" s="4"/>
      <c r="AL733" s="4"/>
      <c r="AN733" s="4"/>
      <c r="AP733" s="4"/>
      <c r="AQ733" s="4"/>
      <c r="AS733" s="4">
        <v>1</v>
      </c>
      <c r="AT733" s="4">
        <v>2</v>
      </c>
      <c r="AU733" s="4">
        <v>1</v>
      </c>
      <c r="AV733" s="4">
        <v>0</v>
      </c>
      <c r="AW733" s="4">
        <v>0</v>
      </c>
      <c r="AX733" s="4">
        <v>0</v>
      </c>
      <c r="AZ733" s="2" t="s">
        <v>60</v>
      </c>
    </row>
    <row r="734" spans="2:52" x14ac:dyDescent="0.15">
      <c r="B734" s="2" t="s">
        <v>2652</v>
      </c>
      <c r="C734" s="2" t="s">
        <v>2650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18</v>
      </c>
      <c r="J734" s="4" t="str">
        <f>VLOOKUP(I734,citySet!$B$5:$C$46,2,0)</f>
        <v>洛阳</v>
      </c>
      <c r="K734" s="2" t="s">
        <v>1865</v>
      </c>
      <c r="L734" s="2" t="s">
        <v>2651</v>
      </c>
      <c r="N734" s="4"/>
      <c r="O734" s="2" t="s">
        <v>2270</v>
      </c>
      <c r="P734" s="2" t="s">
        <v>2270</v>
      </c>
      <c r="Q734" s="4">
        <v>0</v>
      </c>
      <c r="R734" s="2" t="s">
        <v>370</v>
      </c>
      <c r="S734" s="2" t="s">
        <v>435</v>
      </c>
      <c r="T734" s="2" t="s">
        <v>80</v>
      </c>
      <c r="U734" s="2" t="s">
        <v>393</v>
      </c>
      <c r="V734" s="2" t="s">
        <v>60</v>
      </c>
      <c r="W734" s="4">
        <v>6</v>
      </c>
      <c r="X734" s="2" t="s">
        <v>2603</v>
      </c>
      <c r="Y734" s="4">
        <v>0</v>
      </c>
      <c r="Z734" s="4" t="s">
        <v>39</v>
      </c>
      <c r="AA734" s="2" t="s">
        <v>60</v>
      </c>
      <c r="AB734" s="2" t="s">
        <v>20</v>
      </c>
      <c r="AC734" s="2" t="s">
        <v>27</v>
      </c>
      <c r="AD734" s="4">
        <v>84</v>
      </c>
      <c r="AE734" s="2" t="s">
        <v>404</v>
      </c>
      <c r="AF734" s="2" t="s">
        <v>193</v>
      </c>
      <c r="AG734" s="2" t="s">
        <v>544</v>
      </c>
      <c r="AH734" s="2" t="s">
        <v>185</v>
      </c>
      <c r="AI734" s="2" t="s">
        <v>2119</v>
      </c>
      <c r="AJ734" s="4"/>
      <c r="AL734" s="4"/>
      <c r="AN734" s="4"/>
      <c r="AP734" s="4"/>
      <c r="AQ734" s="4"/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Z734" s="2" t="s">
        <v>60</v>
      </c>
    </row>
    <row r="735" spans="2:52" x14ac:dyDescent="0.15">
      <c r="B735" s="2" t="s">
        <v>270</v>
      </c>
      <c r="C735" s="2" t="s">
        <v>2653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18</v>
      </c>
      <c r="J735" s="4" t="str">
        <f>VLOOKUP(I735,citySet!$B$5:$C$46,2,0)</f>
        <v>洛阳</v>
      </c>
      <c r="K735" s="2" t="s">
        <v>2655</v>
      </c>
      <c r="L735" s="2" t="s">
        <v>2656</v>
      </c>
      <c r="N735" s="4"/>
      <c r="O735" s="2" t="s">
        <v>2654</v>
      </c>
      <c r="P735" s="2" t="s">
        <v>2654</v>
      </c>
      <c r="Q735" s="4">
        <v>0</v>
      </c>
      <c r="R735" s="2" t="s">
        <v>370</v>
      </c>
      <c r="S735" s="2" t="s">
        <v>435</v>
      </c>
      <c r="T735" s="2" t="s">
        <v>524</v>
      </c>
      <c r="U735" s="2" t="s">
        <v>393</v>
      </c>
      <c r="V735" s="2" t="s">
        <v>60</v>
      </c>
      <c r="W735" s="4">
        <v>6</v>
      </c>
      <c r="X735" s="2" t="s">
        <v>2603</v>
      </c>
      <c r="Y735" s="4">
        <v>0</v>
      </c>
      <c r="Z735" s="4" t="s">
        <v>39</v>
      </c>
      <c r="AA735" s="2" t="s">
        <v>60</v>
      </c>
      <c r="AB735" s="2" t="s">
        <v>18</v>
      </c>
      <c r="AC735" s="2" t="s">
        <v>34</v>
      </c>
      <c r="AD735" s="4">
        <v>78</v>
      </c>
      <c r="AE735" s="2" t="s">
        <v>423</v>
      </c>
      <c r="AF735" s="2" t="s">
        <v>104</v>
      </c>
      <c r="AG735" s="2" t="s">
        <v>778</v>
      </c>
      <c r="AH735" s="2" t="s">
        <v>185</v>
      </c>
      <c r="AI735" s="2" t="s">
        <v>2652</v>
      </c>
      <c r="AJ735" s="4"/>
      <c r="AL735" s="4"/>
      <c r="AN735" s="4"/>
      <c r="AP735" s="4"/>
      <c r="AQ735" s="4"/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Z735" s="2" t="s">
        <v>60</v>
      </c>
    </row>
    <row r="736" spans="2:52" x14ac:dyDescent="0.15">
      <c r="B736" s="2" t="s">
        <v>1587</v>
      </c>
      <c r="C736" s="2" t="s">
        <v>3122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2658</v>
      </c>
      <c r="L736" s="2" t="s">
        <v>2659</v>
      </c>
      <c r="N736" s="4"/>
      <c r="O736" s="2" t="s">
        <v>2657</v>
      </c>
      <c r="P736" s="2" t="s">
        <v>2657</v>
      </c>
      <c r="Q736" s="4">
        <v>0</v>
      </c>
      <c r="R736" s="2" t="s">
        <v>370</v>
      </c>
      <c r="S736" s="2" t="s">
        <v>435</v>
      </c>
      <c r="T736" s="2" t="s">
        <v>435</v>
      </c>
      <c r="U736" s="2" t="s">
        <v>597</v>
      </c>
      <c r="V736" s="2" t="s">
        <v>60</v>
      </c>
      <c r="W736" s="4">
        <v>0</v>
      </c>
      <c r="Y736" s="4">
        <v>0</v>
      </c>
      <c r="Z736" s="4" t="s">
        <v>39</v>
      </c>
      <c r="AA736" s="2" t="s">
        <v>60</v>
      </c>
      <c r="AB736" s="2" t="s">
        <v>27</v>
      </c>
      <c r="AC736" s="2" t="s">
        <v>27</v>
      </c>
      <c r="AD736" s="4">
        <v>1</v>
      </c>
      <c r="AE736" s="2" t="s">
        <v>27</v>
      </c>
      <c r="AF736" s="2" t="s">
        <v>27</v>
      </c>
      <c r="AG736" s="2" t="s">
        <v>33</v>
      </c>
      <c r="AH736" s="2" t="s">
        <v>185</v>
      </c>
      <c r="AI736" s="2" t="s">
        <v>270</v>
      </c>
      <c r="AJ736" s="4"/>
      <c r="AL736" s="4"/>
      <c r="AN736" s="4"/>
      <c r="AP736" s="4"/>
      <c r="AQ736" s="4"/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Z736" s="2" t="s">
        <v>60</v>
      </c>
    </row>
    <row r="737" spans="2:52" x14ac:dyDescent="0.15">
      <c r="B737" s="2" t="s">
        <v>1621</v>
      </c>
      <c r="C737" s="2" t="s">
        <v>2660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2662</v>
      </c>
      <c r="L737" s="2" t="s">
        <v>2663</v>
      </c>
      <c r="N737" s="4"/>
      <c r="O737" s="2" t="s">
        <v>2661</v>
      </c>
      <c r="P737" s="2" t="s">
        <v>2661</v>
      </c>
      <c r="Q737" s="4">
        <v>0</v>
      </c>
      <c r="R737" s="2" t="s">
        <v>370</v>
      </c>
      <c r="S737" s="2" t="s">
        <v>435</v>
      </c>
      <c r="T737" s="2" t="s">
        <v>435</v>
      </c>
      <c r="U737" s="2" t="s">
        <v>597</v>
      </c>
      <c r="V737" s="2" t="s">
        <v>60</v>
      </c>
      <c r="W737" s="4">
        <v>0</v>
      </c>
      <c r="Y737" s="4">
        <v>0</v>
      </c>
      <c r="Z737" s="4" t="s">
        <v>39</v>
      </c>
      <c r="AA737" s="2" t="s">
        <v>60</v>
      </c>
      <c r="AB737" s="2" t="s">
        <v>27</v>
      </c>
      <c r="AC737" s="2" t="s">
        <v>32</v>
      </c>
      <c r="AD737" s="4">
        <v>1</v>
      </c>
      <c r="AE737" s="2" t="s">
        <v>27</v>
      </c>
      <c r="AF737" s="2" t="s">
        <v>27</v>
      </c>
      <c r="AG737" s="2" t="s">
        <v>17</v>
      </c>
      <c r="AH737" s="2" t="s">
        <v>185</v>
      </c>
      <c r="AI737" s="2" t="s">
        <v>1587</v>
      </c>
      <c r="AJ737" s="4"/>
      <c r="AL737" s="4"/>
      <c r="AN737" s="4"/>
      <c r="AP737" s="4"/>
      <c r="AQ737" s="4"/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Z737" s="2" t="s">
        <v>60</v>
      </c>
    </row>
    <row r="738" spans="2:52" x14ac:dyDescent="0.15">
      <c r="B738" s="2" t="s">
        <v>2227</v>
      </c>
      <c r="C738" s="2" t="s">
        <v>2664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2666</v>
      </c>
      <c r="L738" s="2" t="s">
        <v>2667</v>
      </c>
      <c r="N738" s="4"/>
      <c r="O738" s="2" t="s">
        <v>2665</v>
      </c>
      <c r="P738" s="2" t="s">
        <v>2665</v>
      </c>
      <c r="Q738" s="4">
        <v>0</v>
      </c>
      <c r="R738" s="2" t="s">
        <v>370</v>
      </c>
      <c r="S738" s="2" t="s">
        <v>435</v>
      </c>
      <c r="T738" s="2" t="s">
        <v>435</v>
      </c>
      <c r="U738" s="2" t="s">
        <v>597</v>
      </c>
      <c r="V738" s="2" t="s">
        <v>60</v>
      </c>
      <c r="W738" s="4">
        <v>0</v>
      </c>
      <c r="Y738" s="4">
        <v>0</v>
      </c>
      <c r="Z738" s="4" t="s">
        <v>39</v>
      </c>
      <c r="AA738" s="2" t="s">
        <v>60</v>
      </c>
      <c r="AB738" s="2" t="s">
        <v>27</v>
      </c>
      <c r="AC738" s="2" t="s">
        <v>27</v>
      </c>
      <c r="AD738" s="4">
        <v>1</v>
      </c>
      <c r="AE738" s="2" t="s">
        <v>4</v>
      </c>
      <c r="AF738" s="2" t="s">
        <v>4</v>
      </c>
      <c r="AG738" s="2" t="s">
        <v>475</v>
      </c>
      <c r="AH738" s="2" t="s">
        <v>185</v>
      </c>
      <c r="AI738" s="2" t="s">
        <v>1621</v>
      </c>
      <c r="AJ738" s="4"/>
      <c r="AL738" s="4"/>
      <c r="AN738" s="4"/>
      <c r="AP738" s="4"/>
      <c r="AQ738" s="4"/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Z738" s="2" t="s">
        <v>60</v>
      </c>
    </row>
    <row r="739" spans="2:52" x14ac:dyDescent="0.15">
      <c r="B739" s="2" t="s">
        <v>2672</v>
      </c>
      <c r="C739" s="2" t="s">
        <v>2668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2670</v>
      </c>
      <c r="L739" s="2" t="s">
        <v>2671</v>
      </c>
      <c r="N739" s="4"/>
      <c r="O739" s="2" t="s">
        <v>2669</v>
      </c>
      <c r="P739" s="2" t="s">
        <v>2669</v>
      </c>
      <c r="Q739" s="4">
        <v>0</v>
      </c>
      <c r="R739" s="2" t="s">
        <v>370</v>
      </c>
      <c r="S739" s="2" t="s">
        <v>435</v>
      </c>
      <c r="T739" s="2" t="s">
        <v>435</v>
      </c>
      <c r="U739" s="2" t="s">
        <v>597</v>
      </c>
      <c r="V739" s="2" t="s">
        <v>60</v>
      </c>
      <c r="W739" s="4">
        <v>0</v>
      </c>
      <c r="Y739" s="4">
        <v>0</v>
      </c>
      <c r="Z739" s="4" t="s">
        <v>39</v>
      </c>
      <c r="AA739" s="2" t="s">
        <v>60</v>
      </c>
      <c r="AB739" s="2" t="s">
        <v>27</v>
      </c>
      <c r="AC739" s="2" t="s">
        <v>27</v>
      </c>
      <c r="AD739" s="4">
        <v>1</v>
      </c>
      <c r="AE739" s="2" t="s">
        <v>27</v>
      </c>
      <c r="AF739" s="2" t="s">
        <v>32</v>
      </c>
      <c r="AG739" s="2" t="s">
        <v>17</v>
      </c>
      <c r="AH739" s="2" t="s">
        <v>185</v>
      </c>
      <c r="AI739" s="2" t="s">
        <v>2227</v>
      </c>
      <c r="AJ739" s="4"/>
      <c r="AL739" s="4"/>
      <c r="AN739" s="4"/>
      <c r="AP739" s="4"/>
      <c r="AQ739" s="4"/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Z739" s="2" t="s">
        <v>60</v>
      </c>
    </row>
    <row r="740" spans="2:52" x14ac:dyDescent="0.15">
      <c r="B740" s="2" t="s">
        <v>641</v>
      </c>
      <c r="C740" s="2" t="s">
        <v>2673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2675</v>
      </c>
      <c r="L740" s="2" t="s">
        <v>2633</v>
      </c>
      <c r="N740" s="4"/>
      <c r="O740" s="2" t="s">
        <v>2674</v>
      </c>
      <c r="P740" s="2" t="s">
        <v>2674</v>
      </c>
      <c r="Q740" s="4">
        <v>0</v>
      </c>
      <c r="R740" s="2" t="s">
        <v>370</v>
      </c>
      <c r="S740" s="2" t="s">
        <v>435</v>
      </c>
      <c r="T740" s="2" t="s">
        <v>435</v>
      </c>
      <c r="U740" s="2" t="s">
        <v>597</v>
      </c>
      <c r="V740" s="2" t="s">
        <v>60</v>
      </c>
      <c r="W740" s="4">
        <v>0</v>
      </c>
      <c r="Y740" s="4">
        <v>0</v>
      </c>
      <c r="Z740" s="4" t="s">
        <v>39</v>
      </c>
      <c r="AA740" s="2" t="s">
        <v>60</v>
      </c>
      <c r="AB740" s="2" t="s">
        <v>27</v>
      </c>
      <c r="AC740" s="2" t="s">
        <v>27</v>
      </c>
      <c r="AD740" s="4">
        <v>10</v>
      </c>
      <c r="AE740" s="2" t="s">
        <v>27</v>
      </c>
      <c r="AF740" s="2" t="s">
        <v>27</v>
      </c>
      <c r="AG740" s="2" t="s">
        <v>17</v>
      </c>
      <c r="AH740" s="2" t="s">
        <v>185</v>
      </c>
      <c r="AI740" s="2" t="s">
        <v>2672</v>
      </c>
      <c r="AJ740" s="4"/>
      <c r="AL740" s="4"/>
      <c r="AN740" s="4"/>
      <c r="AP740" s="4"/>
      <c r="AQ740" s="4"/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Z740" s="2" t="s">
        <v>60</v>
      </c>
    </row>
    <row r="741" spans="2:52" x14ac:dyDescent="0.15">
      <c r="B741" s="2" t="s">
        <v>2270</v>
      </c>
      <c r="C741" s="2" t="s">
        <v>2676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2678</v>
      </c>
      <c r="L741" s="2" t="s">
        <v>2679</v>
      </c>
      <c r="N741" s="4"/>
      <c r="O741" s="2" t="s">
        <v>2677</v>
      </c>
      <c r="P741" s="2" t="s">
        <v>2677</v>
      </c>
      <c r="Q741" s="4">
        <v>1</v>
      </c>
      <c r="R741" s="2" t="s">
        <v>577</v>
      </c>
      <c r="S741" s="2" t="s">
        <v>435</v>
      </c>
      <c r="T741" s="2" t="s">
        <v>435</v>
      </c>
      <c r="U741" s="2" t="s">
        <v>597</v>
      </c>
      <c r="V741" s="2" t="s">
        <v>60</v>
      </c>
      <c r="W741" s="4">
        <v>0</v>
      </c>
      <c r="Y741" s="4">
        <v>0</v>
      </c>
      <c r="Z741" s="4" t="s">
        <v>39</v>
      </c>
      <c r="AA741" s="2" t="s">
        <v>60</v>
      </c>
      <c r="AB741" s="2" t="s">
        <v>27</v>
      </c>
      <c r="AC741" s="2" t="s">
        <v>27</v>
      </c>
      <c r="AD741" s="4">
        <v>1</v>
      </c>
      <c r="AE741" s="2" t="s">
        <v>106</v>
      </c>
      <c r="AF741" s="2" t="s">
        <v>153</v>
      </c>
      <c r="AG741" s="2" t="s">
        <v>130</v>
      </c>
      <c r="AH741" s="2" t="s">
        <v>185</v>
      </c>
      <c r="AI741" s="2" t="s">
        <v>641</v>
      </c>
      <c r="AJ741" s="4"/>
      <c r="AL741" s="4"/>
      <c r="AN741" s="4"/>
      <c r="AP741" s="4"/>
      <c r="AQ741" s="4"/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Z741" s="2" t="s">
        <v>60</v>
      </c>
    </row>
    <row r="742" spans="2:52" x14ac:dyDescent="0.15">
      <c r="B742" s="2" t="s">
        <v>2669</v>
      </c>
      <c r="C742" s="2" t="s">
        <v>2680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2637</v>
      </c>
      <c r="L742" s="2" t="s">
        <v>2682</v>
      </c>
      <c r="N742" s="4"/>
      <c r="O742" s="2" t="s">
        <v>2681</v>
      </c>
      <c r="P742" s="2" t="s">
        <v>2681</v>
      </c>
      <c r="Q742" s="4">
        <v>0</v>
      </c>
      <c r="R742" s="2" t="s">
        <v>370</v>
      </c>
      <c r="S742" s="2" t="s">
        <v>435</v>
      </c>
      <c r="T742" s="2" t="s">
        <v>435</v>
      </c>
      <c r="U742" s="2" t="s">
        <v>597</v>
      </c>
      <c r="V742" s="2" t="s">
        <v>60</v>
      </c>
      <c r="W742" s="4">
        <v>0</v>
      </c>
      <c r="Y742" s="4">
        <v>0</v>
      </c>
      <c r="Z742" s="4" t="s">
        <v>39</v>
      </c>
      <c r="AA742" s="2" t="s">
        <v>60</v>
      </c>
      <c r="AB742" s="2" t="s">
        <v>27</v>
      </c>
      <c r="AC742" s="2" t="s">
        <v>27</v>
      </c>
      <c r="AD742" s="4">
        <v>1</v>
      </c>
      <c r="AE742" s="2" t="s">
        <v>27</v>
      </c>
      <c r="AF742" s="2" t="s">
        <v>27</v>
      </c>
      <c r="AG742" s="2" t="s">
        <v>33</v>
      </c>
      <c r="AH742" s="2" t="s">
        <v>185</v>
      </c>
      <c r="AI742" s="2" t="s">
        <v>2270</v>
      </c>
      <c r="AJ742" s="4"/>
      <c r="AL742" s="4"/>
      <c r="AN742" s="4"/>
      <c r="AP742" s="4"/>
      <c r="AQ742" s="4"/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Z742" s="2" t="s">
        <v>60</v>
      </c>
    </row>
    <row r="743" spans="2:52" x14ac:dyDescent="0.15">
      <c r="B743" s="2" t="s">
        <v>2674</v>
      </c>
      <c r="C743" s="2" t="s">
        <v>2683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2637</v>
      </c>
      <c r="L743" s="2" t="s">
        <v>2685</v>
      </c>
      <c r="N743" s="4"/>
      <c r="O743" s="2" t="s">
        <v>2684</v>
      </c>
      <c r="P743" s="2" t="s">
        <v>2684</v>
      </c>
      <c r="Q743" s="4">
        <v>1</v>
      </c>
      <c r="R743" s="2" t="s">
        <v>577</v>
      </c>
      <c r="S743" s="2" t="s">
        <v>435</v>
      </c>
      <c r="T743" s="2" t="s">
        <v>435</v>
      </c>
      <c r="U743" s="2" t="s">
        <v>597</v>
      </c>
      <c r="V743" s="2" t="s">
        <v>60</v>
      </c>
      <c r="W743" s="4">
        <v>0</v>
      </c>
      <c r="Y743" s="4">
        <v>0</v>
      </c>
      <c r="Z743" s="4" t="s">
        <v>39</v>
      </c>
      <c r="AA743" s="2" t="s">
        <v>60</v>
      </c>
      <c r="AB743" s="2" t="s">
        <v>27</v>
      </c>
      <c r="AC743" s="2" t="s">
        <v>27</v>
      </c>
      <c r="AD743" s="4">
        <v>1</v>
      </c>
      <c r="AE743" s="2" t="s">
        <v>27</v>
      </c>
      <c r="AF743" s="2" t="s">
        <v>27</v>
      </c>
      <c r="AG743" s="2" t="s">
        <v>33</v>
      </c>
      <c r="AH743" s="2" t="s">
        <v>185</v>
      </c>
      <c r="AI743" s="2" t="s">
        <v>2669</v>
      </c>
      <c r="AJ743" s="4"/>
      <c r="AL743" s="4"/>
      <c r="AN743" s="4"/>
      <c r="AP743" s="4"/>
      <c r="AQ743" s="4"/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Z743" s="2" t="s">
        <v>60</v>
      </c>
    </row>
    <row r="744" spans="2:52" x14ac:dyDescent="0.15">
      <c r="B744" s="2" t="s">
        <v>2677</v>
      </c>
      <c r="C744" s="2" t="s">
        <v>2686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2688</v>
      </c>
      <c r="L744" s="2" t="s">
        <v>2638</v>
      </c>
      <c r="N744" s="4"/>
      <c r="O744" s="2" t="s">
        <v>2687</v>
      </c>
      <c r="P744" s="2" t="s">
        <v>2687</v>
      </c>
      <c r="Q744" s="4">
        <v>0</v>
      </c>
      <c r="R744" s="2" t="s">
        <v>370</v>
      </c>
      <c r="S744" s="2" t="s">
        <v>435</v>
      </c>
      <c r="T744" s="2" t="s">
        <v>435</v>
      </c>
      <c r="U744" s="2" t="s">
        <v>597</v>
      </c>
      <c r="V744" s="2" t="s">
        <v>60</v>
      </c>
      <c r="W744" s="4">
        <v>0</v>
      </c>
      <c r="Y744" s="4">
        <v>0</v>
      </c>
      <c r="Z744" s="4" t="s">
        <v>39</v>
      </c>
      <c r="AA744" s="2" t="s">
        <v>60</v>
      </c>
      <c r="AB744" s="2" t="s">
        <v>27</v>
      </c>
      <c r="AC744" s="2" t="s">
        <v>27</v>
      </c>
      <c r="AD744" s="4">
        <v>10</v>
      </c>
      <c r="AE744" s="2" t="s">
        <v>27</v>
      </c>
      <c r="AF744" s="2" t="s">
        <v>32</v>
      </c>
      <c r="AG744" s="2" t="s">
        <v>189</v>
      </c>
      <c r="AH744" s="2" t="s">
        <v>185</v>
      </c>
      <c r="AI744" s="2" t="s">
        <v>2674</v>
      </c>
      <c r="AJ744" s="4"/>
      <c r="AL744" s="4"/>
      <c r="AN744" s="4"/>
      <c r="AP744" s="4"/>
      <c r="AQ744" s="4"/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Z744" s="2" t="s">
        <v>60</v>
      </c>
    </row>
    <row r="745" spans="2:52" x14ac:dyDescent="0.15">
      <c r="B745" s="2" t="s">
        <v>2681</v>
      </c>
      <c r="C745" s="2" t="s">
        <v>2689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2690</v>
      </c>
      <c r="L745" s="2" t="s">
        <v>2691</v>
      </c>
      <c r="N745" s="4"/>
      <c r="O745" s="2" t="s">
        <v>878</v>
      </c>
      <c r="P745" s="2" t="s">
        <v>878</v>
      </c>
      <c r="Q745" s="4">
        <v>0</v>
      </c>
      <c r="R745" s="2" t="s">
        <v>370</v>
      </c>
      <c r="S745" s="2" t="s">
        <v>435</v>
      </c>
      <c r="T745" s="2" t="s">
        <v>435</v>
      </c>
      <c r="U745" s="2" t="s">
        <v>597</v>
      </c>
      <c r="V745" s="2" t="s">
        <v>60</v>
      </c>
      <c r="W745" s="4">
        <v>0</v>
      </c>
      <c r="Y745" s="4">
        <v>0</v>
      </c>
      <c r="Z745" s="4" t="s">
        <v>39</v>
      </c>
      <c r="AA745" s="2" t="s">
        <v>60</v>
      </c>
      <c r="AB745" s="2" t="s">
        <v>27</v>
      </c>
      <c r="AC745" s="2" t="s">
        <v>27</v>
      </c>
      <c r="AD745" s="4">
        <v>1</v>
      </c>
      <c r="AE745" s="2" t="s">
        <v>32</v>
      </c>
      <c r="AF745" s="2" t="s">
        <v>27</v>
      </c>
      <c r="AG745" s="2" t="s">
        <v>17</v>
      </c>
      <c r="AH745" s="2" t="s">
        <v>185</v>
      </c>
      <c r="AI745" s="2" t="s">
        <v>2677</v>
      </c>
      <c r="AJ745" s="4"/>
      <c r="AL745" s="4"/>
      <c r="AN745" s="4"/>
      <c r="AP745" s="4"/>
      <c r="AQ745" s="4"/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Z745" s="2" t="s">
        <v>60</v>
      </c>
    </row>
    <row r="746" spans="2:52" x14ac:dyDescent="0.15">
      <c r="B746" s="2" t="s">
        <v>2684</v>
      </c>
      <c r="C746" s="2" t="s">
        <v>2692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2693</v>
      </c>
      <c r="L746" s="2" t="s">
        <v>2633</v>
      </c>
      <c r="N746" s="4"/>
      <c r="O746" s="2" t="s">
        <v>925</v>
      </c>
      <c r="P746" s="2" t="s">
        <v>925</v>
      </c>
      <c r="Q746" s="4">
        <v>0</v>
      </c>
      <c r="R746" s="2" t="s">
        <v>370</v>
      </c>
      <c r="S746" s="2" t="s">
        <v>435</v>
      </c>
      <c r="T746" s="2" t="s">
        <v>435</v>
      </c>
      <c r="U746" s="2" t="s">
        <v>597</v>
      </c>
      <c r="V746" s="2" t="s">
        <v>60</v>
      </c>
      <c r="W746" s="4">
        <v>0</v>
      </c>
      <c r="Y746" s="4">
        <v>0</v>
      </c>
      <c r="Z746" s="4" t="s">
        <v>39</v>
      </c>
      <c r="AA746" s="2" t="s">
        <v>60</v>
      </c>
      <c r="AB746" s="2" t="s">
        <v>27</v>
      </c>
      <c r="AC746" s="2" t="s">
        <v>27</v>
      </c>
      <c r="AD746" s="4">
        <v>1</v>
      </c>
      <c r="AE746" s="2" t="s">
        <v>32</v>
      </c>
      <c r="AF746" s="2" t="s">
        <v>27</v>
      </c>
      <c r="AG746" s="2" t="s">
        <v>17</v>
      </c>
      <c r="AH746" s="2" t="s">
        <v>185</v>
      </c>
      <c r="AI746" s="2" t="s">
        <v>2681</v>
      </c>
      <c r="AJ746" s="4"/>
      <c r="AL746" s="4"/>
      <c r="AN746" s="4"/>
      <c r="AP746" s="4"/>
      <c r="AQ746" s="4"/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Z746" s="2" t="s">
        <v>60</v>
      </c>
    </row>
    <row r="747" spans="2:52" x14ac:dyDescent="0.15">
      <c r="B747" s="2" t="s">
        <v>2687</v>
      </c>
      <c r="C747" s="2" t="s">
        <v>2694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2696</v>
      </c>
      <c r="L747" s="2" t="s">
        <v>2667</v>
      </c>
      <c r="N747" s="4"/>
      <c r="O747" s="2" t="s">
        <v>2695</v>
      </c>
      <c r="P747" s="2" t="s">
        <v>2695</v>
      </c>
      <c r="Q747" s="4">
        <v>0</v>
      </c>
      <c r="R747" s="2" t="s">
        <v>370</v>
      </c>
      <c r="S747" s="2" t="s">
        <v>435</v>
      </c>
      <c r="T747" s="2" t="s">
        <v>435</v>
      </c>
      <c r="U747" s="2" t="s">
        <v>597</v>
      </c>
      <c r="V747" s="2" t="s">
        <v>60</v>
      </c>
      <c r="W747" s="4">
        <v>0</v>
      </c>
      <c r="Y747" s="4">
        <v>0</v>
      </c>
      <c r="Z747" s="4" t="s">
        <v>39</v>
      </c>
      <c r="AA747" s="2" t="s">
        <v>60</v>
      </c>
      <c r="AB747" s="2" t="s">
        <v>27</v>
      </c>
      <c r="AC747" s="2" t="s">
        <v>27</v>
      </c>
      <c r="AD747" s="4">
        <v>1</v>
      </c>
      <c r="AE747" s="2" t="s">
        <v>32</v>
      </c>
      <c r="AF747" s="2" t="s">
        <v>32</v>
      </c>
      <c r="AG747" s="2" t="s">
        <v>189</v>
      </c>
      <c r="AH747" s="2" t="s">
        <v>185</v>
      </c>
      <c r="AI747" s="2" t="s">
        <v>2684</v>
      </c>
      <c r="AJ747" s="4"/>
      <c r="AL747" s="4"/>
      <c r="AN747" s="4"/>
      <c r="AP747" s="4"/>
      <c r="AQ747" s="4"/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Z747" s="2" t="s">
        <v>60</v>
      </c>
    </row>
    <row r="748" spans="2:52" x14ac:dyDescent="0.15">
      <c r="B748" s="2" t="s">
        <v>878</v>
      </c>
      <c r="C748" s="2" t="s">
        <v>2645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2057</v>
      </c>
      <c r="L748" s="2" t="s">
        <v>2698</v>
      </c>
      <c r="N748" s="4"/>
      <c r="O748" s="2" t="s">
        <v>2697</v>
      </c>
      <c r="P748" s="2" t="s">
        <v>2697</v>
      </c>
      <c r="Q748" s="4">
        <v>0</v>
      </c>
      <c r="R748" s="2" t="s">
        <v>370</v>
      </c>
      <c r="S748" s="2" t="s">
        <v>435</v>
      </c>
      <c r="T748" s="2" t="s">
        <v>499</v>
      </c>
      <c r="U748" s="2" t="s">
        <v>919</v>
      </c>
      <c r="V748" s="2" t="s">
        <v>60</v>
      </c>
      <c r="W748" s="4">
        <v>0</v>
      </c>
      <c r="Y748" s="4">
        <v>0</v>
      </c>
      <c r="Z748" s="4" t="s">
        <v>39</v>
      </c>
      <c r="AA748" s="2" t="s">
        <v>60</v>
      </c>
      <c r="AB748" s="2" t="s">
        <v>32</v>
      </c>
      <c r="AC748" s="2" t="s">
        <v>32</v>
      </c>
      <c r="AD748" s="4">
        <v>10</v>
      </c>
      <c r="AE748" s="2" t="s">
        <v>32</v>
      </c>
      <c r="AF748" s="2" t="s">
        <v>32</v>
      </c>
      <c r="AG748" s="2" t="s">
        <v>4</v>
      </c>
      <c r="AH748" s="2" t="s">
        <v>185</v>
      </c>
      <c r="AI748" s="2" t="s">
        <v>2687</v>
      </c>
      <c r="AJ748" s="4"/>
      <c r="AL748" s="4"/>
      <c r="AN748" s="4"/>
      <c r="AP748" s="4"/>
      <c r="AQ748" s="4"/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Z748" s="2" t="s">
        <v>60</v>
      </c>
    </row>
    <row r="749" spans="2:52" x14ac:dyDescent="0.15">
      <c r="B749" s="2" t="s">
        <v>925</v>
      </c>
      <c r="C749" s="2" t="s">
        <v>2699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460</v>
      </c>
      <c r="L749" s="2" t="s">
        <v>2634</v>
      </c>
      <c r="N749" s="4"/>
      <c r="O749" s="2" t="s">
        <v>2700</v>
      </c>
      <c r="P749" s="2" t="s">
        <v>2700</v>
      </c>
      <c r="Q749" s="4">
        <v>0</v>
      </c>
      <c r="R749" s="2" t="s">
        <v>370</v>
      </c>
      <c r="S749" s="2" t="s">
        <v>435</v>
      </c>
      <c r="T749" s="2" t="s">
        <v>435</v>
      </c>
      <c r="U749" s="2" t="s">
        <v>597</v>
      </c>
      <c r="V749" s="2" t="s">
        <v>60</v>
      </c>
      <c r="W749" s="4">
        <v>0</v>
      </c>
      <c r="Y749" s="4">
        <v>0</v>
      </c>
      <c r="Z749" s="4" t="s">
        <v>39</v>
      </c>
      <c r="AA749" s="2" t="s">
        <v>60</v>
      </c>
      <c r="AB749" s="2" t="s">
        <v>27</v>
      </c>
      <c r="AC749" s="2" t="s">
        <v>32</v>
      </c>
      <c r="AD749" s="4">
        <v>1</v>
      </c>
      <c r="AE749" s="2" t="s">
        <v>27</v>
      </c>
      <c r="AF749" s="2" t="s">
        <v>27</v>
      </c>
      <c r="AG749" s="2" t="s">
        <v>17</v>
      </c>
      <c r="AH749" s="2" t="s">
        <v>185</v>
      </c>
      <c r="AI749" s="2" t="s">
        <v>878</v>
      </c>
      <c r="AJ749" s="4"/>
      <c r="AL749" s="4"/>
      <c r="AN749" s="4"/>
      <c r="AP749" s="4"/>
      <c r="AQ749" s="4"/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Z749" s="2" t="s">
        <v>60</v>
      </c>
    </row>
    <row r="750" spans="2:52" x14ac:dyDescent="0.15">
      <c r="B750" s="2" t="s">
        <v>2695</v>
      </c>
      <c r="C750" s="2" t="s">
        <v>48</v>
      </c>
      <c r="D750" s="2" t="s">
        <v>98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98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73</v>
      </c>
      <c r="L750" s="2" t="s">
        <v>2698</v>
      </c>
      <c r="N750" s="4"/>
      <c r="O750" s="2" t="s">
        <v>2701</v>
      </c>
      <c r="P750" s="2" t="s">
        <v>2701</v>
      </c>
      <c r="Q750" s="4">
        <v>0</v>
      </c>
      <c r="R750" s="2" t="s">
        <v>370</v>
      </c>
      <c r="S750" s="2" t="s">
        <v>435</v>
      </c>
      <c r="T750" s="2" t="s">
        <v>499</v>
      </c>
      <c r="U750" s="2" t="s">
        <v>919</v>
      </c>
      <c r="V750" s="2" t="s">
        <v>60</v>
      </c>
      <c r="W750" s="4">
        <v>4</v>
      </c>
      <c r="X750" s="2" t="s">
        <v>914</v>
      </c>
      <c r="Y750" s="4">
        <v>0</v>
      </c>
      <c r="Z750" s="4" t="s">
        <v>39</v>
      </c>
      <c r="AA750" s="2" t="s">
        <v>60</v>
      </c>
      <c r="AB750" s="2" t="s">
        <v>4</v>
      </c>
      <c r="AC750" s="2" t="s">
        <v>93</v>
      </c>
      <c r="AD750" s="4">
        <v>20</v>
      </c>
      <c r="AE750" s="2" t="s">
        <v>32</v>
      </c>
      <c r="AF750" s="2" t="s">
        <v>32</v>
      </c>
      <c r="AG750" s="2" t="s">
        <v>466</v>
      </c>
      <c r="AH750" s="2" t="s">
        <v>185</v>
      </c>
      <c r="AI750" s="2" t="s">
        <v>925</v>
      </c>
      <c r="AJ750" s="4"/>
      <c r="AL750" s="4"/>
      <c r="AN750" s="4"/>
      <c r="AP750" s="4"/>
      <c r="AQ750" s="4"/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Z750" s="2" t="s">
        <v>60</v>
      </c>
    </row>
    <row r="751" spans="2:52" x14ac:dyDescent="0.15">
      <c r="B751" s="2" t="s">
        <v>2697</v>
      </c>
      <c r="C751" s="2" t="s">
        <v>3123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67</v>
      </c>
      <c r="L751" s="2" t="s">
        <v>2123</v>
      </c>
      <c r="N751" s="4"/>
      <c r="O751" s="2" t="s">
        <v>1661</v>
      </c>
      <c r="P751" s="2" t="s">
        <v>1661</v>
      </c>
      <c r="Q751" s="4">
        <v>0</v>
      </c>
      <c r="R751" s="2" t="s">
        <v>370</v>
      </c>
      <c r="S751" s="2" t="s">
        <v>435</v>
      </c>
      <c r="T751" s="2" t="s">
        <v>499</v>
      </c>
      <c r="U751" s="2" t="s">
        <v>919</v>
      </c>
      <c r="V751" s="2" t="s">
        <v>60</v>
      </c>
      <c r="W751" s="4">
        <v>0</v>
      </c>
      <c r="Y751" s="4">
        <v>0</v>
      </c>
      <c r="Z751" s="4" t="s">
        <v>39</v>
      </c>
      <c r="AA751" s="2" t="s">
        <v>60</v>
      </c>
      <c r="AB751" s="2" t="s">
        <v>4</v>
      </c>
      <c r="AC751" s="2" t="s">
        <v>93</v>
      </c>
      <c r="AD751" s="4">
        <v>20</v>
      </c>
      <c r="AE751" s="2" t="s">
        <v>32</v>
      </c>
      <c r="AF751" s="2" t="s">
        <v>32</v>
      </c>
      <c r="AG751" s="2" t="s">
        <v>466</v>
      </c>
      <c r="AH751" s="2" t="s">
        <v>185</v>
      </c>
      <c r="AI751" s="2" t="s">
        <v>2695</v>
      </c>
      <c r="AJ751" s="4"/>
      <c r="AL751" s="4"/>
      <c r="AN751" s="4"/>
      <c r="AP751" s="4"/>
      <c r="AQ751" s="4"/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Z751" s="2" t="s">
        <v>60</v>
      </c>
    </row>
    <row r="752" spans="2:52" x14ac:dyDescent="0.15">
      <c r="B752" s="2" t="s">
        <v>2700</v>
      </c>
      <c r="C752" s="2" t="s">
        <v>2702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2704</v>
      </c>
      <c r="L752" s="2" t="s">
        <v>2667</v>
      </c>
      <c r="N752" s="4"/>
      <c r="O752" s="2" t="s">
        <v>2703</v>
      </c>
      <c r="P752" s="2" t="s">
        <v>2703</v>
      </c>
      <c r="Q752" s="4">
        <v>0</v>
      </c>
      <c r="R752" s="2" t="s">
        <v>370</v>
      </c>
      <c r="S752" s="2" t="s">
        <v>435</v>
      </c>
      <c r="T752" s="2" t="s">
        <v>435</v>
      </c>
      <c r="U752" s="2" t="s">
        <v>597</v>
      </c>
      <c r="V752" s="2" t="s">
        <v>60</v>
      </c>
      <c r="W752" s="4">
        <v>0</v>
      </c>
      <c r="Y752" s="4">
        <v>0</v>
      </c>
      <c r="Z752" s="4" t="s">
        <v>39</v>
      </c>
      <c r="AA752" s="2" t="s">
        <v>60</v>
      </c>
      <c r="AB752" s="2" t="s">
        <v>27</v>
      </c>
      <c r="AC752" s="2" t="s">
        <v>153</v>
      </c>
      <c r="AD752" s="4">
        <v>1</v>
      </c>
      <c r="AE752" s="2" t="s">
        <v>27</v>
      </c>
      <c r="AF752" s="2" t="s">
        <v>27</v>
      </c>
      <c r="AG752" s="2" t="s">
        <v>367</v>
      </c>
      <c r="AH752" s="2" t="s">
        <v>185</v>
      </c>
      <c r="AI752" s="2" t="s">
        <v>2697</v>
      </c>
      <c r="AJ752" s="4"/>
      <c r="AL752" s="4"/>
      <c r="AN752" s="4"/>
      <c r="AP752" s="4"/>
      <c r="AQ752" s="4"/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Z752" s="2" t="s">
        <v>60</v>
      </c>
    </row>
    <row r="753" spans="2:52" x14ac:dyDescent="0.15">
      <c r="B753" s="2" t="s">
        <v>2701</v>
      </c>
      <c r="C753" s="2" t="s">
        <v>2705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2706</v>
      </c>
      <c r="L753" s="2" t="s">
        <v>2707</v>
      </c>
      <c r="N753" s="4"/>
      <c r="O753" s="2" t="s">
        <v>763</v>
      </c>
      <c r="P753" s="2" t="s">
        <v>763</v>
      </c>
      <c r="Q753" s="4">
        <v>0</v>
      </c>
      <c r="R753" s="2" t="s">
        <v>370</v>
      </c>
      <c r="S753" s="2" t="s">
        <v>435</v>
      </c>
      <c r="T753" s="2" t="s">
        <v>435</v>
      </c>
      <c r="U753" s="2" t="s">
        <v>597</v>
      </c>
      <c r="V753" s="2" t="s">
        <v>60</v>
      </c>
      <c r="W753" s="4">
        <v>0</v>
      </c>
      <c r="Y753" s="4">
        <v>0</v>
      </c>
      <c r="Z753" s="4" t="s">
        <v>39</v>
      </c>
      <c r="AA753" s="2" t="s">
        <v>60</v>
      </c>
      <c r="AB753" s="2" t="s">
        <v>27</v>
      </c>
      <c r="AC753" s="2" t="s">
        <v>27</v>
      </c>
      <c r="AD753" s="4">
        <v>1</v>
      </c>
      <c r="AE753" s="2" t="s">
        <v>27</v>
      </c>
      <c r="AF753" s="2" t="s">
        <v>27</v>
      </c>
      <c r="AG753" s="2" t="s">
        <v>33</v>
      </c>
      <c r="AH753" s="2" t="s">
        <v>185</v>
      </c>
      <c r="AI753" s="2" t="s">
        <v>2700</v>
      </c>
      <c r="AJ753" s="4"/>
      <c r="AL753" s="4"/>
      <c r="AN753" s="4"/>
      <c r="AP753" s="4"/>
      <c r="AQ753" s="4"/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Z753" s="2" t="s">
        <v>60</v>
      </c>
    </row>
    <row r="754" spans="2:52" x14ac:dyDescent="0.15">
      <c r="B754" s="2" t="s">
        <v>1661</v>
      </c>
      <c r="C754" s="2" t="s">
        <v>113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2709</v>
      </c>
      <c r="L754" s="2" t="s">
        <v>2638</v>
      </c>
      <c r="N754" s="4"/>
      <c r="O754" s="2" t="s">
        <v>2708</v>
      </c>
      <c r="P754" s="2" t="s">
        <v>2708</v>
      </c>
      <c r="Q754" s="4">
        <v>0</v>
      </c>
      <c r="R754" s="2" t="s">
        <v>370</v>
      </c>
      <c r="S754" s="2" t="s">
        <v>435</v>
      </c>
      <c r="T754" s="2" t="s">
        <v>435</v>
      </c>
      <c r="U754" s="2" t="s">
        <v>597</v>
      </c>
      <c r="V754" s="2" t="s">
        <v>60</v>
      </c>
      <c r="W754" s="4">
        <v>0</v>
      </c>
      <c r="Y754" s="4">
        <v>0</v>
      </c>
      <c r="Z754" s="4" t="s">
        <v>39</v>
      </c>
      <c r="AA754" s="2" t="s">
        <v>60</v>
      </c>
      <c r="AB754" s="2" t="s">
        <v>27</v>
      </c>
      <c r="AC754" s="2" t="s">
        <v>27</v>
      </c>
      <c r="AD754" s="4">
        <v>1</v>
      </c>
      <c r="AE754" s="2" t="s">
        <v>27</v>
      </c>
      <c r="AF754" s="2" t="s">
        <v>27</v>
      </c>
      <c r="AG754" s="2" t="s">
        <v>33</v>
      </c>
      <c r="AH754" s="2" t="s">
        <v>185</v>
      </c>
      <c r="AI754" s="2" t="s">
        <v>2701</v>
      </c>
      <c r="AJ754" s="4"/>
      <c r="AL754" s="4"/>
      <c r="AN754" s="4"/>
      <c r="AP754" s="4"/>
      <c r="AQ754" s="4"/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Z754" s="2" t="s">
        <v>60</v>
      </c>
    </row>
    <row r="755" spans="2:52" x14ac:dyDescent="0.15">
      <c r="B755" s="2" t="s">
        <v>2703</v>
      </c>
      <c r="C755" s="2" t="s">
        <v>2710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2712</v>
      </c>
      <c r="L755" s="2" t="s">
        <v>2667</v>
      </c>
      <c r="N755" s="4"/>
      <c r="O755" s="2" t="s">
        <v>2711</v>
      </c>
      <c r="P755" s="2" t="s">
        <v>2711</v>
      </c>
      <c r="Q755" s="4">
        <v>0</v>
      </c>
      <c r="R755" s="2" t="s">
        <v>370</v>
      </c>
      <c r="S755" s="2" t="s">
        <v>435</v>
      </c>
      <c r="T755" s="2" t="s">
        <v>435</v>
      </c>
      <c r="U755" s="2" t="s">
        <v>597</v>
      </c>
      <c r="V755" s="2" t="s">
        <v>60</v>
      </c>
      <c r="W755" s="4">
        <v>0</v>
      </c>
      <c r="Y755" s="4">
        <v>0</v>
      </c>
      <c r="Z755" s="4" t="s">
        <v>39</v>
      </c>
      <c r="AA755" s="2" t="s">
        <v>60</v>
      </c>
      <c r="AB755" s="2" t="s">
        <v>27</v>
      </c>
      <c r="AC755" s="2" t="s">
        <v>27</v>
      </c>
      <c r="AD755" s="4">
        <v>1</v>
      </c>
      <c r="AE755" s="2" t="s">
        <v>27</v>
      </c>
      <c r="AF755" s="2" t="s">
        <v>27</v>
      </c>
      <c r="AG755" s="2" t="s">
        <v>33</v>
      </c>
      <c r="AH755" s="2" t="s">
        <v>185</v>
      </c>
      <c r="AI755" s="2" t="s">
        <v>1661</v>
      </c>
      <c r="AJ755" s="4"/>
      <c r="AL755" s="4"/>
      <c r="AN755" s="4"/>
      <c r="AP755" s="4"/>
      <c r="AQ755" s="4"/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Z755" s="2" t="s">
        <v>60</v>
      </c>
    </row>
    <row r="756" spans="2:52" x14ac:dyDescent="0.15">
      <c r="B756" s="2" t="s">
        <v>763</v>
      </c>
      <c r="C756" s="2" t="s">
        <v>2713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2715</v>
      </c>
      <c r="L756" s="2" t="s">
        <v>2638</v>
      </c>
      <c r="N756" s="4"/>
      <c r="O756" s="2" t="s">
        <v>2714</v>
      </c>
      <c r="P756" s="2" t="s">
        <v>2714</v>
      </c>
      <c r="Q756" s="4">
        <v>0</v>
      </c>
      <c r="R756" s="2" t="s">
        <v>370</v>
      </c>
      <c r="S756" s="2" t="s">
        <v>435</v>
      </c>
      <c r="T756" s="2" t="s">
        <v>435</v>
      </c>
      <c r="U756" s="2" t="s">
        <v>597</v>
      </c>
      <c r="V756" s="2" t="s">
        <v>60</v>
      </c>
      <c r="W756" s="4">
        <v>0</v>
      </c>
      <c r="Y756" s="4">
        <v>0</v>
      </c>
      <c r="Z756" s="4" t="s">
        <v>39</v>
      </c>
      <c r="AA756" s="2" t="s">
        <v>60</v>
      </c>
      <c r="AB756" s="2" t="s">
        <v>27</v>
      </c>
      <c r="AC756" s="2" t="s">
        <v>27</v>
      </c>
      <c r="AD756" s="4">
        <v>1</v>
      </c>
      <c r="AE756" s="2" t="s">
        <v>27</v>
      </c>
      <c r="AF756" s="2" t="s">
        <v>27</v>
      </c>
      <c r="AG756" s="2" t="s">
        <v>33</v>
      </c>
      <c r="AH756" s="2" t="s">
        <v>185</v>
      </c>
      <c r="AI756" s="2" t="s">
        <v>2703</v>
      </c>
      <c r="AJ756" s="4"/>
      <c r="AL756" s="4"/>
      <c r="AN756" s="4"/>
      <c r="AP756" s="4"/>
      <c r="AQ756" s="4"/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Z756" s="2" t="s">
        <v>60</v>
      </c>
    </row>
    <row r="757" spans="2:52" x14ac:dyDescent="0.15">
      <c r="B757" s="2" t="s">
        <v>2708</v>
      </c>
      <c r="C757" s="2" t="s">
        <v>2716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2718</v>
      </c>
      <c r="L757" s="2" t="s">
        <v>2719</v>
      </c>
      <c r="N757" s="4"/>
      <c r="O757" s="2" t="s">
        <v>2717</v>
      </c>
      <c r="P757" s="2" t="s">
        <v>2717</v>
      </c>
      <c r="Q757" s="4">
        <v>1</v>
      </c>
      <c r="R757" s="2" t="s">
        <v>577</v>
      </c>
      <c r="S757" s="2" t="s">
        <v>435</v>
      </c>
      <c r="T757" s="2" t="s">
        <v>435</v>
      </c>
      <c r="U757" s="2" t="s">
        <v>597</v>
      </c>
      <c r="V757" s="2" t="s">
        <v>60</v>
      </c>
      <c r="W757" s="4">
        <v>0</v>
      </c>
      <c r="Y757" s="4">
        <v>0</v>
      </c>
      <c r="Z757" s="4" t="s">
        <v>39</v>
      </c>
      <c r="AA757" s="2" t="s">
        <v>60</v>
      </c>
      <c r="AB757" s="2" t="s">
        <v>27</v>
      </c>
      <c r="AC757" s="2" t="s">
        <v>27</v>
      </c>
      <c r="AD757" s="4">
        <v>1</v>
      </c>
      <c r="AE757" s="2" t="s">
        <v>27</v>
      </c>
      <c r="AF757" s="2" t="s">
        <v>27</v>
      </c>
      <c r="AG757" s="2" t="s">
        <v>33</v>
      </c>
      <c r="AH757" s="2" t="s">
        <v>185</v>
      </c>
      <c r="AI757" s="2" t="s">
        <v>763</v>
      </c>
      <c r="AJ757" s="4"/>
      <c r="AL757" s="4"/>
      <c r="AN757" s="4"/>
      <c r="AP757" s="4"/>
      <c r="AQ757" s="4"/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Z757" s="2" t="s">
        <v>60</v>
      </c>
    </row>
    <row r="758" spans="2:52" x14ac:dyDescent="0.15">
      <c r="B758" s="2" t="s">
        <v>2711</v>
      </c>
      <c r="C758" s="2" t="s">
        <v>2720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370</v>
      </c>
      <c r="L758" s="2" t="s">
        <v>2722</v>
      </c>
      <c r="N758" s="4"/>
      <c r="O758" s="2" t="s">
        <v>2721</v>
      </c>
      <c r="P758" s="2" t="s">
        <v>2721</v>
      </c>
      <c r="Q758" s="4">
        <v>0</v>
      </c>
      <c r="R758" s="2" t="s">
        <v>370</v>
      </c>
      <c r="S758" s="2" t="s">
        <v>435</v>
      </c>
      <c r="T758" s="2" t="s">
        <v>435</v>
      </c>
      <c r="U758" s="2" t="s">
        <v>597</v>
      </c>
      <c r="V758" s="2" t="s">
        <v>60</v>
      </c>
      <c r="W758" s="4">
        <v>0</v>
      </c>
      <c r="Y758" s="4">
        <v>0</v>
      </c>
      <c r="Z758" s="4" t="s">
        <v>39</v>
      </c>
      <c r="AA758" s="2" t="s">
        <v>60</v>
      </c>
      <c r="AB758" s="2" t="s">
        <v>27</v>
      </c>
      <c r="AC758" s="2" t="s">
        <v>27</v>
      </c>
      <c r="AD758" s="4">
        <v>1</v>
      </c>
      <c r="AE758" s="2" t="s">
        <v>27</v>
      </c>
      <c r="AF758" s="2" t="s">
        <v>27</v>
      </c>
      <c r="AG758" s="2" t="s">
        <v>33</v>
      </c>
      <c r="AH758" s="2" t="s">
        <v>185</v>
      </c>
      <c r="AI758" s="2" t="s">
        <v>2708</v>
      </c>
      <c r="AJ758" s="4"/>
      <c r="AL758" s="4"/>
      <c r="AN758" s="4"/>
      <c r="AP758" s="4"/>
      <c r="AQ758" s="4"/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Z758" s="2" t="s">
        <v>60</v>
      </c>
    </row>
    <row r="759" spans="2:52" x14ac:dyDescent="0.15">
      <c r="B759" s="2" t="s">
        <v>2714</v>
      </c>
      <c r="C759" s="2" t="s">
        <v>2723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577</v>
      </c>
      <c r="L759" s="2" t="s">
        <v>2722</v>
      </c>
      <c r="N759" s="4"/>
      <c r="O759" s="2" t="s">
        <v>2724</v>
      </c>
      <c r="P759" s="2" t="s">
        <v>2724</v>
      </c>
      <c r="Q759" s="4">
        <v>1</v>
      </c>
      <c r="R759" s="2" t="s">
        <v>577</v>
      </c>
      <c r="S759" s="2" t="s">
        <v>435</v>
      </c>
      <c r="T759" s="2" t="s">
        <v>435</v>
      </c>
      <c r="U759" s="2" t="s">
        <v>597</v>
      </c>
      <c r="V759" s="2" t="s">
        <v>60</v>
      </c>
      <c r="W759" s="4">
        <v>0</v>
      </c>
      <c r="Y759" s="4">
        <v>0</v>
      </c>
      <c r="Z759" s="4" t="s">
        <v>39</v>
      </c>
      <c r="AA759" s="2" t="s">
        <v>60</v>
      </c>
      <c r="AB759" s="2" t="s">
        <v>27</v>
      </c>
      <c r="AC759" s="2" t="s">
        <v>27</v>
      </c>
      <c r="AD759" s="4">
        <v>1</v>
      </c>
      <c r="AE759" s="2" t="s">
        <v>27</v>
      </c>
      <c r="AF759" s="2" t="s">
        <v>27</v>
      </c>
      <c r="AG759" s="2" t="s">
        <v>33</v>
      </c>
      <c r="AH759" s="2" t="s">
        <v>185</v>
      </c>
      <c r="AI759" s="2" t="s">
        <v>2711</v>
      </c>
      <c r="AJ759" s="4"/>
      <c r="AL759" s="4"/>
      <c r="AN759" s="4"/>
      <c r="AP759" s="4"/>
      <c r="AQ759" s="4"/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Z759" s="2" t="s">
        <v>60</v>
      </c>
    </row>
    <row r="760" spans="2:52" x14ac:dyDescent="0.15">
      <c r="B760" s="2" t="s">
        <v>2717</v>
      </c>
      <c r="C760" s="2" t="s">
        <v>2725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2727</v>
      </c>
      <c r="L760" s="2" t="s">
        <v>2682</v>
      </c>
      <c r="N760" s="4"/>
      <c r="O760" s="2" t="s">
        <v>2726</v>
      </c>
      <c r="P760" s="2" t="s">
        <v>2726</v>
      </c>
      <c r="Q760" s="4">
        <v>0</v>
      </c>
      <c r="R760" s="2" t="s">
        <v>370</v>
      </c>
      <c r="S760" s="2" t="s">
        <v>435</v>
      </c>
      <c r="T760" s="2" t="s">
        <v>435</v>
      </c>
      <c r="U760" s="2" t="s">
        <v>597</v>
      </c>
      <c r="V760" s="2" t="s">
        <v>60</v>
      </c>
      <c r="W760" s="4">
        <v>0</v>
      </c>
      <c r="Y760" s="4">
        <v>0</v>
      </c>
      <c r="Z760" s="4" t="s">
        <v>39</v>
      </c>
      <c r="AA760" s="2" t="s">
        <v>60</v>
      </c>
      <c r="AB760" s="2" t="s">
        <v>27</v>
      </c>
      <c r="AC760" s="2" t="s">
        <v>27</v>
      </c>
      <c r="AD760" s="4">
        <v>1</v>
      </c>
      <c r="AE760" s="2" t="s">
        <v>32</v>
      </c>
      <c r="AF760" s="2" t="s">
        <v>27</v>
      </c>
      <c r="AG760" s="2" t="s">
        <v>17</v>
      </c>
      <c r="AH760" s="2" t="s">
        <v>185</v>
      </c>
      <c r="AI760" s="2" t="s">
        <v>2714</v>
      </c>
      <c r="AJ760" s="4"/>
      <c r="AL760" s="4"/>
      <c r="AN760" s="4"/>
      <c r="AP760" s="4"/>
      <c r="AQ760" s="4"/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Z760" s="2" t="s">
        <v>60</v>
      </c>
    </row>
    <row r="761" spans="2:52" x14ac:dyDescent="0.15">
      <c r="B761" s="2" t="s">
        <v>2721</v>
      </c>
      <c r="C761" s="2" t="s">
        <v>2728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2729</v>
      </c>
      <c r="L761" s="2" t="s">
        <v>2638</v>
      </c>
      <c r="N761" s="4"/>
      <c r="O761" s="2" t="s">
        <v>720</v>
      </c>
      <c r="P761" s="2" t="s">
        <v>720</v>
      </c>
      <c r="Q761" s="4">
        <v>0</v>
      </c>
      <c r="R761" s="2" t="s">
        <v>370</v>
      </c>
      <c r="S761" s="2" t="s">
        <v>435</v>
      </c>
      <c r="T761" s="2" t="s">
        <v>435</v>
      </c>
      <c r="U761" s="2" t="s">
        <v>597</v>
      </c>
      <c r="V761" s="2" t="s">
        <v>60</v>
      </c>
      <c r="W761" s="4">
        <v>0</v>
      </c>
      <c r="Y761" s="4">
        <v>0</v>
      </c>
      <c r="Z761" s="4" t="s">
        <v>39</v>
      </c>
      <c r="AA761" s="2" t="s">
        <v>60</v>
      </c>
      <c r="AB761" s="2" t="s">
        <v>27</v>
      </c>
      <c r="AC761" s="2" t="s">
        <v>27</v>
      </c>
      <c r="AD761" s="4">
        <v>1</v>
      </c>
      <c r="AE761" s="2" t="s">
        <v>27</v>
      </c>
      <c r="AF761" s="2" t="s">
        <v>27</v>
      </c>
      <c r="AG761" s="2" t="s">
        <v>33</v>
      </c>
      <c r="AH761" s="2" t="s">
        <v>185</v>
      </c>
      <c r="AI761" s="2" t="s">
        <v>2717</v>
      </c>
      <c r="AJ761" s="4"/>
      <c r="AL761" s="4"/>
      <c r="AN761" s="4"/>
      <c r="AP761" s="4"/>
      <c r="AQ761" s="4"/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Z761" s="2" t="s">
        <v>60</v>
      </c>
    </row>
    <row r="762" spans="2:52" x14ac:dyDescent="0.15">
      <c r="B762" s="2" t="s">
        <v>2724</v>
      </c>
      <c r="C762" s="2" t="s">
        <v>2730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1489</v>
      </c>
      <c r="L762" s="2" t="s">
        <v>2731</v>
      </c>
      <c r="N762" s="4"/>
      <c r="O762" s="2" t="s">
        <v>782</v>
      </c>
      <c r="P762" s="2" t="s">
        <v>782</v>
      </c>
      <c r="Q762" s="4">
        <v>0</v>
      </c>
      <c r="R762" s="2" t="s">
        <v>370</v>
      </c>
      <c r="S762" s="2" t="s">
        <v>435</v>
      </c>
      <c r="T762" s="2" t="s">
        <v>435</v>
      </c>
      <c r="U762" s="2" t="s">
        <v>597</v>
      </c>
      <c r="V762" s="2" t="s">
        <v>60</v>
      </c>
      <c r="W762" s="4">
        <v>0</v>
      </c>
      <c r="Y762" s="4">
        <v>0</v>
      </c>
      <c r="Z762" s="4" t="s">
        <v>39</v>
      </c>
      <c r="AA762" s="2" t="s">
        <v>60</v>
      </c>
      <c r="AB762" s="2" t="s">
        <v>27</v>
      </c>
      <c r="AC762" s="2" t="s">
        <v>32</v>
      </c>
      <c r="AD762" s="4">
        <v>1</v>
      </c>
      <c r="AE762" s="2" t="s">
        <v>27</v>
      </c>
      <c r="AF762" s="2" t="s">
        <v>27</v>
      </c>
      <c r="AG762" s="2" t="s">
        <v>17</v>
      </c>
      <c r="AH762" s="2" t="s">
        <v>185</v>
      </c>
      <c r="AI762" s="2" t="s">
        <v>2721</v>
      </c>
      <c r="AJ762" s="4"/>
      <c r="AL762" s="4"/>
      <c r="AN762" s="4"/>
      <c r="AP762" s="4"/>
      <c r="AQ762" s="4"/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Z762" s="2" t="s">
        <v>60</v>
      </c>
    </row>
    <row r="763" spans="2:52" x14ac:dyDescent="0.15">
      <c r="B763" s="2" t="s">
        <v>2726</v>
      </c>
      <c r="C763" s="2" t="s">
        <v>2732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2734</v>
      </c>
      <c r="L763" s="2" t="s">
        <v>2638</v>
      </c>
      <c r="N763" s="4"/>
      <c r="O763" s="2" t="s">
        <v>2733</v>
      </c>
      <c r="P763" s="2" t="s">
        <v>2733</v>
      </c>
      <c r="Q763" s="4">
        <v>0</v>
      </c>
      <c r="R763" s="2" t="s">
        <v>370</v>
      </c>
      <c r="S763" s="2" t="s">
        <v>435</v>
      </c>
      <c r="T763" s="2" t="s">
        <v>435</v>
      </c>
      <c r="U763" s="2" t="s">
        <v>597</v>
      </c>
      <c r="V763" s="2" t="s">
        <v>60</v>
      </c>
      <c r="W763" s="4">
        <v>0</v>
      </c>
      <c r="Y763" s="4">
        <v>0</v>
      </c>
      <c r="Z763" s="4" t="s">
        <v>39</v>
      </c>
      <c r="AA763" s="2" t="s">
        <v>60</v>
      </c>
      <c r="AB763" s="2" t="s">
        <v>27</v>
      </c>
      <c r="AC763" s="2" t="s">
        <v>27</v>
      </c>
      <c r="AD763" s="4">
        <v>1</v>
      </c>
      <c r="AE763" s="2" t="s">
        <v>27</v>
      </c>
      <c r="AF763" s="2" t="s">
        <v>27</v>
      </c>
      <c r="AG763" s="2" t="s">
        <v>33</v>
      </c>
      <c r="AH763" s="2" t="s">
        <v>185</v>
      </c>
      <c r="AI763" s="2" t="s">
        <v>2724</v>
      </c>
      <c r="AJ763" s="4"/>
      <c r="AL763" s="4"/>
      <c r="AN763" s="4"/>
      <c r="AP763" s="4"/>
      <c r="AQ763" s="4"/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Z763" s="2" t="s">
        <v>60</v>
      </c>
    </row>
    <row r="764" spans="2:52" x14ac:dyDescent="0.15">
      <c r="B764" s="2" t="s">
        <v>720</v>
      </c>
      <c r="C764" s="2" t="s">
        <v>2735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2737</v>
      </c>
      <c r="L764" s="2" t="s">
        <v>2719</v>
      </c>
      <c r="N764" s="4"/>
      <c r="O764" s="2" t="s">
        <v>2736</v>
      </c>
      <c r="P764" s="2" t="s">
        <v>2736</v>
      </c>
      <c r="Q764" s="4">
        <v>1</v>
      </c>
      <c r="R764" s="2" t="s">
        <v>577</v>
      </c>
      <c r="S764" s="2" t="s">
        <v>435</v>
      </c>
      <c r="T764" s="2" t="s">
        <v>435</v>
      </c>
      <c r="U764" s="2" t="s">
        <v>597</v>
      </c>
      <c r="V764" s="2" t="s">
        <v>60</v>
      </c>
      <c r="W764" s="4">
        <v>0</v>
      </c>
      <c r="Y764" s="4">
        <v>0</v>
      </c>
      <c r="Z764" s="4" t="s">
        <v>39</v>
      </c>
      <c r="AA764" s="2" t="s">
        <v>60</v>
      </c>
      <c r="AB764" s="2" t="s">
        <v>27</v>
      </c>
      <c r="AC764" s="2" t="s">
        <v>27</v>
      </c>
      <c r="AD764" s="4">
        <v>1</v>
      </c>
      <c r="AE764" s="2" t="s">
        <v>27</v>
      </c>
      <c r="AF764" s="2" t="s">
        <v>27</v>
      </c>
      <c r="AG764" s="2" t="s">
        <v>33</v>
      </c>
      <c r="AH764" s="2" t="s">
        <v>185</v>
      </c>
      <c r="AI764" s="2" t="s">
        <v>2726</v>
      </c>
      <c r="AJ764" s="4"/>
      <c r="AL764" s="4"/>
      <c r="AN764" s="4"/>
      <c r="AP764" s="4"/>
      <c r="AQ764" s="4"/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Z764" s="2" t="s">
        <v>60</v>
      </c>
    </row>
    <row r="765" spans="2:52" x14ac:dyDescent="0.15">
      <c r="B765" s="2" t="s">
        <v>782</v>
      </c>
      <c r="C765" s="2" t="s">
        <v>2738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2740</v>
      </c>
      <c r="L765" s="2" t="s">
        <v>2719</v>
      </c>
      <c r="N765" s="4"/>
      <c r="O765" s="2" t="s">
        <v>2739</v>
      </c>
      <c r="P765" s="2" t="s">
        <v>2739</v>
      </c>
      <c r="Q765" s="4">
        <v>1</v>
      </c>
      <c r="R765" s="2" t="s">
        <v>577</v>
      </c>
      <c r="S765" s="2" t="s">
        <v>435</v>
      </c>
      <c r="T765" s="2" t="s">
        <v>435</v>
      </c>
      <c r="U765" s="2" t="s">
        <v>597</v>
      </c>
      <c r="V765" s="2" t="s">
        <v>60</v>
      </c>
      <c r="W765" s="4">
        <v>0</v>
      </c>
      <c r="Y765" s="4">
        <v>0</v>
      </c>
      <c r="Z765" s="4" t="s">
        <v>39</v>
      </c>
      <c r="AA765" s="2" t="s">
        <v>60</v>
      </c>
      <c r="AB765" s="2" t="s">
        <v>27</v>
      </c>
      <c r="AC765" s="2" t="s">
        <v>27</v>
      </c>
      <c r="AD765" s="4">
        <v>1</v>
      </c>
      <c r="AE765" s="2" t="s">
        <v>27</v>
      </c>
      <c r="AF765" s="2" t="s">
        <v>27</v>
      </c>
      <c r="AG765" s="2" t="s">
        <v>33</v>
      </c>
      <c r="AH765" s="2" t="s">
        <v>185</v>
      </c>
      <c r="AI765" s="2" t="s">
        <v>720</v>
      </c>
      <c r="AJ765" s="4"/>
      <c r="AL765" s="4"/>
      <c r="AN765" s="4"/>
      <c r="AP765" s="4"/>
      <c r="AQ765" s="4"/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Z765" s="2" t="s">
        <v>60</v>
      </c>
    </row>
    <row r="766" spans="2:52" x14ac:dyDescent="0.15">
      <c r="B766" s="2" t="s">
        <v>2733</v>
      </c>
      <c r="C766" s="2" t="s">
        <v>2741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2743</v>
      </c>
      <c r="L766" s="2" t="s">
        <v>2744</v>
      </c>
      <c r="N766" s="4"/>
      <c r="O766" s="2" t="s">
        <v>2742</v>
      </c>
      <c r="P766" s="2" t="s">
        <v>2742</v>
      </c>
      <c r="Q766" s="4">
        <v>0</v>
      </c>
      <c r="R766" s="2" t="s">
        <v>370</v>
      </c>
      <c r="S766" s="2" t="s">
        <v>435</v>
      </c>
      <c r="T766" s="2" t="s">
        <v>435</v>
      </c>
      <c r="U766" s="2" t="s">
        <v>597</v>
      </c>
      <c r="V766" s="2" t="s">
        <v>60</v>
      </c>
      <c r="W766" s="4">
        <v>0</v>
      </c>
      <c r="Y766" s="4">
        <v>0</v>
      </c>
      <c r="Z766" s="4" t="s">
        <v>39</v>
      </c>
      <c r="AA766" s="2" t="s">
        <v>60</v>
      </c>
      <c r="AB766" s="2" t="s">
        <v>27</v>
      </c>
      <c r="AC766" s="2" t="s">
        <v>27</v>
      </c>
      <c r="AD766" s="4">
        <v>1</v>
      </c>
      <c r="AE766" s="2" t="s">
        <v>27</v>
      </c>
      <c r="AF766" s="2" t="s">
        <v>27</v>
      </c>
      <c r="AG766" s="2" t="s">
        <v>33</v>
      </c>
      <c r="AH766" s="2" t="s">
        <v>185</v>
      </c>
      <c r="AI766" s="2" t="s">
        <v>782</v>
      </c>
      <c r="AJ766" s="4"/>
      <c r="AL766" s="4"/>
      <c r="AN766" s="4"/>
      <c r="AP766" s="4"/>
      <c r="AQ766" s="4"/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Z766" s="2" t="s">
        <v>60</v>
      </c>
    </row>
    <row r="767" spans="2:52" x14ac:dyDescent="0.15">
      <c r="B767" s="2" t="s">
        <v>2736</v>
      </c>
      <c r="C767" s="2" t="s">
        <v>2745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2746</v>
      </c>
      <c r="L767" s="2" t="s">
        <v>2667</v>
      </c>
      <c r="N767" s="4"/>
      <c r="O767" s="2" t="s">
        <v>992</v>
      </c>
      <c r="P767" s="2" t="s">
        <v>992</v>
      </c>
      <c r="Q767" s="4">
        <v>0</v>
      </c>
      <c r="R767" s="2" t="s">
        <v>370</v>
      </c>
      <c r="S767" s="2" t="s">
        <v>435</v>
      </c>
      <c r="T767" s="2" t="s">
        <v>435</v>
      </c>
      <c r="U767" s="2" t="s">
        <v>597</v>
      </c>
      <c r="V767" s="2" t="s">
        <v>60</v>
      </c>
      <c r="W767" s="4">
        <v>0</v>
      </c>
      <c r="Y767" s="4">
        <v>0</v>
      </c>
      <c r="Z767" s="4" t="s">
        <v>39</v>
      </c>
      <c r="AA767" s="2" t="s">
        <v>60</v>
      </c>
      <c r="AB767" s="2" t="s">
        <v>27</v>
      </c>
      <c r="AC767" s="2" t="s">
        <v>27</v>
      </c>
      <c r="AD767" s="4">
        <v>50</v>
      </c>
      <c r="AE767" s="2" t="s">
        <v>4</v>
      </c>
      <c r="AF767" s="2" t="s">
        <v>32</v>
      </c>
      <c r="AG767" s="2" t="s">
        <v>449</v>
      </c>
      <c r="AH767" s="2" t="s">
        <v>185</v>
      </c>
      <c r="AI767" s="2" t="s">
        <v>2733</v>
      </c>
      <c r="AJ767" s="4"/>
      <c r="AL767" s="4"/>
      <c r="AN767" s="4"/>
      <c r="AP767" s="4"/>
      <c r="AQ767" s="4"/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Z767" s="2" t="s">
        <v>60</v>
      </c>
    </row>
    <row r="768" spans="2:52" x14ac:dyDescent="0.15">
      <c r="B768" s="2" t="s">
        <v>2739</v>
      </c>
      <c r="C768" s="2" t="s">
        <v>2946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3013</v>
      </c>
      <c r="L768" s="2" t="s">
        <v>3014</v>
      </c>
      <c r="N768" s="4"/>
      <c r="O768" s="2" t="s">
        <v>60</v>
      </c>
      <c r="P768" s="2" t="s">
        <v>60</v>
      </c>
      <c r="Q768" s="4">
        <v>0</v>
      </c>
      <c r="S768" s="2" t="s">
        <v>435</v>
      </c>
      <c r="T768" s="2" t="s">
        <v>499</v>
      </c>
      <c r="U768" s="2" t="s">
        <v>372</v>
      </c>
      <c r="V768" s="2" t="s">
        <v>60</v>
      </c>
      <c r="W768" s="4">
        <v>0</v>
      </c>
      <c r="Y768" s="4">
        <v>0</v>
      </c>
      <c r="Z768" s="4" t="s">
        <v>39</v>
      </c>
      <c r="AA768" s="2" t="s">
        <v>60</v>
      </c>
      <c r="AB768" s="2" t="s">
        <v>27</v>
      </c>
      <c r="AC768" s="2" t="s">
        <v>27</v>
      </c>
      <c r="AD768" s="4">
        <v>1</v>
      </c>
      <c r="AE768" s="2" t="s">
        <v>27</v>
      </c>
      <c r="AF768" s="2" t="s">
        <v>27</v>
      </c>
      <c r="AG768" s="2" t="s">
        <v>33</v>
      </c>
      <c r="AH768" s="2" t="s">
        <v>185</v>
      </c>
      <c r="AI768" s="2" t="s">
        <v>2736</v>
      </c>
      <c r="AJ768" s="4"/>
      <c r="AL768" s="4"/>
      <c r="AN768" s="4"/>
      <c r="AP768" s="4"/>
      <c r="AQ768" s="4"/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Z768" s="2" t="s">
        <v>60</v>
      </c>
    </row>
    <row r="769" spans="2:52" x14ac:dyDescent="0.15">
      <c r="B769" s="2" t="s">
        <v>2742</v>
      </c>
      <c r="C769" s="2" t="s">
        <v>2947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3013</v>
      </c>
      <c r="L769" s="2" t="s">
        <v>3015</v>
      </c>
      <c r="N769" s="4"/>
      <c r="O769" s="2" t="s">
        <v>60</v>
      </c>
      <c r="P769" s="2" t="s">
        <v>60</v>
      </c>
      <c r="Q769" s="4">
        <v>0</v>
      </c>
      <c r="S769" s="2" t="s">
        <v>435</v>
      </c>
      <c r="T769" s="2" t="s">
        <v>499</v>
      </c>
      <c r="U769" s="2" t="s">
        <v>372</v>
      </c>
      <c r="V769" s="2" t="s">
        <v>60</v>
      </c>
      <c r="W769" s="4">
        <v>0</v>
      </c>
      <c r="Y769" s="4">
        <v>0</v>
      </c>
      <c r="Z769" s="4" t="s">
        <v>39</v>
      </c>
      <c r="AA769" s="2" t="s">
        <v>60</v>
      </c>
      <c r="AB769" s="2" t="s">
        <v>27</v>
      </c>
      <c r="AC769" s="2" t="s">
        <v>27</v>
      </c>
      <c r="AD769" s="4">
        <v>1</v>
      </c>
      <c r="AE769" s="2" t="s">
        <v>27</v>
      </c>
      <c r="AF769" s="2" t="s">
        <v>27</v>
      </c>
      <c r="AG769" s="2" t="s">
        <v>33</v>
      </c>
      <c r="AH769" s="2" t="s">
        <v>185</v>
      </c>
      <c r="AI769" s="2" t="s">
        <v>2739</v>
      </c>
      <c r="AJ769" s="4"/>
      <c r="AL769" s="4"/>
      <c r="AN769" s="4"/>
      <c r="AP769" s="4"/>
      <c r="AQ769" s="4"/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Z769" s="2" t="s">
        <v>60</v>
      </c>
    </row>
    <row r="770" spans="2:52" x14ac:dyDescent="0.15">
      <c r="B770" s="2" t="s">
        <v>992</v>
      </c>
      <c r="C770" s="2" t="s">
        <v>2948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3013</v>
      </c>
      <c r="L770" s="2" t="s">
        <v>3016</v>
      </c>
      <c r="N770" s="4"/>
      <c r="O770" s="2" t="s">
        <v>60</v>
      </c>
      <c r="P770" s="2" t="s">
        <v>60</v>
      </c>
      <c r="Q770" s="4">
        <v>0</v>
      </c>
      <c r="S770" s="2" t="s">
        <v>435</v>
      </c>
      <c r="T770" s="2" t="s">
        <v>499</v>
      </c>
      <c r="U770" s="2" t="s">
        <v>372</v>
      </c>
      <c r="V770" s="2" t="s">
        <v>60</v>
      </c>
      <c r="W770" s="4">
        <v>0</v>
      </c>
      <c r="Y770" s="4">
        <v>0</v>
      </c>
      <c r="Z770" s="4" t="s">
        <v>39</v>
      </c>
      <c r="AA770" s="2" t="s">
        <v>60</v>
      </c>
      <c r="AB770" s="2" t="s">
        <v>27</v>
      </c>
      <c r="AC770" s="2" t="s">
        <v>27</v>
      </c>
      <c r="AD770" s="4">
        <v>1</v>
      </c>
      <c r="AE770" s="2" t="s">
        <v>27</v>
      </c>
      <c r="AF770" s="2" t="s">
        <v>27</v>
      </c>
      <c r="AG770" s="2" t="s">
        <v>33</v>
      </c>
      <c r="AH770" s="2" t="s">
        <v>185</v>
      </c>
      <c r="AI770" s="2" t="s">
        <v>2742</v>
      </c>
      <c r="AJ770" s="4"/>
      <c r="AL770" s="4"/>
      <c r="AN770" s="4"/>
      <c r="AP770" s="4"/>
      <c r="AQ770" s="4"/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Z770" s="2" t="s">
        <v>60</v>
      </c>
    </row>
    <row r="771" spans="2:52" x14ac:dyDescent="0.15">
      <c r="B771" s="2" t="s">
        <v>2747</v>
      </c>
      <c r="C771" s="2" t="s">
        <v>2949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3013</v>
      </c>
      <c r="L771" s="2" t="s">
        <v>3017</v>
      </c>
      <c r="N771" s="4"/>
      <c r="O771" s="2" t="s">
        <v>60</v>
      </c>
      <c r="P771" s="2" t="s">
        <v>60</v>
      </c>
      <c r="Q771" s="4">
        <v>0</v>
      </c>
      <c r="S771" s="2" t="s">
        <v>435</v>
      </c>
      <c r="T771" s="2" t="s">
        <v>499</v>
      </c>
      <c r="U771" s="2" t="s">
        <v>372</v>
      </c>
      <c r="V771" s="2" t="s">
        <v>60</v>
      </c>
      <c r="W771" s="4">
        <v>0</v>
      </c>
      <c r="Y771" s="4">
        <v>0</v>
      </c>
      <c r="Z771" s="4" t="s">
        <v>39</v>
      </c>
      <c r="AA771" s="2" t="s">
        <v>60</v>
      </c>
      <c r="AB771" s="2" t="s">
        <v>27</v>
      </c>
      <c r="AC771" s="2" t="s">
        <v>27</v>
      </c>
      <c r="AD771" s="4">
        <v>1</v>
      </c>
      <c r="AE771" s="2" t="s">
        <v>27</v>
      </c>
      <c r="AF771" s="2" t="s">
        <v>27</v>
      </c>
      <c r="AG771" s="2" t="s">
        <v>33</v>
      </c>
      <c r="AH771" s="2" t="s">
        <v>185</v>
      </c>
      <c r="AI771" s="2" t="s">
        <v>992</v>
      </c>
      <c r="AJ771" s="4"/>
      <c r="AL771" s="4"/>
      <c r="AN771" s="4"/>
      <c r="AP771" s="4"/>
      <c r="AQ771" s="4"/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Z771" s="2" t="s">
        <v>60</v>
      </c>
    </row>
    <row r="772" spans="2:52" x14ac:dyDescent="0.15">
      <c r="B772" s="2" t="s">
        <v>2748</v>
      </c>
      <c r="C772" s="2" t="s">
        <v>2950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3013</v>
      </c>
      <c r="L772" s="2" t="s">
        <v>3018</v>
      </c>
      <c r="N772" s="4"/>
      <c r="O772" s="2" t="s">
        <v>60</v>
      </c>
      <c r="P772" s="2" t="s">
        <v>60</v>
      </c>
      <c r="Q772" s="4">
        <v>0</v>
      </c>
      <c r="S772" s="2" t="s">
        <v>435</v>
      </c>
      <c r="T772" s="2" t="s">
        <v>499</v>
      </c>
      <c r="U772" s="2" t="s">
        <v>372</v>
      </c>
      <c r="V772" s="2" t="s">
        <v>60</v>
      </c>
      <c r="W772" s="4">
        <v>0</v>
      </c>
      <c r="Y772" s="4">
        <v>0</v>
      </c>
      <c r="Z772" s="4" t="s">
        <v>39</v>
      </c>
      <c r="AA772" s="2" t="s">
        <v>60</v>
      </c>
      <c r="AB772" s="2" t="s">
        <v>27</v>
      </c>
      <c r="AC772" s="2" t="s">
        <v>27</v>
      </c>
      <c r="AD772" s="4">
        <v>1</v>
      </c>
      <c r="AE772" s="2" t="s">
        <v>27</v>
      </c>
      <c r="AF772" s="2" t="s">
        <v>27</v>
      </c>
      <c r="AG772" s="2" t="s">
        <v>33</v>
      </c>
      <c r="AH772" s="2" t="s">
        <v>185</v>
      </c>
      <c r="AI772" s="2" t="s">
        <v>2747</v>
      </c>
      <c r="AJ772" s="4"/>
      <c r="AL772" s="4"/>
      <c r="AN772" s="4"/>
      <c r="AP772" s="4"/>
      <c r="AQ772" s="4"/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Z772" s="2" t="s">
        <v>60</v>
      </c>
    </row>
    <row r="773" spans="2:52" x14ac:dyDescent="0.15">
      <c r="B773" s="2" t="s">
        <v>2252</v>
      </c>
      <c r="C773" s="2" t="s">
        <v>2951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3013</v>
      </c>
      <c r="L773" s="2" t="s">
        <v>3019</v>
      </c>
      <c r="N773" s="4"/>
      <c r="O773" s="2" t="s">
        <v>60</v>
      </c>
      <c r="P773" s="2" t="s">
        <v>60</v>
      </c>
      <c r="Q773" s="4">
        <v>0</v>
      </c>
      <c r="S773" s="2" t="s">
        <v>435</v>
      </c>
      <c r="T773" s="2" t="s">
        <v>499</v>
      </c>
      <c r="U773" s="2" t="s">
        <v>372</v>
      </c>
      <c r="V773" s="2" t="s">
        <v>60</v>
      </c>
      <c r="W773" s="4">
        <v>0</v>
      </c>
      <c r="Y773" s="4">
        <v>0</v>
      </c>
      <c r="Z773" s="4" t="s">
        <v>39</v>
      </c>
      <c r="AA773" s="2" t="s">
        <v>60</v>
      </c>
      <c r="AB773" s="2" t="s">
        <v>27</v>
      </c>
      <c r="AC773" s="2" t="s">
        <v>27</v>
      </c>
      <c r="AD773" s="4">
        <v>1</v>
      </c>
      <c r="AE773" s="2" t="s">
        <v>27</v>
      </c>
      <c r="AF773" s="2" t="s">
        <v>27</v>
      </c>
      <c r="AG773" s="2" t="s">
        <v>33</v>
      </c>
      <c r="AH773" s="2" t="s">
        <v>185</v>
      </c>
      <c r="AI773" s="2" t="s">
        <v>2748</v>
      </c>
      <c r="AJ773" s="4"/>
      <c r="AL773" s="4"/>
      <c r="AN773" s="4"/>
      <c r="AP773" s="4"/>
      <c r="AQ773" s="4"/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Z773" s="2" t="s">
        <v>60</v>
      </c>
    </row>
    <row r="774" spans="2:52" x14ac:dyDescent="0.15">
      <c r="B774" s="2" t="s">
        <v>2623</v>
      </c>
      <c r="C774" s="2" t="s">
        <v>2952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3013</v>
      </c>
      <c r="L774" s="2" t="s">
        <v>3020</v>
      </c>
      <c r="N774" s="4"/>
      <c r="O774" s="2" t="s">
        <v>60</v>
      </c>
      <c r="P774" s="2" t="s">
        <v>60</v>
      </c>
      <c r="Q774" s="4">
        <v>0</v>
      </c>
      <c r="S774" s="2" t="s">
        <v>435</v>
      </c>
      <c r="T774" s="2" t="s">
        <v>499</v>
      </c>
      <c r="U774" s="2" t="s">
        <v>372</v>
      </c>
      <c r="V774" s="2" t="s">
        <v>60</v>
      </c>
      <c r="W774" s="4">
        <v>0</v>
      </c>
      <c r="Y774" s="4">
        <v>0</v>
      </c>
      <c r="Z774" s="4" t="s">
        <v>39</v>
      </c>
      <c r="AA774" s="2" t="s">
        <v>60</v>
      </c>
      <c r="AB774" s="2" t="s">
        <v>27</v>
      </c>
      <c r="AC774" s="2" t="s">
        <v>27</v>
      </c>
      <c r="AD774" s="4">
        <v>1</v>
      </c>
      <c r="AE774" s="2" t="s">
        <v>27</v>
      </c>
      <c r="AF774" s="2" t="s">
        <v>27</v>
      </c>
      <c r="AG774" s="2" t="s">
        <v>33</v>
      </c>
      <c r="AH774" s="2" t="s">
        <v>185</v>
      </c>
      <c r="AI774" s="2" t="s">
        <v>2252</v>
      </c>
      <c r="AJ774" s="4"/>
      <c r="AL774" s="4"/>
      <c r="AN774" s="4"/>
      <c r="AP774" s="4"/>
      <c r="AQ774" s="4"/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Z774" s="2" t="s">
        <v>60</v>
      </c>
    </row>
    <row r="775" spans="2:52" x14ac:dyDescent="0.15">
      <c r="B775" s="2" t="s">
        <v>2654</v>
      </c>
      <c r="C775" s="2" t="s">
        <v>2953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3013</v>
      </c>
      <c r="L775" s="2" t="s">
        <v>3021</v>
      </c>
      <c r="N775" s="4"/>
      <c r="O775" s="2" t="s">
        <v>60</v>
      </c>
      <c r="P775" s="2" t="s">
        <v>60</v>
      </c>
      <c r="Q775" s="4">
        <v>0</v>
      </c>
      <c r="S775" s="2" t="s">
        <v>435</v>
      </c>
      <c r="T775" s="2" t="s">
        <v>499</v>
      </c>
      <c r="U775" s="2" t="s">
        <v>372</v>
      </c>
      <c r="V775" s="2" t="s">
        <v>60</v>
      </c>
      <c r="W775" s="4">
        <v>0</v>
      </c>
      <c r="Y775" s="4">
        <v>0</v>
      </c>
      <c r="Z775" s="4" t="s">
        <v>39</v>
      </c>
      <c r="AA775" s="2" t="s">
        <v>60</v>
      </c>
      <c r="AB775" s="2" t="s">
        <v>27</v>
      </c>
      <c r="AC775" s="2" t="s">
        <v>27</v>
      </c>
      <c r="AD775" s="4">
        <v>1</v>
      </c>
      <c r="AE775" s="2" t="s">
        <v>27</v>
      </c>
      <c r="AF775" s="2" t="s">
        <v>27</v>
      </c>
      <c r="AG775" s="2" t="s">
        <v>33</v>
      </c>
      <c r="AH775" s="2" t="s">
        <v>185</v>
      </c>
      <c r="AI775" s="2" t="s">
        <v>2623</v>
      </c>
      <c r="AJ775" s="4"/>
      <c r="AL775" s="4"/>
      <c r="AN775" s="4"/>
      <c r="AP775" s="4"/>
      <c r="AQ775" s="4"/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Z775" s="2" t="s">
        <v>60</v>
      </c>
    </row>
    <row r="776" spans="2:52" x14ac:dyDescent="0.15">
      <c r="B776" s="2" t="s">
        <v>1558</v>
      </c>
      <c r="C776" s="2" t="s">
        <v>2954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3013</v>
      </c>
      <c r="L776" s="2" t="s">
        <v>3022</v>
      </c>
      <c r="N776" s="4"/>
      <c r="O776" s="2" t="s">
        <v>60</v>
      </c>
      <c r="P776" s="2" t="s">
        <v>60</v>
      </c>
      <c r="Q776" s="4">
        <v>0</v>
      </c>
      <c r="S776" s="2" t="s">
        <v>435</v>
      </c>
      <c r="T776" s="2" t="s">
        <v>499</v>
      </c>
      <c r="U776" s="2" t="s">
        <v>372</v>
      </c>
      <c r="V776" s="2" t="s">
        <v>60</v>
      </c>
      <c r="W776" s="4">
        <v>0</v>
      </c>
      <c r="Y776" s="4">
        <v>0</v>
      </c>
      <c r="Z776" s="4" t="s">
        <v>39</v>
      </c>
      <c r="AA776" s="2" t="s">
        <v>60</v>
      </c>
      <c r="AB776" s="2" t="s">
        <v>27</v>
      </c>
      <c r="AC776" s="2" t="s">
        <v>27</v>
      </c>
      <c r="AD776" s="4">
        <v>1</v>
      </c>
      <c r="AE776" s="2" t="s">
        <v>27</v>
      </c>
      <c r="AF776" s="2" t="s">
        <v>27</v>
      </c>
      <c r="AG776" s="2" t="s">
        <v>33</v>
      </c>
      <c r="AH776" s="2" t="s">
        <v>185</v>
      </c>
      <c r="AI776" s="2" t="s">
        <v>2654</v>
      </c>
      <c r="AJ776" s="4"/>
      <c r="AL776" s="4"/>
      <c r="AN776" s="4"/>
      <c r="AP776" s="4"/>
      <c r="AQ776" s="4"/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Z776" s="2" t="s">
        <v>60</v>
      </c>
    </row>
    <row r="777" spans="2:52" x14ac:dyDescent="0.15">
      <c r="B777" s="2" t="s">
        <v>2300</v>
      </c>
      <c r="C777" s="2" t="s">
        <v>2955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3013</v>
      </c>
      <c r="L777" s="2" t="s">
        <v>3023</v>
      </c>
      <c r="N777" s="4"/>
      <c r="O777" s="2" t="s">
        <v>60</v>
      </c>
      <c r="P777" s="2" t="s">
        <v>60</v>
      </c>
      <c r="Q777" s="4">
        <v>0</v>
      </c>
      <c r="S777" s="2" t="s">
        <v>435</v>
      </c>
      <c r="T777" s="2" t="s">
        <v>499</v>
      </c>
      <c r="U777" s="2" t="s">
        <v>372</v>
      </c>
      <c r="V777" s="2" t="s">
        <v>60</v>
      </c>
      <c r="W777" s="4">
        <v>0</v>
      </c>
      <c r="Y777" s="4">
        <v>0</v>
      </c>
      <c r="Z777" s="4" t="s">
        <v>39</v>
      </c>
      <c r="AA777" s="2" t="s">
        <v>60</v>
      </c>
      <c r="AB777" s="2" t="s">
        <v>27</v>
      </c>
      <c r="AC777" s="2" t="s">
        <v>27</v>
      </c>
      <c r="AD777" s="4">
        <v>1</v>
      </c>
      <c r="AE777" s="2" t="s">
        <v>27</v>
      </c>
      <c r="AF777" s="2" t="s">
        <v>27</v>
      </c>
      <c r="AG777" s="2" t="s">
        <v>33</v>
      </c>
      <c r="AH777" s="2" t="s">
        <v>185</v>
      </c>
      <c r="AI777" s="2" t="s">
        <v>1558</v>
      </c>
      <c r="AJ777" s="4"/>
      <c r="AL777" s="4"/>
      <c r="AN777" s="4"/>
      <c r="AP777" s="4"/>
      <c r="AQ777" s="4"/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Z777" s="2" t="s">
        <v>60</v>
      </c>
    </row>
    <row r="778" spans="2:52" x14ac:dyDescent="0.15">
      <c r="B778" s="2" t="s">
        <v>2479</v>
      </c>
      <c r="C778" s="2" t="s">
        <v>2956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3013</v>
      </c>
      <c r="L778" s="2" t="s">
        <v>3024</v>
      </c>
      <c r="N778" s="4"/>
      <c r="O778" s="2" t="s">
        <v>60</v>
      </c>
      <c r="P778" s="2" t="s">
        <v>60</v>
      </c>
      <c r="Q778" s="4">
        <v>0</v>
      </c>
      <c r="S778" s="2" t="s">
        <v>435</v>
      </c>
      <c r="T778" s="2" t="s">
        <v>499</v>
      </c>
      <c r="U778" s="2" t="s">
        <v>372</v>
      </c>
      <c r="V778" s="2" t="s">
        <v>60</v>
      </c>
      <c r="W778" s="4">
        <v>0</v>
      </c>
      <c r="Y778" s="4">
        <v>0</v>
      </c>
      <c r="Z778" s="4" t="s">
        <v>39</v>
      </c>
      <c r="AA778" s="2" t="s">
        <v>60</v>
      </c>
      <c r="AB778" s="2" t="s">
        <v>27</v>
      </c>
      <c r="AC778" s="2" t="s">
        <v>27</v>
      </c>
      <c r="AD778" s="4">
        <v>1</v>
      </c>
      <c r="AE778" s="2" t="s">
        <v>27</v>
      </c>
      <c r="AF778" s="2" t="s">
        <v>27</v>
      </c>
      <c r="AG778" s="2" t="s">
        <v>33</v>
      </c>
      <c r="AH778" s="2" t="s">
        <v>185</v>
      </c>
      <c r="AI778" s="2" t="s">
        <v>2300</v>
      </c>
      <c r="AJ778" s="4"/>
      <c r="AL778" s="4"/>
      <c r="AN778" s="4"/>
      <c r="AP778" s="4"/>
      <c r="AQ778" s="4"/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Z778" s="2" t="s">
        <v>60</v>
      </c>
    </row>
    <row r="779" spans="2:52" x14ac:dyDescent="0.15">
      <c r="B779" s="2" t="s">
        <v>1324</v>
      </c>
      <c r="C779" s="2" t="s">
        <v>2957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3013</v>
      </c>
      <c r="L779" s="2" t="s">
        <v>3025</v>
      </c>
      <c r="N779" s="4"/>
      <c r="O779" s="2" t="s">
        <v>60</v>
      </c>
      <c r="P779" s="2" t="s">
        <v>60</v>
      </c>
      <c r="Q779" s="4">
        <v>0</v>
      </c>
      <c r="S779" s="2" t="s">
        <v>435</v>
      </c>
      <c r="T779" s="2" t="s">
        <v>499</v>
      </c>
      <c r="U779" s="2" t="s">
        <v>372</v>
      </c>
      <c r="V779" s="2" t="s">
        <v>60</v>
      </c>
      <c r="W779" s="4">
        <v>0</v>
      </c>
      <c r="Y779" s="4">
        <v>0</v>
      </c>
      <c r="Z779" s="4" t="s">
        <v>39</v>
      </c>
      <c r="AA779" s="2" t="s">
        <v>60</v>
      </c>
      <c r="AB779" s="2" t="s">
        <v>27</v>
      </c>
      <c r="AC779" s="2" t="s">
        <v>27</v>
      </c>
      <c r="AD779" s="4">
        <v>1</v>
      </c>
      <c r="AE779" s="2" t="s">
        <v>27</v>
      </c>
      <c r="AF779" s="2" t="s">
        <v>27</v>
      </c>
      <c r="AG779" s="2" t="s">
        <v>33</v>
      </c>
      <c r="AH779" s="2" t="s">
        <v>185</v>
      </c>
      <c r="AI779" s="2" t="s">
        <v>2479</v>
      </c>
      <c r="AJ779" s="4"/>
      <c r="AL779" s="4"/>
      <c r="AN779" s="4"/>
      <c r="AP779" s="4"/>
      <c r="AQ779" s="4"/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Z779" s="2" t="s">
        <v>60</v>
      </c>
    </row>
    <row r="780" spans="2:52" x14ac:dyDescent="0.15">
      <c r="B780" s="2" t="s">
        <v>1940</v>
      </c>
      <c r="C780" s="2" t="s">
        <v>2958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3013</v>
      </c>
      <c r="L780" s="2" t="s">
        <v>3026</v>
      </c>
      <c r="N780" s="4"/>
      <c r="O780" s="2" t="s">
        <v>60</v>
      </c>
      <c r="P780" s="2" t="s">
        <v>60</v>
      </c>
      <c r="Q780" s="4">
        <v>0</v>
      </c>
      <c r="S780" s="2" t="s">
        <v>435</v>
      </c>
      <c r="T780" s="2" t="s">
        <v>499</v>
      </c>
      <c r="U780" s="2" t="s">
        <v>372</v>
      </c>
      <c r="V780" s="2" t="s">
        <v>60</v>
      </c>
      <c r="W780" s="4">
        <v>0</v>
      </c>
      <c r="Y780" s="4">
        <v>0</v>
      </c>
      <c r="Z780" s="4" t="s">
        <v>39</v>
      </c>
      <c r="AA780" s="2" t="s">
        <v>60</v>
      </c>
      <c r="AB780" s="2" t="s">
        <v>27</v>
      </c>
      <c r="AC780" s="2" t="s">
        <v>27</v>
      </c>
      <c r="AD780" s="4">
        <v>1</v>
      </c>
      <c r="AE780" s="2" t="s">
        <v>27</v>
      </c>
      <c r="AF780" s="2" t="s">
        <v>27</v>
      </c>
      <c r="AG780" s="2" t="s">
        <v>33</v>
      </c>
      <c r="AH780" s="2" t="s">
        <v>185</v>
      </c>
      <c r="AI780" s="2" t="s">
        <v>1324</v>
      </c>
      <c r="AJ780" s="4"/>
      <c r="AL780" s="4"/>
      <c r="AN780" s="4"/>
      <c r="AP780" s="4"/>
      <c r="AQ780" s="4"/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Z780" s="2" t="s">
        <v>60</v>
      </c>
    </row>
    <row r="781" spans="2:52" x14ac:dyDescent="0.15">
      <c r="B781" s="2" t="s">
        <v>576</v>
      </c>
      <c r="C781" s="2" t="s">
        <v>2959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3013</v>
      </c>
      <c r="L781" s="2" t="s">
        <v>3027</v>
      </c>
      <c r="N781" s="4"/>
      <c r="O781" s="2" t="s">
        <v>60</v>
      </c>
      <c r="P781" s="2" t="s">
        <v>60</v>
      </c>
      <c r="Q781" s="4">
        <v>0</v>
      </c>
      <c r="S781" s="2" t="s">
        <v>435</v>
      </c>
      <c r="T781" s="2" t="s">
        <v>499</v>
      </c>
      <c r="U781" s="2" t="s">
        <v>372</v>
      </c>
      <c r="V781" s="2" t="s">
        <v>60</v>
      </c>
      <c r="W781" s="4">
        <v>0</v>
      </c>
      <c r="Y781" s="4">
        <v>0</v>
      </c>
      <c r="Z781" s="4" t="s">
        <v>39</v>
      </c>
      <c r="AA781" s="2" t="s">
        <v>60</v>
      </c>
      <c r="AB781" s="2" t="s">
        <v>27</v>
      </c>
      <c r="AC781" s="2" t="s">
        <v>27</v>
      </c>
      <c r="AD781" s="4">
        <v>1</v>
      </c>
      <c r="AE781" s="2" t="s">
        <v>27</v>
      </c>
      <c r="AF781" s="2" t="s">
        <v>27</v>
      </c>
      <c r="AG781" s="2" t="s">
        <v>33</v>
      </c>
      <c r="AH781" s="2" t="s">
        <v>185</v>
      </c>
      <c r="AI781" s="2" t="s">
        <v>1940</v>
      </c>
      <c r="AJ781" s="4"/>
      <c r="AL781" s="4"/>
      <c r="AN781" s="4"/>
      <c r="AP781" s="4"/>
      <c r="AQ781" s="4"/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Z781" s="2" t="s">
        <v>60</v>
      </c>
    </row>
    <row r="782" spans="2:52" x14ac:dyDescent="0.15">
      <c r="B782" s="2" t="s">
        <v>1794</v>
      </c>
      <c r="C782" s="2" t="s">
        <v>2960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3013</v>
      </c>
      <c r="L782" s="2" t="s">
        <v>3028</v>
      </c>
      <c r="N782" s="4"/>
      <c r="O782" s="2" t="s">
        <v>60</v>
      </c>
      <c r="P782" s="2" t="s">
        <v>60</v>
      </c>
      <c r="Q782" s="4">
        <v>0</v>
      </c>
      <c r="S782" s="2" t="s">
        <v>435</v>
      </c>
      <c r="T782" s="2" t="s">
        <v>499</v>
      </c>
      <c r="U782" s="2" t="s">
        <v>372</v>
      </c>
      <c r="V782" s="2" t="s">
        <v>60</v>
      </c>
      <c r="W782" s="4">
        <v>0</v>
      </c>
      <c r="Y782" s="4">
        <v>0</v>
      </c>
      <c r="Z782" s="4" t="s">
        <v>39</v>
      </c>
      <c r="AA782" s="2" t="s">
        <v>60</v>
      </c>
      <c r="AB782" s="2" t="s">
        <v>27</v>
      </c>
      <c r="AC782" s="2" t="s">
        <v>27</v>
      </c>
      <c r="AD782" s="4">
        <v>1</v>
      </c>
      <c r="AE782" s="2" t="s">
        <v>27</v>
      </c>
      <c r="AF782" s="2" t="s">
        <v>27</v>
      </c>
      <c r="AG782" s="2" t="s">
        <v>33</v>
      </c>
      <c r="AH782" s="2" t="s">
        <v>185</v>
      </c>
      <c r="AI782" s="2" t="s">
        <v>576</v>
      </c>
      <c r="AJ782" s="4"/>
      <c r="AL782" s="4"/>
      <c r="AN782" s="4"/>
      <c r="AP782" s="4"/>
      <c r="AQ782" s="4"/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Z782" s="2" t="s">
        <v>60</v>
      </c>
    </row>
    <row r="783" spans="2:52" x14ac:dyDescent="0.15">
      <c r="B783" s="2" t="s">
        <v>1836</v>
      </c>
      <c r="C783" s="2" t="s">
        <v>2961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3013</v>
      </c>
      <c r="L783" s="2" t="s">
        <v>3029</v>
      </c>
      <c r="N783" s="4"/>
      <c r="O783" s="2" t="s">
        <v>60</v>
      </c>
      <c r="P783" s="2" t="s">
        <v>60</v>
      </c>
      <c r="Q783" s="4">
        <v>0</v>
      </c>
      <c r="S783" s="2" t="s">
        <v>435</v>
      </c>
      <c r="T783" s="2" t="s">
        <v>499</v>
      </c>
      <c r="U783" s="2" t="s">
        <v>372</v>
      </c>
      <c r="V783" s="2" t="s">
        <v>60</v>
      </c>
      <c r="W783" s="4">
        <v>0</v>
      </c>
      <c r="Y783" s="4">
        <v>0</v>
      </c>
      <c r="Z783" s="4" t="s">
        <v>39</v>
      </c>
      <c r="AA783" s="2" t="s">
        <v>60</v>
      </c>
      <c r="AB783" s="2" t="s">
        <v>27</v>
      </c>
      <c r="AC783" s="2" t="s">
        <v>27</v>
      </c>
      <c r="AD783" s="4">
        <v>1</v>
      </c>
      <c r="AE783" s="2" t="s">
        <v>27</v>
      </c>
      <c r="AF783" s="2" t="s">
        <v>27</v>
      </c>
      <c r="AG783" s="2" t="s">
        <v>33</v>
      </c>
      <c r="AH783" s="2" t="s">
        <v>185</v>
      </c>
      <c r="AI783" s="2" t="s">
        <v>1794</v>
      </c>
      <c r="AJ783" s="4"/>
      <c r="AL783" s="4"/>
      <c r="AN783" s="4"/>
      <c r="AP783" s="4"/>
      <c r="AQ783" s="4"/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Z783" s="2" t="s">
        <v>60</v>
      </c>
    </row>
    <row r="784" spans="2:52" x14ac:dyDescent="0.15">
      <c r="B784" s="2" t="s">
        <v>795</v>
      </c>
      <c r="C784" s="2" t="s">
        <v>2962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3013</v>
      </c>
      <c r="L784" s="2" t="s">
        <v>3030</v>
      </c>
      <c r="N784" s="4"/>
      <c r="O784" s="2" t="s">
        <v>60</v>
      </c>
      <c r="P784" s="2" t="s">
        <v>60</v>
      </c>
      <c r="Q784" s="4">
        <v>0</v>
      </c>
      <c r="S784" s="2" t="s">
        <v>435</v>
      </c>
      <c r="T784" s="2" t="s">
        <v>499</v>
      </c>
      <c r="U784" s="2" t="s">
        <v>372</v>
      </c>
      <c r="V784" s="2" t="s">
        <v>60</v>
      </c>
      <c r="W784" s="4">
        <v>0</v>
      </c>
      <c r="Y784" s="4">
        <v>0</v>
      </c>
      <c r="Z784" s="4" t="s">
        <v>39</v>
      </c>
      <c r="AA784" s="2" t="s">
        <v>60</v>
      </c>
      <c r="AB784" s="2" t="s">
        <v>27</v>
      </c>
      <c r="AC784" s="2" t="s">
        <v>27</v>
      </c>
      <c r="AD784" s="4">
        <v>1</v>
      </c>
      <c r="AE784" s="2" t="s">
        <v>27</v>
      </c>
      <c r="AF784" s="2" t="s">
        <v>27</v>
      </c>
      <c r="AG784" s="2" t="s">
        <v>33</v>
      </c>
      <c r="AH784" s="2" t="s">
        <v>185</v>
      </c>
      <c r="AI784" s="2" t="s">
        <v>1836</v>
      </c>
      <c r="AJ784" s="4"/>
      <c r="AL784" s="4"/>
      <c r="AN784" s="4"/>
      <c r="AP784" s="4"/>
      <c r="AQ784" s="4"/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Z784" s="2" t="s">
        <v>60</v>
      </c>
    </row>
    <row r="785" spans="2:52" x14ac:dyDescent="0.15">
      <c r="B785" s="2" t="s">
        <v>1578</v>
      </c>
      <c r="C785" s="2" t="s">
        <v>2963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3013</v>
      </c>
      <c r="L785" s="2" t="s">
        <v>3031</v>
      </c>
      <c r="N785" s="4"/>
      <c r="O785" s="2" t="s">
        <v>60</v>
      </c>
      <c r="P785" s="2" t="s">
        <v>60</v>
      </c>
      <c r="Q785" s="4">
        <v>0</v>
      </c>
      <c r="S785" s="2" t="s">
        <v>435</v>
      </c>
      <c r="T785" s="2" t="s">
        <v>499</v>
      </c>
      <c r="U785" s="2" t="s">
        <v>372</v>
      </c>
      <c r="V785" s="2" t="s">
        <v>60</v>
      </c>
      <c r="W785" s="4">
        <v>0</v>
      </c>
      <c r="Y785" s="4">
        <v>0</v>
      </c>
      <c r="Z785" s="4" t="s">
        <v>39</v>
      </c>
      <c r="AA785" s="2" t="s">
        <v>60</v>
      </c>
      <c r="AB785" s="2" t="s">
        <v>27</v>
      </c>
      <c r="AC785" s="2" t="s">
        <v>27</v>
      </c>
      <c r="AD785" s="4">
        <v>1</v>
      </c>
      <c r="AE785" s="2" t="s">
        <v>27</v>
      </c>
      <c r="AF785" s="2" t="s">
        <v>27</v>
      </c>
      <c r="AG785" s="2" t="s">
        <v>33</v>
      </c>
      <c r="AH785" s="2" t="s">
        <v>185</v>
      </c>
      <c r="AI785" s="2" t="s">
        <v>795</v>
      </c>
      <c r="AJ785" s="4"/>
      <c r="AL785" s="4"/>
      <c r="AN785" s="4"/>
      <c r="AP785" s="4"/>
      <c r="AQ785" s="4"/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Z785" s="2" t="s">
        <v>60</v>
      </c>
    </row>
    <row r="786" spans="2:52" x14ac:dyDescent="0.15">
      <c r="B786" s="2" t="s">
        <v>259</v>
      </c>
      <c r="C786" s="2" t="s">
        <v>2964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3013</v>
      </c>
      <c r="L786" s="2" t="s">
        <v>3032</v>
      </c>
      <c r="N786" s="4"/>
      <c r="O786" s="2" t="s">
        <v>60</v>
      </c>
      <c r="P786" s="2" t="s">
        <v>60</v>
      </c>
      <c r="Q786" s="4">
        <v>0</v>
      </c>
      <c r="S786" s="2" t="s">
        <v>435</v>
      </c>
      <c r="T786" s="2" t="s">
        <v>499</v>
      </c>
      <c r="U786" s="2" t="s">
        <v>372</v>
      </c>
      <c r="V786" s="2" t="s">
        <v>60</v>
      </c>
      <c r="W786" s="4">
        <v>0</v>
      </c>
      <c r="Y786" s="4">
        <v>0</v>
      </c>
      <c r="Z786" s="4" t="s">
        <v>39</v>
      </c>
      <c r="AA786" s="2" t="s">
        <v>60</v>
      </c>
      <c r="AB786" s="2" t="s">
        <v>27</v>
      </c>
      <c r="AC786" s="2" t="s">
        <v>27</v>
      </c>
      <c r="AD786" s="4">
        <v>1</v>
      </c>
      <c r="AE786" s="2" t="s">
        <v>27</v>
      </c>
      <c r="AF786" s="2" t="s">
        <v>27</v>
      </c>
      <c r="AG786" s="2" t="s">
        <v>33</v>
      </c>
      <c r="AH786" s="2" t="s">
        <v>185</v>
      </c>
      <c r="AI786" s="2" t="s">
        <v>1578</v>
      </c>
      <c r="AJ786" s="4"/>
      <c r="AL786" s="4"/>
      <c r="AN786" s="4"/>
      <c r="AP786" s="4"/>
      <c r="AQ786" s="4"/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Z786" s="2" t="s">
        <v>60</v>
      </c>
    </row>
    <row r="787" spans="2:52" x14ac:dyDescent="0.15">
      <c r="B787" s="2" t="s">
        <v>908</v>
      </c>
      <c r="C787" s="2" t="s">
        <v>2965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3013</v>
      </c>
      <c r="L787" s="2" t="s">
        <v>3033</v>
      </c>
      <c r="N787" s="4"/>
      <c r="O787" s="2" t="s">
        <v>60</v>
      </c>
      <c r="P787" s="2" t="s">
        <v>60</v>
      </c>
      <c r="Q787" s="4">
        <v>0</v>
      </c>
      <c r="S787" s="2" t="s">
        <v>435</v>
      </c>
      <c r="T787" s="2" t="s">
        <v>499</v>
      </c>
      <c r="U787" s="2" t="s">
        <v>372</v>
      </c>
      <c r="V787" s="2" t="s">
        <v>60</v>
      </c>
      <c r="W787" s="4">
        <v>0</v>
      </c>
      <c r="Y787" s="4">
        <v>0</v>
      </c>
      <c r="Z787" s="4" t="s">
        <v>39</v>
      </c>
      <c r="AA787" s="2" t="s">
        <v>60</v>
      </c>
      <c r="AB787" s="2" t="s">
        <v>27</v>
      </c>
      <c r="AC787" s="2" t="s">
        <v>27</v>
      </c>
      <c r="AD787" s="4">
        <v>1</v>
      </c>
      <c r="AE787" s="2" t="s">
        <v>27</v>
      </c>
      <c r="AF787" s="2" t="s">
        <v>27</v>
      </c>
      <c r="AG787" s="2" t="s">
        <v>33</v>
      </c>
      <c r="AH787" s="2" t="s">
        <v>185</v>
      </c>
      <c r="AI787" s="2" t="s">
        <v>259</v>
      </c>
      <c r="AJ787" s="4"/>
      <c r="AL787" s="4"/>
      <c r="AN787" s="4"/>
      <c r="AP787" s="4"/>
      <c r="AQ787" s="4"/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Z787" s="2" t="s">
        <v>60</v>
      </c>
    </row>
    <row r="788" spans="2:52" x14ac:dyDescent="0.15">
      <c r="B788" s="2" t="s">
        <v>2188</v>
      </c>
      <c r="C788" s="2" t="s">
        <v>2966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3013</v>
      </c>
      <c r="L788" s="2" t="s">
        <v>3034</v>
      </c>
      <c r="N788" s="4"/>
      <c r="O788" s="2" t="s">
        <v>60</v>
      </c>
      <c r="P788" s="2" t="s">
        <v>60</v>
      </c>
      <c r="Q788" s="4">
        <v>0</v>
      </c>
      <c r="S788" s="2" t="s">
        <v>435</v>
      </c>
      <c r="T788" s="2" t="s">
        <v>499</v>
      </c>
      <c r="U788" s="2" t="s">
        <v>372</v>
      </c>
      <c r="V788" s="2" t="s">
        <v>60</v>
      </c>
      <c r="W788" s="4">
        <v>0</v>
      </c>
      <c r="Y788" s="4">
        <v>0</v>
      </c>
      <c r="Z788" s="4" t="s">
        <v>39</v>
      </c>
      <c r="AA788" s="2" t="s">
        <v>60</v>
      </c>
      <c r="AB788" s="2" t="s">
        <v>27</v>
      </c>
      <c r="AC788" s="2" t="s">
        <v>27</v>
      </c>
      <c r="AD788" s="4">
        <v>1</v>
      </c>
      <c r="AE788" s="2" t="s">
        <v>27</v>
      </c>
      <c r="AF788" s="2" t="s">
        <v>27</v>
      </c>
      <c r="AG788" s="2" t="s">
        <v>33</v>
      </c>
      <c r="AH788" s="2" t="s">
        <v>185</v>
      </c>
      <c r="AI788" s="2" t="s">
        <v>908</v>
      </c>
      <c r="AJ788" s="4"/>
      <c r="AL788" s="4"/>
      <c r="AN788" s="4"/>
      <c r="AP788" s="4"/>
      <c r="AQ788" s="4"/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Z788" s="2" t="s">
        <v>60</v>
      </c>
    </row>
    <row r="789" spans="2:52" x14ac:dyDescent="0.15">
      <c r="B789" s="2" t="s">
        <v>2559</v>
      </c>
      <c r="C789" s="2" t="s">
        <v>2967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3013</v>
      </c>
      <c r="L789" s="2" t="s">
        <v>3035</v>
      </c>
      <c r="N789" s="4"/>
      <c r="O789" s="2" t="s">
        <v>60</v>
      </c>
      <c r="P789" s="2" t="s">
        <v>60</v>
      </c>
      <c r="Q789" s="4">
        <v>0</v>
      </c>
      <c r="S789" s="2" t="s">
        <v>435</v>
      </c>
      <c r="T789" s="2" t="s">
        <v>499</v>
      </c>
      <c r="U789" s="2" t="s">
        <v>372</v>
      </c>
      <c r="V789" s="2" t="s">
        <v>60</v>
      </c>
      <c r="W789" s="4">
        <v>0</v>
      </c>
      <c r="Y789" s="4">
        <v>0</v>
      </c>
      <c r="Z789" s="4" t="s">
        <v>39</v>
      </c>
      <c r="AA789" s="2" t="s">
        <v>60</v>
      </c>
      <c r="AB789" s="2" t="s">
        <v>27</v>
      </c>
      <c r="AC789" s="2" t="s">
        <v>27</v>
      </c>
      <c r="AD789" s="4">
        <v>1</v>
      </c>
      <c r="AE789" s="2" t="s">
        <v>27</v>
      </c>
      <c r="AF789" s="2" t="s">
        <v>27</v>
      </c>
      <c r="AG789" s="2" t="s">
        <v>33</v>
      </c>
      <c r="AH789" s="2" t="s">
        <v>185</v>
      </c>
      <c r="AI789" s="2" t="s">
        <v>2188</v>
      </c>
      <c r="AJ789" s="4"/>
      <c r="AL789" s="4"/>
      <c r="AN789" s="4"/>
      <c r="AP789" s="4"/>
      <c r="AQ789" s="4"/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Z789" s="2" t="s">
        <v>60</v>
      </c>
    </row>
    <row r="790" spans="2:52" x14ac:dyDescent="0.15">
      <c r="B790" s="2" t="s">
        <v>497</v>
      </c>
      <c r="C790" s="2" t="s">
        <v>2968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3013</v>
      </c>
      <c r="L790" s="2" t="s">
        <v>3036</v>
      </c>
      <c r="N790" s="4"/>
      <c r="O790" s="2" t="s">
        <v>60</v>
      </c>
      <c r="P790" s="2" t="s">
        <v>60</v>
      </c>
      <c r="Q790" s="4">
        <v>0</v>
      </c>
      <c r="S790" s="2" t="s">
        <v>435</v>
      </c>
      <c r="T790" s="2" t="s">
        <v>499</v>
      </c>
      <c r="U790" s="2" t="s">
        <v>372</v>
      </c>
      <c r="V790" s="2" t="s">
        <v>60</v>
      </c>
      <c r="W790" s="4">
        <v>0</v>
      </c>
      <c r="Y790" s="4">
        <v>0</v>
      </c>
      <c r="Z790" s="4" t="s">
        <v>39</v>
      </c>
      <c r="AA790" s="2" t="s">
        <v>60</v>
      </c>
      <c r="AB790" s="2" t="s">
        <v>27</v>
      </c>
      <c r="AC790" s="2" t="s">
        <v>27</v>
      </c>
      <c r="AD790" s="4">
        <v>1</v>
      </c>
      <c r="AE790" s="2" t="s">
        <v>27</v>
      </c>
      <c r="AF790" s="2" t="s">
        <v>27</v>
      </c>
      <c r="AG790" s="2" t="s">
        <v>33</v>
      </c>
      <c r="AH790" s="2" t="s">
        <v>185</v>
      </c>
      <c r="AI790" s="2" t="s">
        <v>2559</v>
      </c>
      <c r="AJ790" s="4"/>
      <c r="AL790" s="4"/>
      <c r="AN790" s="4"/>
      <c r="AP790" s="4"/>
      <c r="AQ790" s="4"/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Z790" s="2" t="s">
        <v>60</v>
      </c>
    </row>
    <row r="791" spans="2:52" x14ac:dyDescent="0.15">
      <c r="B791" s="2" t="s">
        <v>777</v>
      </c>
      <c r="C791" s="2" t="s">
        <v>2969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3013</v>
      </c>
      <c r="L791" s="2" t="s">
        <v>3037</v>
      </c>
      <c r="N791" s="4"/>
      <c r="O791" s="2" t="s">
        <v>60</v>
      </c>
      <c r="P791" s="2" t="s">
        <v>60</v>
      </c>
      <c r="Q791" s="4">
        <v>0</v>
      </c>
      <c r="S791" s="2" t="s">
        <v>435</v>
      </c>
      <c r="T791" s="2" t="s">
        <v>499</v>
      </c>
      <c r="U791" s="2" t="s">
        <v>372</v>
      </c>
      <c r="V791" s="2" t="s">
        <v>60</v>
      </c>
      <c r="W791" s="4">
        <v>0</v>
      </c>
      <c r="Y791" s="4">
        <v>0</v>
      </c>
      <c r="Z791" s="4" t="s">
        <v>39</v>
      </c>
      <c r="AA791" s="2" t="s">
        <v>60</v>
      </c>
      <c r="AB791" s="2" t="s">
        <v>27</v>
      </c>
      <c r="AC791" s="2" t="s">
        <v>27</v>
      </c>
      <c r="AD791" s="4">
        <v>1</v>
      </c>
      <c r="AE791" s="2" t="s">
        <v>27</v>
      </c>
      <c r="AF791" s="2" t="s">
        <v>27</v>
      </c>
      <c r="AG791" s="2" t="s">
        <v>33</v>
      </c>
      <c r="AH791" s="2" t="s">
        <v>185</v>
      </c>
      <c r="AI791" s="2" t="s">
        <v>497</v>
      </c>
      <c r="AJ791" s="4"/>
      <c r="AL791" s="4"/>
      <c r="AN791" s="4"/>
      <c r="AP791" s="4"/>
      <c r="AQ791" s="4"/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Z791" s="2" t="s">
        <v>60</v>
      </c>
    </row>
    <row r="792" spans="2:52" x14ac:dyDescent="0.15">
      <c r="B792" s="2" t="s">
        <v>1038</v>
      </c>
      <c r="C792" s="2" t="s">
        <v>2970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3013</v>
      </c>
      <c r="L792" s="2" t="s">
        <v>3038</v>
      </c>
      <c r="N792" s="4"/>
      <c r="O792" s="2" t="s">
        <v>60</v>
      </c>
      <c r="P792" s="2" t="s">
        <v>60</v>
      </c>
      <c r="Q792" s="4">
        <v>0</v>
      </c>
      <c r="S792" s="2" t="s">
        <v>435</v>
      </c>
      <c r="T792" s="2" t="s">
        <v>499</v>
      </c>
      <c r="U792" s="2" t="s">
        <v>372</v>
      </c>
      <c r="V792" s="2" t="s">
        <v>60</v>
      </c>
      <c r="W792" s="4">
        <v>0</v>
      </c>
      <c r="Y792" s="4">
        <v>0</v>
      </c>
      <c r="Z792" s="4" t="s">
        <v>39</v>
      </c>
      <c r="AA792" s="2" t="s">
        <v>60</v>
      </c>
      <c r="AB792" s="2" t="s">
        <v>27</v>
      </c>
      <c r="AC792" s="2" t="s">
        <v>27</v>
      </c>
      <c r="AD792" s="4">
        <v>1</v>
      </c>
      <c r="AE792" s="2" t="s">
        <v>27</v>
      </c>
      <c r="AF792" s="2" t="s">
        <v>27</v>
      </c>
      <c r="AG792" s="2" t="s">
        <v>33</v>
      </c>
      <c r="AH792" s="2" t="s">
        <v>185</v>
      </c>
      <c r="AI792" s="2" t="s">
        <v>777</v>
      </c>
      <c r="AJ792" s="4"/>
      <c r="AL792" s="4"/>
      <c r="AN792" s="4"/>
      <c r="AP792" s="4"/>
      <c r="AQ792" s="4"/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Z792" s="2" t="s">
        <v>60</v>
      </c>
    </row>
    <row r="793" spans="2:52" x14ac:dyDescent="0.15">
      <c r="B793" s="2" t="s">
        <v>1060</v>
      </c>
      <c r="C793" s="2" t="s">
        <v>2971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3013</v>
      </c>
      <c r="L793" s="2" t="s">
        <v>3039</v>
      </c>
      <c r="N793" s="4"/>
      <c r="O793" s="2" t="s">
        <v>60</v>
      </c>
      <c r="P793" s="2" t="s">
        <v>60</v>
      </c>
      <c r="Q793" s="4">
        <v>0</v>
      </c>
      <c r="S793" s="2" t="s">
        <v>435</v>
      </c>
      <c r="T793" s="2" t="s">
        <v>499</v>
      </c>
      <c r="U793" s="2" t="s">
        <v>372</v>
      </c>
      <c r="V793" s="2" t="s">
        <v>60</v>
      </c>
      <c r="W793" s="4">
        <v>0</v>
      </c>
      <c r="Y793" s="4">
        <v>0</v>
      </c>
      <c r="Z793" s="4" t="s">
        <v>39</v>
      </c>
      <c r="AA793" s="2" t="s">
        <v>60</v>
      </c>
      <c r="AB793" s="2" t="s">
        <v>27</v>
      </c>
      <c r="AC793" s="2" t="s">
        <v>27</v>
      </c>
      <c r="AD793" s="4">
        <v>1</v>
      </c>
      <c r="AE793" s="2" t="s">
        <v>27</v>
      </c>
      <c r="AF793" s="2" t="s">
        <v>27</v>
      </c>
      <c r="AG793" s="2" t="s">
        <v>33</v>
      </c>
      <c r="AH793" s="2" t="s">
        <v>185</v>
      </c>
      <c r="AI793" s="2" t="s">
        <v>1038</v>
      </c>
      <c r="AJ793" s="4"/>
      <c r="AL793" s="4"/>
      <c r="AN793" s="4"/>
      <c r="AP793" s="4"/>
      <c r="AQ793" s="4"/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Z793" s="2" t="s">
        <v>60</v>
      </c>
    </row>
    <row r="794" spans="2:52" x14ac:dyDescent="0.15">
      <c r="B794" s="2" t="s">
        <v>1139</v>
      </c>
      <c r="C794" s="2" t="s">
        <v>2972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3013</v>
      </c>
      <c r="L794" s="2" t="s">
        <v>3040</v>
      </c>
      <c r="N794" s="4"/>
      <c r="O794" s="2" t="s">
        <v>60</v>
      </c>
      <c r="P794" s="2" t="s">
        <v>60</v>
      </c>
      <c r="Q794" s="4">
        <v>0</v>
      </c>
      <c r="S794" s="2" t="s">
        <v>435</v>
      </c>
      <c r="T794" s="2" t="s">
        <v>499</v>
      </c>
      <c r="U794" s="2" t="s">
        <v>372</v>
      </c>
      <c r="V794" s="2" t="s">
        <v>60</v>
      </c>
      <c r="W794" s="4">
        <v>0</v>
      </c>
      <c r="Y794" s="4">
        <v>0</v>
      </c>
      <c r="Z794" s="4" t="s">
        <v>39</v>
      </c>
      <c r="AA794" s="2" t="s">
        <v>60</v>
      </c>
      <c r="AB794" s="2" t="s">
        <v>27</v>
      </c>
      <c r="AC794" s="2" t="s">
        <v>27</v>
      </c>
      <c r="AD794" s="4">
        <v>1</v>
      </c>
      <c r="AE794" s="2" t="s">
        <v>27</v>
      </c>
      <c r="AF794" s="2" t="s">
        <v>27</v>
      </c>
      <c r="AG794" s="2" t="s">
        <v>33</v>
      </c>
      <c r="AH794" s="2" t="s">
        <v>185</v>
      </c>
      <c r="AI794" s="2" t="s">
        <v>1060</v>
      </c>
      <c r="AJ794" s="4"/>
      <c r="AL794" s="4"/>
      <c r="AN794" s="4"/>
      <c r="AP794" s="4"/>
      <c r="AQ794" s="4"/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Z794" s="2" t="s">
        <v>60</v>
      </c>
    </row>
    <row r="795" spans="2:52" x14ac:dyDescent="0.15">
      <c r="B795" s="2" t="s">
        <v>1230</v>
      </c>
      <c r="C795" s="2" t="s">
        <v>2973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3013</v>
      </c>
      <c r="L795" s="2" t="s">
        <v>3041</v>
      </c>
      <c r="N795" s="4"/>
      <c r="O795" s="2" t="s">
        <v>60</v>
      </c>
      <c r="P795" s="2" t="s">
        <v>60</v>
      </c>
      <c r="Q795" s="4">
        <v>0</v>
      </c>
      <c r="S795" s="2" t="s">
        <v>435</v>
      </c>
      <c r="T795" s="2" t="s">
        <v>499</v>
      </c>
      <c r="U795" s="2" t="s">
        <v>372</v>
      </c>
      <c r="V795" s="2" t="s">
        <v>60</v>
      </c>
      <c r="W795" s="4">
        <v>0</v>
      </c>
      <c r="Y795" s="4">
        <v>0</v>
      </c>
      <c r="Z795" s="4" t="s">
        <v>39</v>
      </c>
      <c r="AA795" s="2" t="s">
        <v>60</v>
      </c>
      <c r="AB795" s="2" t="s">
        <v>27</v>
      </c>
      <c r="AC795" s="2" t="s">
        <v>27</v>
      </c>
      <c r="AD795" s="4">
        <v>1</v>
      </c>
      <c r="AE795" s="2" t="s">
        <v>27</v>
      </c>
      <c r="AF795" s="2" t="s">
        <v>27</v>
      </c>
      <c r="AG795" s="2" t="s">
        <v>33</v>
      </c>
      <c r="AH795" s="2" t="s">
        <v>185</v>
      </c>
      <c r="AI795" s="2" t="s">
        <v>1139</v>
      </c>
      <c r="AJ795" s="4"/>
      <c r="AL795" s="4"/>
      <c r="AN795" s="4"/>
      <c r="AP795" s="4"/>
      <c r="AQ795" s="4"/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Z795" s="2" t="s">
        <v>60</v>
      </c>
    </row>
    <row r="796" spans="2:52" x14ac:dyDescent="0.15">
      <c r="B796" s="2" t="s">
        <v>1332</v>
      </c>
      <c r="C796" s="2" t="s">
        <v>2974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3013</v>
      </c>
      <c r="L796" s="2" t="s">
        <v>3042</v>
      </c>
      <c r="N796" s="4"/>
      <c r="O796" s="2" t="s">
        <v>60</v>
      </c>
      <c r="P796" s="2" t="s">
        <v>60</v>
      </c>
      <c r="Q796" s="4">
        <v>0</v>
      </c>
      <c r="S796" s="2" t="s">
        <v>435</v>
      </c>
      <c r="T796" s="2" t="s">
        <v>499</v>
      </c>
      <c r="U796" s="2" t="s">
        <v>372</v>
      </c>
      <c r="V796" s="2" t="s">
        <v>60</v>
      </c>
      <c r="W796" s="4">
        <v>0</v>
      </c>
      <c r="Y796" s="4">
        <v>0</v>
      </c>
      <c r="Z796" s="4" t="s">
        <v>39</v>
      </c>
      <c r="AA796" s="2" t="s">
        <v>60</v>
      </c>
      <c r="AB796" s="2" t="s">
        <v>27</v>
      </c>
      <c r="AC796" s="2" t="s">
        <v>27</v>
      </c>
      <c r="AD796" s="4">
        <v>1</v>
      </c>
      <c r="AE796" s="2" t="s">
        <v>27</v>
      </c>
      <c r="AF796" s="2" t="s">
        <v>27</v>
      </c>
      <c r="AG796" s="2" t="s">
        <v>33</v>
      </c>
      <c r="AH796" s="2" t="s">
        <v>185</v>
      </c>
      <c r="AI796" s="2" t="s">
        <v>1230</v>
      </c>
      <c r="AJ796" s="4"/>
      <c r="AL796" s="4"/>
      <c r="AN796" s="4"/>
      <c r="AP796" s="4"/>
      <c r="AQ796" s="4"/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Z796" s="2" t="s">
        <v>60</v>
      </c>
    </row>
    <row r="797" spans="2:52" x14ac:dyDescent="0.15">
      <c r="B797" s="2" t="s">
        <v>1500</v>
      </c>
      <c r="C797" s="2" t="s">
        <v>2975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3013</v>
      </c>
      <c r="L797" s="2" t="s">
        <v>3043</v>
      </c>
      <c r="N797" s="4"/>
      <c r="O797" s="2" t="s">
        <v>60</v>
      </c>
      <c r="P797" s="2" t="s">
        <v>60</v>
      </c>
      <c r="Q797" s="4">
        <v>0</v>
      </c>
      <c r="S797" s="2" t="s">
        <v>435</v>
      </c>
      <c r="T797" s="2" t="s">
        <v>499</v>
      </c>
      <c r="U797" s="2" t="s">
        <v>372</v>
      </c>
      <c r="V797" s="2" t="s">
        <v>60</v>
      </c>
      <c r="W797" s="4">
        <v>0</v>
      </c>
      <c r="Y797" s="4">
        <v>0</v>
      </c>
      <c r="Z797" s="4" t="s">
        <v>39</v>
      </c>
      <c r="AA797" s="2" t="s">
        <v>60</v>
      </c>
      <c r="AB797" s="2" t="s">
        <v>27</v>
      </c>
      <c r="AC797" s="2" t="s">
        <v>27</v>
      </c>
      <c r="AD797" s="4">
        <v>1</v>
      </c>
      <c r="AE797" s="2" t="s">
        <v>27</v>
      </c>
      <c r="AF797" s="2" t="s">
        <v>27</v>
      </c>
      <c r="AG797" s="2" t="s">
        <v>33</v>
      </c>
      <c r="AH797" s="2" t="s">
        <v>185</v>
      </c>
      <c r="AI797" s="2" t="s">
        <v>1332</v>
      </c>
      <c r="AJ797" s="4"/>
      <c r="AL797" s="4"/>
      <c r="AN797" s="4"/>
      <c r="AP797" s="4"/>
      <c r="AQ797" s="4"/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Z797" s="2" t="s">
        <v>60</v>
      </c>
    </row>
    <row r="798" spans="2:52" x14ac:dyDescent="0.15">
      <c r="B798" s="2" t="s">
        <v>1763</v>
      </c>
      <c r="C798" s="2" t="s">
        <v>2976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3013</v>
      </c>
      <c r="L798" s="2" t="s">
        <v>3044</v>
      </c>
      <c r="N798" s="4"/>
      <c r="O798" s="2" t="s">
        <v>60</v>
      </c>
      <c r="P798" s="2" t="s">
        <v>60</v>
      </c>
      <c r="Q798" s="4">
        <v>0</v>
      </c>
      <c r="S798" s="2" t="s">
        <v>435</v>
      </c>
      <c r="T798" s="2" t="s">
        <v>499</v>
      </c>
      <c r="U798" s="2" t="s">
        <v>372</v>
      </c>
      <c r="V798" s="2" t="s">
        <v>60</v>
      </c>
      <c r="W798" s="4">
        <v>0</v>
      </c>
      <c r="Y798" s="4">
        <v>0</v>
      </c>
      <c r="Z798" s="4" t="s">
        <v>39</v>
      </c>
      <c r="AA798" s="2" t="s">
        <v>60</v>
      </c>
      <c r="AB798" s="2" t="s">
        <v>27</v>
      </c>
      <c r="AC798" s="2" t="s">
        <v>27</v>
      </c>
      <c r="AD798" s="4">
        <v>1</v>
      </c>
      <c r="AE798" s="2" t="s">
        <v>27</v>
      </c>
      <c r="AF798" s="2" t="s">
        <v>27</v>
      </c>
      <c r="AG798" s="2" t="s">
        <v>33</v>
      </c>
      <c r="AH798" s="2" t="s">
        <v>185</v>
      </c>
      <c r="AI798" s="2" t="s">
        <v>1500</v>
      </c>
      <c r="AJ798" s="4"/>
      <c r="AL798" s="4"/>
      <c r="AN798" s="4"/>
      <c r="AP798" s="4"/>
      <c r="AQ798" s="4"/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Z798" s="2" t="s">
        <v>60</v>
      </c>
    </row>
    <row r="799" spans="2:52" x14ac:dyDescent="0.15">
      <c r="B799" s="2" t="s">
        <v>1968</v>
      </c>
      <c r="C799" s="2" t="s">
        <v>2977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3013</v>
      </c>
      <c r="L799" s="2" t="s">
        <v>3045</v>
      </c>
      <c r="N799" s="4"/>
      <c r="O799" s="2" t="s">
        <v>60</v>
      </c>
      <c r="P799" s="2" t="s">
        <v>60</v>
      </c>
      <c r="Q799" s="4">
        <v>0</v>
      </c>
      <c r="S799" s="2" t="s">
        <v>435</v>
      </c>
      <c r="T799" s="2" t="s">
        <v>499</v>
      </c>
      <c r="U799" s="2" t="s">
        <v>372</v>
      </c>
      <c r="V799" s="2" t="s">
        <v>60</v>
      </c>
      <c r="W799" s="4">
        <v>0</v>
      </c>
      <c r="Y799" s="4">
        <v>0</v>
      </c>
      <c r="Z799" s="4" t="s">
        <v>39</v>
      </c>
      <c r="AA799" s="2" t="s">
        <v>60</v>
      </c>
      <c r="AB799" s="2" t="s">
        <v>27</v>
      </c>
      <c r="AC799" s="2" t="s">
        <v>27</v>
      </c>
      <c r="AD799" s="4">
        <v>1</v>
      </c>
      <c r="AE799" s="2" t="s">
        <v>27</v>
      </c>
      <c r="AF799" s="2" t="s">
        <v>27</v>
      </c>
      <c r="AG799" s="2" t="s">
        <v>33</v>
      </c>
      <c r="AH799" s="2" t="s">
        <v>185</v>
      </c>
      <c r="AI799" s="2" t="s">
        <v>1763</v>
      </c>
      <c r="AJ799" s="4"/>
      <c r="AL799" s="4"/>
      <c r="AN799" s="4"/>
      <c r="AP799" s="4"/>
      <c r="AQ799" s="4"/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Z799" s="2" t="s">
        <v>60</v>
      </c>
    </row>
    <row r="800" spans="2:52" x14ac:dyDescent="0.15">
      <c r="B800" s="2" t="s">
        <v>2172</v>
      </c>
      <c r="C800" s="2" t="s">
        <v>2978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3013</v>
      </c>
      <c r="L800" s="2" t="s">
        <v>3046</v>
      </c>
      <c r="N800" s="4"/>
      <c r="O800" s="2" t="s">
        <v>60</v>
      </c>
      <c r="P800" s="2" t="s">
        <v>60</v>
      </c>
      <c r="Q800" s="4">
        <v>0</v>
      </c>
      <c r="S800" s="2" t="s">
        <v>435</v>
      </c>
      <c r="T800" s="2" t="s">
        <v>499</v>
      </c>
      <c r="U800" s="2" t="s">
        <v>372</v>
      </c>
      <c r="V800" s="2" t="s">
        <v>60</v>
      </c>
      <c r="W800" s="4">
        <v>0</v>
      </c>
      <c r="Y800" s="4">
        <v>0</v>
      </c>
      <c r="Z800" s="4" t="s">
        <v>39</v>
      </c>
      <c r="AA800" s="2" t="s">
        <v>60</v>
      </c>
      <c r="AB800" s="2" t="s">
        <v>27</v>
      </c>
      <c r="AC800" s="2" t="s">
        <v>27</v>
      </c>
      <c r="AD800" s="4">
        <v>1</v>
      </c>
      <c r="AE800" s="2" t="s">
        <v>27</v>
      </c>
      <c r="AF800" s="2" t="s">
        <v>27</v>
      </c>
      <c r="AG800" s="2" t="s">
        <v>33</v>
      </c>
      <c r="AH800" s="2" t="s">
        <v>185</v>
      </c>
      <c r="AI800" s="2" t="s">
        <v>1968</v>
      </c>
      <c r="AJ800" s="4"/>
      <c r="AL800" s="4"/>
      <c r="AN800" s="4"/>
      <c r="AP800" s="4"/>
      <c r="AQ800" s="4"/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Z800" s="2" t="s">
        <v>60</v>
      </c>
    </row>
    <row r="801" spans="2:52" x14ac:dyDescent="0.15">
      <c r="B801" s="2" t="s">
        <v>2454</v>
      </c>
      <c r="C801" s="2" t="s">
        <v>2979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3013</v>
      </c>
      <c r="L801" s="2" t="s">
        <v>3047</v>
      </c>
      <c r="N801" s="4"/>
      <c r="O801" s="2" t="s">
        <v>60</v>
      </c>
      <c r="P801" s="2" t="s">
        <v>60</v>
      </c>
      <c r="Q801" s="4">
        <v>0</v>
      </c>
      <c r="S801" s="2" t="s">
        <v>435</v>
      </c>
      <c r="T801" s="2" t="s">
        <v>499</v>
      </c>
      <c r="U801" s="2" t="s">
        <v>372</v>
      </c>
      <c r="V801" s="2" t="s">
        <v>60</v>
      </c>
      <c r="W801" s="4">
        <v>0</v>
      </c>
      <c r="Y801" s="4">
        <v>0</v>
      </c>
      <c r="Z801" s="4" t="s">
        <v>39</v>
      </c>
      <c r="AA801" s="2" t="s">
        <v>60</v>
      </c>
      <c r="AB801" s="2" t="s">
        <v>27</v>
      </c>
      <c r="AC801" s="2" t="s">
        <v>27</v>
      </c>
      <c r="AD801" s="4">
        <v>1</v>
      </c>
      <c r="AE801" s="2" t="s">
        <v>27</v>
      </c>
      <c r="AF801" s="2" t="s">
        <v>27</v>
      </c>
      <c r="AG801" s="2" t="s">
        <v>33</v>
      </c>
      <c r="AH801" s="2" t="s">
        <v>185</v>
      </c>
      <c r="AI801" s="2" t="s">
        <v>2172</v>
      </c>
      <c r="AJ801" s="4"/>
      <c r="AL801" s="4"/>
      <c r="AN801" s="4"/>
      <c r="AP801" s="4"/>
      <c r="AQ801" s="4"/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Z801" s="2" t="s">
        <v>60</v>
      </c>
    </row>
    <row r="802" spans="2:52" x14ac:dyDescent="0.15">
      <c r="B802" s="2" t="s">
        <v>2464</v>
      </c>
      <c r="C802" s="2" t="s">
        <v>2980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3013</v>
      </c>
      <c r="L802" s="2" t="s">
        <v>3048</v>
      </c>
      <c r="N802" s="4"/>
      <c r="O802" s="2" t="s">
        <v>60</v>
      </c>
      <c r="P802" s="2" t="s">
        <v>60</v>
      </c>
      <c r="Q802" s="4">
        <v>0</v>
      </c>
      <c r="S802" s="2" t="s">
        <v>435</v>
      </c>
      <c r="T802" s="2" t="s">
        <v>499</v>
      </c>
      <c r="U802" s="2" t="s">
        <v>372</v>
      </c>
      <c r="V802" s="2" t="s">
        <v>60</v>
      </c>
      <c r="W802" s="4">
        <v>0</v>
      </c>
      <c r="Y802" s="4">
        <v>0</v>
      </c>
      <c r="Z802" s="4" t="s">
        <v>39</v>
      </c>
      <c r="AA802" s="2" t="s">
        <v>60</v>
      </c>
      <c r="AB802" s="2" t="s">
        <v>27</v>
      </c>
      <c r="AC802" s="2" t="s">
        <v>27</v>
      </c>
      <c r="AD802" s="4">
        <v>1</v>
      </c>
      <c r="AE802" s="2" t="s">
        <v>27</v>
      </c>
      <c r="AF802" s="2" t="s">
        <v>27</v>
      </c>
      <c r="AG802" s="2" t="s">
        <v>33</v>
      </c>
      <c r="AH802" s="2" t="s">
        <v>185</v>
      </c>
      <c r="AI802" s="2" t="s">
        <v>2454</v>
      </c>
      <c r="AJ802" s="4"/>
      <c r="AL802" s="4"/>
      <c r="AN802" s="4"/>
      <c r="AP802" s="4"/>
      <c r="AQ802" s="4"/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Z802" s="2" t="s">
        <v>60</v>
      </c>
    </row>
    <row r="803" spans="2:52" x14ac:dyDescent="0.15">
      <c r="B803" s="2" t="s">
        <v>2657</v>
      </c>
      <c r="C803" s="2" t="s">
        <v>2981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3013</v>
      </c>
      <c r="L803" s="2" t="s">
        <v>3049</v>
      </c>
      <c r="N803" s="4"/>
      <c r="O803" s="2" t="s">
        <v>60</v>
      </c>
      <c r="P803" s="2" t="s">
        <v>60</v>
      </c>
      <c r="Q803" s="4">
        <v>0</v>
      </c>
      <c r="S803" s="2" t="s">
        <v>435</v>
      </c>
      <c r="T803" s="2" t="s">
        <v>499</v>
      </c>
      <c r="U803" s="2" t="s">
        <v>372</v>
      </c>
      <c r="V803" s="2" t="s">
        <v>60</v>
      </c>
      <c r="W803" s="4">
        <v>0</v>
      </c>
      <c r="Y803" s="4">
        <v>0</v>
      </c>
      <c r="Z803" s="4" t="s">
        <v>39</v>
      </c>
      <c r="AA803" s="2" t="s">
        <v>60</v>
      </c>
      <c r="AB803" s="2" t="s">
        <v>27</v>
      </c>
      <c r="AC803" s="2" t="s">
        <v>27</v>
      </c>
      <c r="AD803" s="4">
        <v>1</v>
      </c>
      <c r="AE803" s="2" t="s">
        <v>27</v>
      </c>
      <c r="AF803" s="2" t="s">
        <v>27</v>
      </c>
      <c r="AG803" s="2" t="s">
        <v>33</v>
      </c>
      <c r="AH803" s="2" t="s">
        <v>185</v>
      </c>
      <c r="AI803" s="2" t="s">
        <v>2464</v>
      </c>
      <c r="AJ803" s="4"/>
      <c r="AL803" s="4"/>
      <c r="AN803" s="4"/>
      <c r="AP803" s="4"/>
      <c r="AQ803" s="4"/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Z803" s="2" t="s">
        <v>60</v>
      </c>
    </row>
    <row r="804" spans="2:52" x14ac:dyDescent="0.15">
      <c r="B804" s="2" t="s">
        <v>2661</v>
      </c>
      <c r="C804" s="2" t="s">
        <v>2982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3013</v>
      </c>
      <c r="L804" s="2" t="s">
        <v>3050</v>
      </c>
      <c r="N804" s="4"/>
      <c r="O804" s="2" t="s">
        <v>60</v>
      </c>
      <c r="P804" s="2" t="s">
        <v>60</v>
      </c>
      <c r="Q804" s="4">
        <v>0</v>
      </c>
      <c r="S804" s="2" t="s">
        <v>435</v>
      </c>
      <c r="T804" s="2" t="s">
        <v>499</v>
      </c>
      <c r="U804" s="2" t="s">
        <v>372</v>
      </c>
      <c r="V804" s="2" t="s">
        <v>60</v>
      </c>
      <c r="W804" s="4">
        <v>0</v>
      </c>
      <c r="Y804" s="4">
        <v>0</v>
      </c>
      <c r="Z804" s="4" t="s">
        <v>39</v>
      </c>
      <c r="AA804" s="2" t="s">
        <v>60</v>
      </c>
      <c r="AB804" s="2" t="s">
        <v>27</v>
      </c>
      <c r="AC804" s="2" t="s">
        <v>27</v>
      </c>
      <c r="AD804" s="4">
        <v>1</v>
      </c>
      <c r="AE804" s="2" t="s">
        <v>27</v>
      </c>
      <c r="AF804" s="2" t="s">
        <v>27</v>
      </c>
      <c r="AG804" s="2" t="s">
        <v>33</v>
      </c>
      <c r="AH804" s="2" t="s">
        <v>185</v>
      </c>
      <c r="AI804" s="2" t="s">
        <v>2657</v>
      </c>
      <c r="AJ804" s="4"/>
      <c r="AL804" s="4"/>
      <c r="AN804" s="4"/>
      <c r="AP804" s="4"/>
      <c r="AQ804" s="4"/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Z804" s="2" t="s">
        <v>60</v>
      </c>
    </row>
    <row r="805" spans="2:52" x14ac:dyDescent="0.15">
      <c r="B805" s="2" t="s">
        <v>2665</v>
      </c>
      <c r="C805" s="2" t="s">
        <v>2749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1220</v>
      </c>
      <c r="L805" s="2" t="s">
        <v>1051</v>
      </c>
      <c r="M805" s="2" t="s">
        <v>2752</v>
      </c>
      <c r="N805" s="4"/>
      <c r="O805" s="2" t="s">
        <v>2750</v>
      </c>
      <c r="P805" s="2" t="s">
        <v>2750</v>
      </c>
      <c r="Q805" s="4">
        <v>0</v>
      </c>
      <c r="R805" s="2" t="s">
        <v>370</v>
      </c>
      <c r="S805" s="2" t="s">
        <v>435</v>
      </c>
      <c r="T805" s="2" t="s">
        <v>458</v>
      </c>
      <c r="U805" s="2" t="s">
        <v>689</v>
      </c>
      <c r="V805" s="2" t="s">
        <v>99</v>
      </c>
      <c r="W805" s="4">
        <v>0</v>
      </c>
      <c r="Y805" s="4">
        <v>0</v>
      </c>
      <c r="Z805" s="4" t="s">
        <v>39</v>
      </c>
      <c r="AA805" s="2" t="s">
        <v>60</v>
      </c>
      <c r="AB805" s="2" t="s">
        <v>261</v>
      </c>
      <c r="AC805" s="2" t="s">
        <v>321</v>
      </c>
      <c r="AD805" s="4">
        <v>84</v>
      </c>
      <c r="AE805" s="2" t="s">
        <v>837</v>
      </c>
      <c r="AF805" s="2" t="s">
        <v>256</v>
      </c>
      <c r="AG805" s="2" t="s">
        <v>1875</v>
      </c>
      <c r="AH805" s="2" t="s">
        <v>185</v>
      </c>
      <c r="AI805" s="2" t="s">
        <v>2661</v>
      </c>
      <c r="AJ805" s="4"/>
      <c r="AL805" s="4"/>
      <c r="AN805" s="4"/>
      <c r="AP805" s="4"/>
      <c r="AQ805" s="4"/>
      <c r="AS805" s="4">
        <v>1</v>
      </c>
      <c r="AT805" s="4">
        <v>1</v>
      </c>
      <c r="AU805" s="4">
        <v>0</v>
      </c>
      <c r="AV805" s="4">
        <v>0</v>
      </c>
      <c r="AW805" s="4">
        <v>1</v>
      </c>
      <c r="AX805" s="4">
        <v>0</v>
      </c>
      <c r="AZ805" s="2" t="s">
        <v>60</v>
      </c>
    </row>
    <row r="806" spans="2:52" x14ac:dyDescent="0.15">
      <c r="B806" s="2" t="s">
        <v>2750</v>
      </c>
      <c r="C806" s="2" t="s">
        <v>2753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1756</v>
      </c>
      <c r="L806" s="2" t="s">
        <v>2755</v>
      </c>
      <c r="N806" s="4"/>
      <c r="O806" s="2" t="s">
        <v>2754</v>
      </c>
      <c r="P806" s="2" t="s">
        <v>2754</v>
      </c>
      <c r="Q806" s="4">
        <v>0</v>
      </c>
      <c r="R806" s="2" t="s">
        <v>370</v>
      </c>
      <c r="S806" s="2" t="s">
        <v>435</v>
      </c>
      <c r="T806" s="2" t="s">
        <v>674</v>
      </c>
      <c r="U806" s="2" t="s">
        <v>371</v>
      </c>
      <c r="V806" s="2" t="s">
        <v>335</v>
      </c>
      <c r="W806" s="4">
        <v>0</v>
      </c>
      <c r="Y806" s="4">
        <v>0</v>
      </c>
      <c r="Z806" s="4" t="s">
        <v>39</v>
      </c>
      <c r="AA806" s="2" t="s">
        <v>60</v>
      </c>
      <c r="AB806" s="2" t="s">
        <v>153</v>
      </c>
      <c r="AC806" s="2" t="s">
        <v>27</v>
      </c>
      <c r="AD806" s="4">
        <v>98</v>
      </c>
      <c r="AE806" s="2" t="s">
        <v>88</v>
      </c>
      <c r="AF806" s="2" t="s">
        <v>454</v>
      </c>
      <c r="AG806" s="2" t="s">
        <v>738</v>
      </c>
      <c r="AH806" s="2" t="s">
        <v>185</v>
      </c>
      <c r="AI806" s="2" t="s">
        <v>2665</v>
      </c>
      <c r="AJ806" s="4"/>
      <c r="AL806" s="4"/>
      <c r="AN806" s="4"/>
      <c r="AP806" s="4"/>
      <c r="AQ806" s="4"/>
      <c r="AS806" s="4">
        <v>1</v>
      </c>
      <c r="AT806" s="4">
        <v>1</v>
      </c>
      <c r="AU806" s="4">
        <v>3</v>
      </c>
      <c r="AV806" s="4">
        <v>1</v>
      </c>
      <c r="AW806" s="4">
        <v>3</v>
      </c>
      <c r="AX806" s="4">
        <v>0</v>
      </c>
      <c r="AZ806" s="2" t="s">
        <v>60</v>
      </c>
    </row>
    <row r="807" spans="2:52" x14ac:dyDescent="0.15">
      <c r="B807" s="2" t="s">
        <v>2754</v>
      </c>
      <c r="C807" s="2" t="s">
        <v>2756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1865</v>
      </c>
      <c r="L807" s="2" t="s">
        <v>760</v>
      </c>
      <c r="N807" s="4"/>
      <c r="O807" s="2" t="s">
        <v>2757</v>
      </c>
      <c r="P807" s="2" t="s">
        <v>2757</v>
      </c>
      <c r="Q807" s="4">
        <v>0</v>
      </c>
      <c r="R807" s="2" t="s">
        <v>370</v>
      </c>
      <c r="S807" s="2" t="s">
        <v>435</v>
      </c>
      <c r="T807" s="2" t="s">
        <v>995</v>
      </c>
      <c r="U807" s="2" t="s">
        <v>490</v>
      </c>
      <c r="V807" s="2" t="s">
        <v>213</v>
      </c>
      <c r="W807" s="4">
        <v>0</v>
      </c>
      <c r="Y807" s="4">
        <v>0</v>
      </c>
      <c r="Z807" s="4" t="s">
        <v>39</v>
      </c>
      <c r="AA807" s="2" t="s">
        <v>60</v>
      </c>
      <c r="AB807" s="2" t="s">
        <v>98</v>
      </c>
      <c r="AC807" s="2" t="s">
        <v>204</v>
      </c>
      <c r="AD807" s="4">
        <v>93</v>
      </c>
      <c r="AE807" s="2" t="s">
        <v>175</v>
      </c>
      <c r="AF807" s="2" t="s">
        <v>33</v>
      </c>
      <c r="AG807" s="2" t="s">
        <v>590</v>
      </c>
      <c r="AH807" s="2" t="s">
        <v>185</v>
      </c>
      <c r="AI807" s="2" t="s">
        <v>2750</v>
      </c>
      <c r="AJ807" s="4"/>
      <c r="AL807" s="4"/>
      <c r="AN807" s="4"/>
      <c r="AP807" s="4"/>
      <c r="AQ807" s="4"/>
      <c r="AS807" s="4">
        <v>0</v>
      </c>
      <c r="AT807" s="4">
        <v>0</v>
      </c>
      <c r="AU807" s="4">
        <v>1</v>
      </c>
      <c r="AV807" s="4">
        <v>0</v>
      </c>
      <c r="AW807" s="4">
        <v>0</v>
      </c>
      <c r="AX807" s="4">
        <v>0</v>
      </c>
      <c r="AZ807" s="2" t="s">
        <v>60</v>
      </c>
    </row>
    <row r="808" spans="2:52" x14ac:dyDescent="0.15">
      <c r="B808" s="2" t="s">
        <v>2757</v>
      </c>
      <c r="C808" s="2" t="s">
        <v>2758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796</v>
      </c>
      <c r="L808" s="2" t="s">
        <v>2761</v>
      </c>
      <c r="N808" s="4"/>
      <c r="O808" s="2" t="s">
        <v>2759</v>
      </c>
      <c r="P808" s="2" t="s">
        <v>2759</v>
      </c>
      <c r="Q808" s="4">
        <v>0</v>
      </c>
      <c r="R808" s="2" t="s">
        <v>370</v>
      </c>
      <c r="S808" s="2" t="s">
        <v>435</v>
      </c>
      <c r="T808" s="2" t="s">
        <v>524</v>
      </c>
      <c r="U808" s="2" t="s">
        <v>633</v>
      </c>
      <c r="V808" s="2" t="s">
        <v>481</v>
      </c>
      <c r="W808" s="4">
        <v>0</v>
      </c>
      <c r="Y808" s="4">
        <v>0</v>
      </c>
      <c r="Z808" s="4" t="s">
        <v>39</v>
      </c>
      <c r="AA808" s="2" t="s">
        <v>60</v>
      </c>
      <c r="AB808" s="2" t="s">
        <v>228</v>
      </c>
      <c r="AC808" s="2" t="s">
        <v>481</v>
      </c>
      <c r="AD808" s="4">
        <v>92</v>
      </c>
      <c r="AE808" s="2" t="s">
        <v>148</v>
      </c>
      <c r="AF808" s="2" t="s">
        <v>150</v>
      </c>
      <c r="AG808" s="2" t="s">
        <v>2021</v>
      </c>
      <c r="AH808" s="2" t="s">
        <v>185</v>
      </c>
      <c r="AI808" s="2" t="s">
        <v>2754</v>
      </c>
      <c r="AJ808" s="4"/>
      <c r="AL808" s="4"/>
      <c r="AN808" s="4"/>
      <c r="AP808" s="4"/>
      <c r="AQ808" s="4"/>
      <c r="AS808" s="4">
        <v>2</v>
      </c>
      <c r="AT808" s="4">
        <v>3</v>
      </c>
      <c r="AU808" s="4">
        <v>3</v>
      </c>
      <c r="AV808" s="4">
        <v>2</v>
      </c>
      <c r="AW808" s="4">
        <v>2</v>
      </c>
      <c r="AX808" s="4">
        <v>0</v>
      </c>
      <c r="AZ808" s="2" t="s">
        <v>60</v>
      </c>
    </row>
    <row r="809" spans="2:52" x14ac:dyDescent="0.15">
      <c r="B809" s="2" t="s">
        <v>2759</v>
      </c>
      <c r="C809" s="2" t="s">
        <v>2762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2764</v>
      </c>
      <c r="L809" s="2" t="s">
        <v>2765</v>
      </c>
      <c r="N809" s="4"/>
      <c r="O809" s="2" t="s">
        <v>2763</v>
      </c>
      <c r="P809" s="2" t="s">
        <v>2763</v>
      </c>
      <c r="Q809" s="4">
        <v>0</v>
      </c>
      <c r="R809" s="2" t="s">
        <v>370</v>
      </c>
      <c r="S809" s="2" t="s">
        <v>435</v>
      </c>
      <c r="T809" s="2" t="s">
        <v>466</v>
      </c>
      <c r="U809" s="2" t="s">
        <v>371</v>
      </c>
      <c r="V809" s="2" t="s">
        <v>261</v>
      </c>
      <c r="W809" s="4">
        <v>0</v>
      </c>
      <c r="Y809" s="4">
        <v>0</v>
      </c>
      <c r="Z809" s="4" t="s">
        <v>39</v>
      </c>
      <c r="AA809" s="2" t="s">
        <v>60</v>
      </c>
      <c r="AB809" s="2" t="s">
        <v>25</v>
      </c>
      <c r="AC809" s="2" t="s">
        <v>191</v>
      </c>
      <c r="AD809" s="4">
        <v>85</v>
      </c>
      <c r="AE809" s="2" t="s">
        <v>176</v>
      </c>
      <c r="AF809" s="2" t="s">
        <v>256</v>
      </c>
      <c r="AG809" s="2" t="s">
        <v>596</v>
      </c>
      <c r="AH809" s="2" t="s">
        <v>185</v>
      </c>
      <c r="AI809" s="2" t="s">
        <v>2757</v>
      </c>
      <c r="AJ809" s="4"/>
      <c r="AL809" s="4"/>
      <c r="AN809" s="4"/>
      <c r="AP809" s="4"/>
      <c r="AQ809" s="4"/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Z809" s="2" t="s">
        <v>60</v>
      </c>
    </row>
    <row r="810" spans="2:52" x14ac:dyDescent="0.15">
      <c r="B810" s="2" t="s">
        <v>2763</v>
      </c>
      <c r="C810" s="2" t="s">
        <v>2766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2768</v>
      </c>
      <c r="L810" s="2" t="s">
        <v>2769</v>
      </c>
      <c r="N810" s="4"/>
      <c r="O810" s="2" t="s">
        <v>2767</v>
      </c>
      <c r="P810" s="2" t="s">
        <v>2767</v>
      </c>
      <c r="Q810" s="4">
        <v>0</v>
      </c>
      <c r="R810" s="2" t="s">
        <v>370</v>
      </c>
      <c r="S810" s="2" t="s">
        <v>435</v>
      </c>
      <c r="T810" s="2" t="s">
        <v>535</v>
      </c>
      <c r="U810" s="2" t="s">
        <v>685</v>
      </c>
      <c r="V810" s="2" t="s">
        <v>415</v>
      </c>
      <c r="W810" s="4">
        <v>0</v>
      </c>
      <c r="Y810" s="4">
        <v>0</v>
      </c>
      <c r="Z810" s="4" t="s">
        <v>39</v>
      </c>
      <c r="AA810" s="2" t="s">
        <v>60</v>
      </c>
      <c r="AB810" s="2" t="s">
        <v>185</v>
      </c>
      <c r="AC810" s="2" t="s">
        <v>123</v>
      </c>
      <c r="AD810" s="4">
        <v>70</v>
      </c>
      <c r="AE810" s="2" t="s">
        <v>31</v>
      </c>
      <c r="AF810" s="2" t="s">
        <v>21</v>
      </c>
      <c r="AG810" s="2" t="s">
        <v>158</v>
      </c>
      <c r="AH810" s="2" t="s">
        <v>185</v>
      </c>
      <c r="AI810" s="2" t="s">
        <v>2759</v>
      </c>
      <c r="AJ810" s="4"/>
      <c r="AL810" s="4"/>
      <c r="AN810" s="4"/>
      <c r="AP810" s="4"/>
      <c r="AQ810" s="4"/>
      <c r="AS810" s="4">
        <v>3</v>
      </c>
      <c r="AT810" s="4">
        <v>2</v>
      </c>
      <c r="AU810" s="4">
        <v>3</v>
      </c>
      <c r="AV810" s="4">
        <v>3</v>
      </c>
      <c r="AW810" s="4">
        <v>1</v>
      </c>
      <c r="AX810" s="4">
        <v>0</v>
      </c>
      <c r="AZ810" s="2" t="s">
        <v>60</v>
      </c>
    </row>
    <row r="811" spans="2:52" x14ac:dyDescent="0.15">
      <c r="B811" s="2" t="s">
        <v>2767</v>
      </c>
      <c r="C811" s="2" t="s">
        <v>2751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2771</v>
      </c>
      <c r="L811" s="2" t="s">
        <v>1144</v>
      </c>
      <c r="N811" s="4"/>
      <c r="O811" s="2" t="s">
        <v>2770</v>
      </c>
      <c r="P811" s="2" t="s">
        <v>2770</v>
      </c>
      <c r="Q811" s="4">
        <v>0</v>
      </c>
      <c r="R811" s="2" t="s">
        <v>370</v>
      </c>
      <c r="S811" s="2" t="s">
        <v>435</v>
      </c>
      <c r="T811" s="2" t="s">
        <v>933</v>
      </c>
      <c r="U811" s="2" t="s">
        <v>490</v>
      </c>
      <c r="V811" s="2" t="s">
        <v>196</v>
      </c>
      <c r="W811" s="4">
        <v>0</v>
      </c>
      <c r="Y811" s="4">
        <v>0</v>
      </c>
      <c r="Z811" s="4" t="s">
        <v>39</v>
      </c>
      <c r="AA811" s="2" t="s">
        <v>60</v>
      </c>
      <c r="AB811" s="2" t="s">
        <v>4</v>
      </c>
      <c r="AC811" s="2" t="s">
        <v>485</v>
      </c>
      <c r="AD811" s="4">
        <v>91</v>
      </c>
      <c r="AE811" s="2" t="s">
        <v>185</v>
      </c>
      <c r="AF811" s="2" t="s">
        <v>431</v>
      </c>
      <c r="AG811" s="2" t="s">
        <v>654</v>
      </c>
      <c r="AH811" s="2" t="s">
        <v>185</v>
      </c>
      <c r="AI811" s="2" t="s">
        <v>2763</v>
      </c>
      <c r="AJ811" s="4"/>
      <c r="AL811" s="4"/>
      <c r="AN811" s="4"/>
      <c r="AP811" s="4"/>
      <c r="AQ811" s="4"/>
      <c r="AS811" s="4">
        <v>0</v>
      </c>
      <c r="AT811" s="4">
        <v>0</v>
      </c>
      <c r="AU811" s="4">
        <v>1</v>
      </c>
      <c r="AV811" s="4">
        <v>0</v>
      </c>
      <c r="AW811" s="4">
        <v>1</v>
      </c>
      <c r="AX811" s="4">
        <v>0</v>
      </c>
      <c r="AZ811" s="2" t="s">
        <v>60</v>
      </c>
    </row>
    <row r="812" spans="2:52" x14ac:dyDescent="0.15">
      <c r="B812" s="2" t="s">
        <v>2770</v>
      </c>
      <c r="C812" s="2" t="s">
        <v>2772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2416</v>
      </c>
      <c r="L812" s="2" t="s">
        <v>2774</v>
      </c>
      <c r="N812" s="4"/>
      <c r="O812" s="2" t="s">
        <v>2773</v>
      </c>
      <c r="P812" s="2" t="s">
        <v>2773</v>
      </c>
      <c r="Q812" s="4">
        <v>0</v>
      </c>
      <c r="R812" s="2" t="s">
        <v>370</v>
      </c>
      <c r="S812" s="2" t="s">
        <v>435</v>
      </c>
      <c r="T812" s="2" t="s">
        <v>524</v>
      </c>
      <c r="U812" s="2" t="s">
        <v>417</v>
      </c>
      <c r="V812" s="2" t="s">
        <v>193</v>
      </c>
      <c r="W812" s="4">
        <v>0</v>
      </c>
      <c r="Y812" s="4">
        <v>0</v>
      </c>
      <c r="Z812" s="4" t="s">
        <v>39</v>
      </c>
      <c r="AA812" s="2" t="s">
        <v>60</v>
      </c>
      <c r="AB812" s="2" t="s">
        <v>8</v>
      </c>
      <c r="AC812" s="2" t="s">
        <v>193</v>
      </c>
      <c r="AD812" s="4">
        <v>88</v>
      </c>
      <c r="AE812" s="2" t="s">
        <v>228</v>
      </c>
      <c r="AF812" s="2" t="s">
        <v>126</v>
      </c>
      <c r="AG812" s="2" t="s">
        <v>854</v>
      </c>
      <c r="AH812" s="2" t="s">
        <v>185</v>
      </c>
      <c r="AI812" s="2" t="s">
        <v>2767</v>
      </c>
      <c r="AJ812" s="4"/>
      <c r="AL812" s="4"/>
      <c r="AN812" s="4"/>
      <c r="AP812" s="4"/>
      <c r="AQ812" s="4"/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Z812" s="2" t="s">
        <v>60</v>
      </c>
    </row>
    <row r="813" spans="2:52" x14ac:dyDescent="0.15">
      <c r="B813" s="2" t="s">
        <v>2773</v>
      </c>
      <c r="C813" s="2" t="s">
        <v>2775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572</v>
      </c>
      <c r="L813" s="2" t="s">
        <v>2777</v>
      </c>
      <c r="N813" s="4"/>
      <c r="O813" s="2" t="s">
        <v>2776</v>
      </c>
      <c r="P813" s="2" t="s">
        <v>2776</v>
      </c>
      <c r="Q813" s="4">
        <v>0</v>
      </c>
      <c r="R813" s="2" t="s">
        <v>370</v>
      </c>
      <c r="S813" s="2" t="s">
        <v>435</v>
      </c>
      <c r="T813" s="2" t="s">
        <v>706</v>
      </c>
      <c r="U813" s="2" t="s">
        <v>702</v>
      </c>
      <c r="V813" s="2" t="s">
        <v>204</v>
      </c>
      <c r="W813" s="4">
        <v>0</v>
      </c>
      <c r="Y813" s="4">
        <v>0</v>
      </c>
      <c r="Z813" s="4" t="s">
        <v>39</v>
      </c>
      <c r="AA813" s="2" t="s">
        <v>60</v>
      </c>
      <c r="AB813" s="2" t="s">
        <v>150</v>
      </c>
      <c r="AC813" s="2" t="s">
        <v>515</v>
      </c>
      <c r="AD813" s="4">
        <v>75</v>
      </c>
      <c r="AE813" s="2" t="s">
        <v>321</v>
      </c>
      <c r="AF813" s="2" t="s">
        <v>88</v>
      </c>
      <c r="AG813" s="2" t="s">
        <v>1831</v>
      </c>
      <c r="AH813" s="2" t="s">
        <v>185</v>
      </c>
      <c r="AI813" s="2" t="s">
        <v>2770</v>
      </c>
      <c r="AJ813" s="4"/>
      <c r="AL813" s="4"/>
      <c r="AN813" s="4"/>
      <c r="AP813" s="4"/>
      <c r="AQ813" s="4"/>
      <c r="AS813" s="4">
        <v>2</v>
      </c>
      <c r="AT813" s="4">
        <v>2</v>
      </c>
      <c r="AU813" s="4">
        <v>3</v>
      </c>
      <c r="AV813" s="4">
        <v>2</v>
      </c>
      <c r="AW813" s="4">
        <v>1</v>
      </c>
      <c r="AX813" s="4">
        <v>1</v>
      </c>
      <c r="AZ813" s="2" t="s">
        <v>60</v>
      </c>
    </row>
    <row r="814" spans="2:52" x14ac:dyDescent="0.15">
      <c r="B814" s="2" t="s">
        <v>2776</v>
      </c>
      <c r="C814" s="2" t="s">
        <v>2778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2557</v>
      </c>
      <c r="L814" s="2" t="s">
        <v>2780</v>
      </c>
      <c r="N814" s="4"/>
      <c r="O814" s="2" t="s">
        <v>2779</v>
      </c>
      <c r="P814" s="2" t="s">
        <v>2779</v>
      </c>
      <c r="Q814" s="4">
        <v>0</v>
      </c>
      <c r="R814" s="2" t="s">
        <v>370</v>
      </c>
      <c r="S814" s="2" t="s">
        <v>435</v>
      </c>
      <c r="T814" s="2" t="s">
        <v>824</v>
      </c>
      <c r="U814" s="2" t="s">
        <v>490</v>
      </c>
      <c r="V814" s="2" t="s">
        <v>196</v>
      </c>
      <c r="W814" s="4">
        <v>0</v>
      </c>
      <c r="Y814" s="4">
        <v>0</v>
      </c>
      <c r="Z814" s="4" t="s">
        <v>39</v>
      </c>
      <c r="AA814" s="2" t="s">
        <v>60</v>
      </c>
      <c r="AB814" s="2" t="s">
        <v>123</v>
      </c>
      <c r="AC814" s="2" t="s">
        <v>256</v>
      </c>
      <c r="AD814" s="4">
        <v>69</v>
      </c>
      <c r="AE814" s="2" t="s">
        <v>257</v>
      </c>
      <c r="AF814" s="2" t="s">
        <v>329</v>
      </c>
      <c r="AG814" s="2" t="s">
        <v>234</v>
      </c>
      <c r="AH814" s="2" t="s">
        <v>185</v>
      </c>
      <c r="AI814" s="2" t="s">
        <v>2773</v>
      </c>
      <c r="AJ814" s="4"/>
      <c r="AL814" s="4"/>
      <c r="AN814" s="4"/>
      <c r="AP814" s="4"/>
      <c r="AQ814" s="4"/>
      <c r="AS814" s="4">
        <v>2</v>
      </c>
      <c r="AT814" s="4">
        <v>2</v>
      </c>
      <c r="AU814" s="4">
        <v>2</v>
      </c>
      <c r="AV814" s="4">
        <v>3</v>
      </c>
      <c r="AW814" s="4">
        <v>1</v>
      </c>
      <c r="AX814" s="4">
        <v>0</v>
      </c>
      <c r="AZ814" s="2" t="s">
        <v>60</v>
      </c>
    </row>
    <row r="815" spans="2:52" x14ac:dyDescent="0.15">
      <c r="B815" s="2" t="s">
        <v>2779</v>
      </c>
      <c r="C815" s="2" t="s">
        <v>2781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2783</v>
      </c>
      <c r="L815" s="2" t="s">
        <v>400</v>
      </c>
      <c r="M815" s="2" t="s">
        <v>926</v>
      </c>
      <c r="N815" s="4"/>
      <c r="O815" s="2" t="s">
        <v>2782</v>
      </c>
      <c r="P815" s="2" t="s">
        <v>2782</v>
      </c>
      <c r="Q815" s="4">
        <v>0</v>
      </c>
      <c r="R815" s="2" t="s">
        <v>370</v>
      </c>
      <c r="S815" s="2" t="s">
        <v>772</v>
      </c>
      <c r="T815" s="2" t="s">
        <v>544</v>
      </c>
      <c r="U815" s="2" t="s">
        <v>371</v>
      </c>
      <c r="V815" s="2" t="s">
        <v>521</v>
      </c>
      <c r="W815" s="4">
        <v>0</v>
      </c>
      <c r="Y815" s="4">
        <v>0</v>
      </c>
      <c r="Z815" s="4" t="s">
        <v>39</v>
      </c>
      <c r="AA815" s="2" t="s">
        <v>60</v>
      </c>
      <c r="AB815" s="2" t="s">
        <v>175</v>
      </c>
      <c r="AC815" s="2" t="s">
        <v>185</v>
      </c>
      <c r="AD815" s="4">
        <v>69</v>
      </c>
      <c r="AE815" s="2" t="s">
        <v>106</v>
      </c>
      <c r="AF815" s="2" t="s">
        <v>79</v>
      </c>
      <c r="AG815" s="2" t="s">
        <v>1374</v>
      </c>
      <c r="AH815" s="2" t="s">
        <v>185</v>
      </c>
      <c r="AI815" s="2" t="s">
        <v>2776</v>
      </c>
      <c r="AJ815" s="4"/>
      <c r="AL815" s="4"/>
      <c r="AN815" s="4"/>
      <c r="AP815" s="4"/>
      <c r="AQ815" s="4"/>
      <c r="AS815" s="4">
        <v>3</v>
      </c>
      <c r="AT815" s="4">
        <v>3</v>
      </c>
      <c r="AU815" s="4">
        <v>2</v>
      </c>
      <c r="AV815" s="4">
        <v>3</v>
      </c>
      <c r="AW815" s="4">
        <v>0</v>
      </c>
      <c r="AX815" s="4">
        <v>1</v>
      </c>
      <c r="AZ815" s="2" t="s">
        <v>60</v>
      </c>
    </row>
    <row r="816" spans="2:52" x14ac:dyDescent="0.15">
      <c r="B816" s="2" t="s">
        <v>2782</v>
      </c>
      <c r="C816" s="2" t="s">
        <v>2784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2786</v>
      </c>
      <c r="L816" s="2" t="s">
        <v>2787</v>
      </c>
      <c r="N816" s="4"/>
      <c r="O816" s="2" t="s">
        <v>2785</v>
      </c>
      <c r="P816" s="2" t="s">
        <v>2785</v>
      </c>
      <c r="Q816" s="4">
        <v>0</v>
      </c>
      <c r="R816" s="2" t="s">
        <v>370</v>
      </c>
      <c r="S816" s="2" t="s">
        <v>435</v>
      </c>
      <c r="T816" s="2" t="s">
        <v>706</v>
      </c>
      <c r="U816" s="2" t="s">
        <v>406</v>
      </c>
      <c r="V816" s="2" t="s">
        <v>134</v>
      </c>
      <c r="W816" s="4">
        <v>0</v>
      </c>
      <c r="Y816" s="4">
        <v>0</v>
      </c>
      <c r="Z816" s="4" t="s">
        <v>39</v>
      </c>
      <c r="AA816" s="2" t="s">
        <v>60</v>
      </c>
      <c r="AB816" s="2" t="s">
        <v>204</v>
      </c>
      <c r="AC816" s="2" t="s">
        <v>37</v>
      </c>
      <c r="AD816" s="4">
        <v>93</v>
      </c>
      <c r="AE816" s="2" t="s">
        <v>329</v>
      </c>
      <c r="AF816" s="2" t="s">
        <v>434</v>
      </c>
      <c r="AG816" s="2" t="s">
        <v>610</v>
      </c>
      <c r="AH816" s="2" t="s">
        <v>185</v>
      </c>
      <c r="AI816" s="2" t="s">
        <v>2779</v>
      </c>
      <c r="AJ816" s="4"/>
      <c r="AL816" s="4"/>
      <c r="AN816" s="4"/>
      <c r="AP816" s="4"/>
      <c r="AQ816" s="4"/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1</v>
      </c>
      <c r="AZ816" s="2" t="s">
        <v>60</v>
      </c>
    </row>
    <row r="817" spans="2:52" x14ac:dyDescent="0.15">
      <c r="B817" s="2" t="s">
        <v>2785</v>
      </c>
      <c r="C817" s="2" t="s">
        <v>2788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1877</v>
      </c>
      <c r="L817" s="2" t="s">
        <v>1979</v>
      </c>
      <c r="N817" s="4"/>
      <c r="O817" s="2" t="s">
        <v>2789</v>
      </c>
      <c r="P817" s="2" t="s">
        <v>2789</v>
      </c>
      <c r="Q817" s="4">
        <v>0</v>
      </c>
      <c r="R817" s="2" t="s">
        <v>370</v>
      </c>
      <c r="S817" s="2" t="s">
        <v>435</v>
      </c>
      <c r="T817" s="2" t="s">
        <v>759</v>
      </c>
      <c r="U817" s="2" t="s">
        <v>633</v>
      </c>
      <c r="V817" s="2" t="s">
        <v>390</v>
      </c>
      <c r="W817" s="4">
        <v>0</v>
      </c>
      <c r="Y817" s="4">
        <v>0</v>
      </c>
      <c r="Z817" s="4" t="s">
        <v>39</v>
      </c>
      <c r="AA817" s="2" t="s">
        <v>60</v>
      </c>
      <c r="AB817" s="2" t="s">
        <v>391</v>
      </c>
      <c r="AC817" s="2" t="s">
        <v>413</v>
      </c>
      <c r="AD817" s="4">
        <v>56</v>
      </c>
      <c r="AE817" s="2" t="s">
        <v>95</v>
      </c>
      <c r="AF817" s="2" t="s">
        <v>3</v>
      </c>
      <c r="AG817" s="2" t="s">
        <v>620</v>
      </c>
      <c r="AH817" s="2" t="s">
        <v>185</v>
      </c>
      <c r="AI817" s="2" t="s">
        <v>2782</v>
      </c>
      <c r="AJ817" s="4"/>
      <c r="AL817" s="4"/>
      <c r="AN817" s="4"/>
      <c r="AP817" s="4"/>
      <c r="AQ817" s="4"/>
      <c r="AS817" s="4">
        <v>3</v>
      </c>
      <c r="AT817" s="4">
        <v>2</v>
      </c>
      <c r="AU817" s="4">
        <v>1</v>
      </c>
      <c r="AV817" s="4">
        <v>3</v>
      </c>
      <c r="AW817" s="4">
        <v>0</v>
      </c>
      <c r="AX817" s="4">
        <v>1</v>
      </c>
      <c r="AZ817" s="2" t="s">
        <v>60</v>
      </c>
    </row>
    <row r="818" spans="2:52" x14ac:dyDescent="0.15">
      <c r="B818" s="2" t="s">
        <v>2789</v>
      </c>
      <c r="C818" s="2" t="s">
        <v>2790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2459</v>
      </c>
      <c r="L818" s="2" t="s">
        <v>2794</v>
      </c>
      <c r="M818" s="2" t="s">
        <v>1061</v>
      </c>
      <c r="N818" s="4"/>
      <c r="O818" s="2" t="s">
        <v>2791</v>
      </c>
      <c r="P818" s="2" t="s">
        <v>2791</v>
      </c>
      <c r="Q818" s="4">
        <v>0</v>
      </c>
      <c r="R818" s="2" t="s">
        <v>370</v>
      </c>
      <c r="S818" s="2" t="s">
        <v>435</v>
      </c>
      <c r="T818" s="2" t="s">
        <v>478</v>
      </c>
      <c r="U818" s="2" t="s">
        <v>633</v>
      </c>
      <c r="V818" s="2" t="s">
        <v>481</v>
      </c>
      <c r="W818" s="4">
        <v>0</v>
      </c>
      <c r="Y818" s="4">
        <v>0</v>
      </c>
      <c r="Z818" s="4" t="s">
        <v>39</v>
      </c>
      <c r="AA818" s="2" t="s">
        <v>60</v>
      </c>
      <c r="AB818" s="2" t="s">
        <v>445</v>
      </c>
      <c r="AC818" s="2" t="s">
        <v>404</v>
      </c>
      <c r="AD818" s="4">
        <v>44</v>
      </c>
      <c r="AE818" s="2" t="s">
        <v>485</v>
      </c>
      <c r="AF818" s="2" t="s">
        <v>185</v>
      </c>
      <c r="AG818" s="2" t="s">
        <v>596</v>
      </c>
      <c r="AH818" s="2" t="s">
        <v>185</v>
      </c>
      <c r="AI818" s="2" t="s">
        <v>2785</v>
      </c>
      <c r="AJ818" s="4"/>
      <c r="AL818" s="4"/>
      <c r="AN818" s="4"/>
      <c r="AP818" s="4"/>
      <c r="AQ818" s="4"/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Z818" s="2" t="s">
        <v>60</v>
      </c>
    </row>
    <row r="819" spans="2:52" x14ac:dyDescent="0.15">
      <c r="B819" s="2" t="s">
        <v>2791</v>
      </c>
      <c r="C819" s="2" t="s">
        <v>2792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1865</v>
      </c>
      <c r="L819" s="2" t="s">
        <v>746</v>
      </c>
      <c r="M819" s="2" t="s">
        <v>2796</v>
      </c>
      <c r="N819" s="4"/>
      <c r="O819" s="2" t="s">
        <v>825</v>
      </c>
      <c r="P819" s="2" t="s">
        <v>825</v>
      </c>
      <c r="Q819" s="4">
        <v>0</v>
      </c>
      <c r="R819" s="2" t="s">
        <v>370</v>
      </c>
      <c r="S819" s="2" t="s">
        <v>435</v>
      </c>
      <c r="T819" s="2" t="s">
        <v>477</v>
      </c>
      <c r="U819" s="2" t="s">
        <v>762</v>
      </c>
      <c r="V819" s="2" t="s">
        <v>481</v>
      </c>
      <c r="W819" s="4">
        <v>0</v>
      </c>
      <c r="Y819" s="4">
        <v>0</v>
      </c>
      <c r="Z819" s="4" t="s">
        <v>39</v>
      </c>
      <c r="AA819" s="2" t="s">
        <v>60</v>
      </c>
      <c r="AB819" s="2" t="s">
        <v>257</v>
      </c>
      <c r="AC819" s="2" t="s">
        <v>95</v>
      </c>
      <c r="AD819" s="4">
        <v>100</v>
      </c>
      <c r="AE819" s="2" t="s">
        <v>79</v>
      </c>
      <c r="AF819" s="2" t="s">
        <v>148</v>
      </c>
      <c r="AG819" s="2" t="s">
        <v>1565</v>
      </c>
      <c r="AH819" s="2" t="s">
        <v>185</v>
      </c>
      <c r="AI819" s="2" t="s">
        <v>2789</v>
      </c>
      <c r="AJ819" s="4"/>
      <c r="AL819" s="4"/>
      <c r="AN819" s="4"/>
      <c r="AP819" s="4"/>
      <c r="AQ819" s="4"/>
      <c r="AS819" s="4">
        <v>0</v>
      </c>
      <c r="AT819" s="4">
        <v>0</v>
      </c>
      <c r="AU819" s="4">
        <v>3</v>
      </c>
      <c r="AV819" s="4">
        <v>0</v>
      </c>
      <c r="AW819" s="4">
        <v>2</v>
      </c>
      <c r="AX819" s="4">
        <v>0</v>
      </c>
      <c r="AZ819" s="2" t="s">
        <v>60</v>
      </c>
    </row>
    <row r="820" spans="2:52" x14ac:dyDescent="0.15">
      <c r="B820" s="2" t="s">
        <v>825</v>
      </c>
      <c r="C820" s="2" t="s">
        <v>2797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923</v>
      </c>
      <c r="L820" s="2" t="s">
        <v>2319</v>
      </c>
      <c r="N820" s="4"/>
      <c r="O820" s="2" t="s">
        <v>2798</v>
      </c>
      <c r="P820" s="2" t="s">
        <v>2798</v>
      </c>
      <c r="Q820" s="4">
        <v>0</v>
      </c>
      <c r="R820" s="2" t="s">
        <v>370</v>
      </c>
      <c r="S820" s="2" t="s">
        <v>435</v>
      </c>
      <c r="T820" s="2" t="s">
        <v>555</v>
      </c>
      <c r="U820" s="2" t="s">
        <v>489</v>
      </c>
      <c r="V820" s="2" t="s">
        <v>256</v>
      </c>
      <c r="W820" s="4">
        <v>0</v>
      </c>
      <c r="Y820" s="4">
        <v>0</v>
      </c>
      <c r="Z820" s="4" t="s">
        <v>39</v>
      </c>
      <c r="AA820" s="2" t="s">
        <v>60</v>
      </c>
      <c r="AB820" s="2" t="s">
        <v>185</v>
      </c>
      <c r="AC820" s="2" t="s">
        <v>367</v>
      </c>
      <c r="AD820" s="4">
        <v>92</v>
      </c>
      <c r="AE820" s="2" t="s">
        <v>261</v>
      </c>
      <c r="AF820" s="2" t="s">
        <v>434</v>
      </c>
      <c r="AG820" s="2" t="s">
        <v>1790</v>
      </c>
      <c r="AH820" s="2" t="s">
        <v>185</v>
      </c>
      <c r="AI820" s="2" t="s">
        <v>2791</v>
      </c>
      <c r="AJ820" s="4"/>
      <c r="AL820" s="4"/>
      <c r="AN820" s="4"/>
      <c r="AP820" s="4"/>
      <c r="AQ820" s="4"/>
      <c r="AS820" s="4">
        <v>3</v>
      </c>
      <c r="AT820" s="4">
        <v>3</v>
      </c>
      <c r="AU820" s="4">
        <v>3</v>
      </c>
      <c r="AV820" s="4">
        <v>2</v>
      </c>
      <c r="AW820" s="4">
        <v>3</v>
      </c>
      <c r="AX820" s="4">
        <v>1</v>
      </c>
      <c r="AZ820" s="2" t="s">
        <v>60</v>
      </c>
    </row>
    <row r="821" spans="2:52" x14ac:dyDescent="0.15">
      <c r="B821" s="2" t="s">
        <v>2798</v>
      </c>
      <c r="C821" s="2" t="s">
        <v>2799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2801</v>
      </c>
      <c r="L821" s="2" t="s">
        <v>743</v>
      </c>
      <c r="M821" s="2" t="s">
        <v>1813</v>
      </c>
      <c r="N821" s="4"/>
      <c r="O821" s="2" t="s">
        <v>2800</v>
      </c>
      <c r="P821" s="2" t="s">
        <v>2800</v>
      </c>
      <c r="Q821" s="4">
        <v>0</v>
      </c>
      <c r="R821" s="2" t="s">
        <v>370</v>
      </c>
      <c r="S821" s="2" t="s">
        <v>435</v>
      </c>
      <c r="T821" s="2" t="s">
        <v>499</v>
      </c>
      <c r="U821" s="2" t="s">
        <v>489</v>
      </c>
      <c r="V821" s="2" t="s">
        <v>257</v>
      </c>
      <c r="W821" s="4">
        <v>0</v>
      </c>
      <c r="Y821" s="4">
        <v>0</v>
      </c>
      <c r="Z821" s="4" t="s">
        <v>39</v>
      </c>
      <c r="AA821" s="2" t="s">
        <v>60</v>
      </c>
      <c r="AB821" s="2" t="s">
        <v>837</v>
      </c>
      <c r="AC821" s="2" t="s">
        <v>235</v>
      </c>
      <c r="AD821" s="4">
        <v>72</v>
      </c>
      <c r="AE821" s="2" t="s">
        <v>126</v>
      </c>
      <c r="AF821" s="2" t="s">
        <v>153</v>
      </c>
      <c r="AG821" s="2" t="s">
        <v>1485</v>
      </c>
      <c r="AH821" s="2" t="s">
        <v>185</v>
      </c>
      <c r="AI821" s="2" t="s">
        <v>825</v>
      </c>
      <c r="AJ821" s="4"/>
      <c r="AL821" s="4"/>
      <c r="AN821" s="4"/>
      <c r="AP821" s="4"/>
      <c r="AQ821" s="4"/>
      <c r="AS821" s="4">
        <v>2</v>
      </c>
      <c r="AT821" s="4">
        <v>2</v>
      </c>
      <c r="AU821" s="4">
        <v>2</v>
      </c>
      <c r="AV821" s="4">
        <v>2</v>
      </c>
      <c r="AW821" s="4">
        <v>0</v>
      </c>
      <c r="AX821" s="4">
        <v>2</v>
      </c>
      <c r="AZ821" s="2" t="s">
        <v>60</v>
      </c>
    </row>
    <row r="822" spans="2:52" x14ac:dyDescent="0.15">
      <c r="B822" s="2" t="s">
        <v>2800</v>
      </c>
      <c r="C822" s="2" t="s">
        <v>2802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801</v>
      </c>
      <c r="L822" s="2" t="s">
        <v>2804</v>
      </c>
      <c r="N822" s="4"/>
      <c r="O822" s="2" t="s">
        <v>2803</v>
      </c>
      <c r="P822" s="2" t="s">
        <v>2803</v>
      </c>
      <c r="Q822" s="4">
        <v>0</v>
      </c>
      <c r="R822" s="2" t="s">
        <v>370</v>
      </c>
      <c r="S822" s="2" t="s">
        <v>94</v>
      </c>
      <c r="T822" s="2" t="s">
        <v>435</v>
      </c>
      <c r="U822" s="2" t="s">
        <v>505</v>
      </c>
      <c r="V822" s="2" t="s">
        <v>196</v>
      </c>
      <c r="W822" s="4">
        <v>0</v>
      </c>
      <c r="Y822" s="4">
        <v>0</v>
      </c>
      <c r="Z822" s="4" t="s">
        <v>39</v>
      </c>
      <c r="AA822" s="2" t="s">
        <v>60</v>
      </c>
      <c r="AB822" s="2" t="s">
        <v>148</v>
      </c>
      <c r="AC822" s="2" t="s">
        <v>130</v>
      </c>
      <c r="AD822" s="4">
        <v>42</v>
      </c>
      <c r="AE822" s="2" t="s">
        <v>33</v>
      </c>
      <c r="AF822" s="2" t="s">
        <v>391</v>
      </c>
      <c r="AG822" s="2" t="s">
        <v>464</v>
      </c>
      <c r="AH822" s="2" t="s">
        <v>185</v>
      </c>
      <c r="AI822" s="2" t="s">
        <v>2798</v>
      </c>
      <c r="AJ822" s="4"/>
      <c r="AL822" s="4"/>
      <c r="AN822" s="4"/>
      <c r="AP822" s="4"/>
      <c r="AQ822" s="4"/>
      <c r="AS822" s="4">
        <v>2</v>
      </c>
      <c r="AT822" s="4">
        <v>1</v>
      </c>
      <c r="AU822" s="4">
        <v>2</v>
      </c>
      <c r="AV822" s="4">
        <v>3</v>
      </c>
      <c r="AW822" s="4">
        <v>0</v>
      </c>
      <c r="AX822" s="4">
        <v>0</v>
      </c>
      <c r="AZ822" s="2" t="s">
        <v>60</v>
      </c>
    </row>
    <row r="823" spans="2:52" x14ac:dyDescent="0.15">
      <c r="B823" s="2" t="s">
        <v>2803</v>
      </c>
      <c r="C823" s="2" t="s">
        <v>2805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1988</v>
      </c>
      <c r="L823" s="2" t="s">
        <v>2807</v>
      </c>
      <c r="N823" s="4"/>
      <c r="O823" s="2" t="s">
        <v>2806</v>
      </c>
      <c r="P823" s="2" t="s">
        <v>2806</v>
      </c>
      <c r="Q823" s="4">
        <v>0</v>
      </c>
      <c r="R823" s="2" t="s">
        <v>370</v>
      </c>
      <c r="S823" s="2" t="s">
        <v>585</v>
      </c>
      <c r="T823" s="2" t="s">
        <v>725</v>
      </c>
      <c r="U823" s="2" t="s">
        <v>519</v>
      </c>
      <c r="V823" s="2" t="s">
        <v>481</v>
      </c>
      <c r="W823" s="4">
        <v>0</v>
      </c>
      <c r="Y823" s="4">
        <v>0</v>
      </c>
      <c r="Z823" s="4" t="s">
        <v>39</v>
      </c>
      <c r="AA823" s="2" t="s">
        <v>60</v>
      </c>
      <c r="AB823" s="2" t="s">
        <v>123</v>
      </c>
      <c r="AC823" s="2" t="s">
        <v>228</v>
      </c>
      <c r="AD823" s="4">
        <v>65</v>
      </c>
      <c r="AE823" s="2" t="s">
        <v>14</v>
      </c>
      <c r="AF823" s="2" t="s">
        <v>88</v>
      </c>
      <c r="AG823" s="2" t="s">
        <v>1111</v>
      </c>
      <c r="AH823" s="2" t="s">
        <v>185</v>
      </c>
      <c r="AI823" s="2" t="s">
        <v>2800</v>
      </c>
      <c r="AJ823" s="4"/>
      <c r="AL823" s="4"/>
      <c r="AN823" s="4"/>
      <c r="AP823" s="4"/>
      <c r="AQ823" s="4"/>
      <c r="AS823" s="4">
        <v>2</v>
      </c>
      <c r="AT823" s="4">
        <v>2</v>
      </c>
      <c r="AU823" s="4">
        <v>2</v>
      </c>
      <c r="AV823" s="4">
        <v>3</v>
      </c>
      <c r="AW823" s="4">
        <v>0</v>
      </c>
      <c r="AX823" s="4">
        <v>1</v>
      </c>
      <c r="AZ823" s="2" t="s">
        <v>60</v>
      </c>
    </row>
    <row r="824" spans="2:52" x14ac:dyDescent="0.15">
      <c r="B824" s="2" t="s">
        <v>2806</v>
      </c>
      <c r="C824" s="2" t="s">
        <v>2808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2006</v>
      </c>
      <c r="L824" s="2" t="s">
        <v>2810</v>
      </c>
      <c r="M824" s="2" t="s">
        <v>2811</v>
      </c>
      <c r="N824" s="4"/>
      <c r="O824" s="2" t="s">
        <v>2809</v>
      </c>
      <c r="P824" s="2" t="s">
        <v>2809</v>
      </c>
      <c r="Q824" s="4">
        <v>0</v>
      </c>
      <c r="R824" s="2" t="s">
        <v>370</v>
      </c>
      <c r="S824" s="2" t="s">
        <v>950</v>
      </c>
      <c r="T824" s="2" t="s">
        <v>707</v>
      </c>
      <c r="U824" s="2" t="s">
        <v>1136</v>
      </c>
      <c r="V824" s="2" t="s">
        <v>1012</v>
      </c>
      <c r="W824" s="4">
        <v>0</v>
      </c>
      <c r="Y824" s="4">
        <v>0</v>
      </c>
      <c r="Z824" s="4" t="s">
        <v>39</v>
      </c>
      <c r="AA824" s="2" t="s">
        <v>60</v>
      </c>
      <c r="AB824" s="2" t="s">
        <v>148</v>
      </c>
      <c r="AC824" s="2" t="s">
        <v>36</v>
      </c>
      <c r="AD824" s="4">
        <v>90</v>
      </c>
      <c r="AE824" s="2" t="s">
        <v>515</v>
      </c>
      <c r="AF824" s="2" t="s">
        <v>329</v>
      </c>
      <c r="AG824" s="2" t="s">
        <v>1339</v>
      </c>
      <c r="AH824" s="2" t="s">
        <v>185</v>
      </c>
      <c r="AI824" s="2" t="s">
        <v>2803</v>
      </c>
      <c r="AJ824" s="4"/>
      <c r="AL824" s="4"/>
      <c r="AN824" s="4"/>
      <c r="AP824" s="4"/>
      <c r="AQ824" s="4"/>
      <c r="AS824" s="4">
        <v>1</v>
      </c>
      <c r="AT824" s="4">
        <v>1</v>
      </c>
      <c r="AU824" s="4">
        <v>2</v>
      </c>
      <c r="AV824" s="4">
        <v>3</v>
      </c>
      <c r="AW824" s="4">
        <v>1</v>
      </c>
      <c r="AX824" s="4">
        <v>2</v>
      </c>
      <c r="AZ824" s="2" t="s">
        <v>60</v>
      </c>
    </row>
    <row r="825" spans="2:52" x14ac:dyDescent="0.15">
      <c r="B825" s="2" t="s">
        <v>2809</v>
      </c>
      <c r="C825" s="2" t="s">
        <v>2812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383</v>
      </c>
      <c r="L825" s="2" t="s">
        <v>2814</v>
      </c>
      <c r="N825" s="4"/>
      <c r="O825" s="2" t="s">
        <v>2813</v>
      </c>
      <c r="P825" s="2" t="s">
        <v>2813</v>
      </c>
      <c r="Q825" s="4">
        <v>0</v>
      </c>
      <c r="R825" s="2" t="s">
        <v>370</v>
      </c>
      <c r="S825" s="2" t="s">
        <v>407</v>
      </c>
      <c r="T825" s="2" t="s">
        <v>96</v>
      </c>
      <c r="U825" s="2" t="s">
        <v>456</v>
      </c>
      <c r="V825" s="2" t="s">
        <v>521</v>
      </c>
      <c r="W825" s="4">
        <v>0</v>
      </c>
      <c r="Y825" s="4">
        <v>0</v>
      </c>
      <c r="Z825" s="4" t="s">
        <v>39</v>
      </c>
      <c r="AA825" s="2" t="s">
        <v>60</v>
      </c>
      <c r="AB825" s="2" t="s">
        <v>78</v>
      </c>
      <c r="AC825" s="2" t="s">
        <v>150</v>
      </c>
      <c r="AD825" s="4">
        <v>70</v>
      </c>
      <c r="AE825" s="2" t="s">
        <v>15</v>
      </c>
      <c r="AF825" s="2" t="s">
        <v>130</v>
      </c>
      <c r="AG825" s="2" t="s">
        <v>805</v>
      </c>
      <c r="AH825" s="2" t="s">
        <v>185</v>
      </c>
      <c r="AI825" s="2" t="s">
        <v>2806</v>
      </c>
      <c r="AJ825" s="4"/>
      <c r="AL825" s="4"/>
      <c r="AN825" s="4"/>
      <c r="AP825" s="4"/>
      <c r="AQ825" s="4"/>
      <c r="AS825" s="4">
        <v>2</v>
      </c>
      <c r="AT825" s="4">
        <v>3</v>
      </c>
      <c r="AU825" s="4">
        <v>2</v>
      </c>
      <c r="AV825" s="4">
        <v>3</v>
      </c>
      <c r="AW825" s="4">
        <v>0</v>
      </c>
      <c r="AX825" s="4">
        <v>0</v>
      </c>
      <c r="AZ825" s="2" t="s">
        <v>60</v>
      </c>
    </row>
    <row r="826" spans="2:52" x14ac:dyDescent="0.15">
      <c r="B826" s="2" t="s">
        <v>2813</v>
      </c>
      <c r="C826" s="2" t="s">
        <v>2815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2416</v>
      </c>
      <c r="L826" s="2" t="s">
        <v>2432</v>
      </c>
      <c r="M826" s="2" t="s">
        <v>2817</v>
      </c>
      <c r="N826" s="4"/>
      <c r="O826" s="2" t="s">
        <v>2816</v>
      </c>
      <c r="P826" s="2" t="s">
        <v>2816</v>
      </c>
      <c r="Q826" s="4">
        <v>0</v>
      </c>
      <c r="R826" s="2" t="s">
        <v>370</v>
      </c>
      <c r="S826" s="2" t="s">
        <v>435</v>
      </c>
      <c r="T826" s="2" t="s">
        <v>779</v>
      </c>
      <c r="U826" s="2" t="s">
        <v>548</v>
      </c>
      <c r="V826" s="2" t="s">
        <v>8</v>
      </c>
      <c r="W826" s="4">
        <v>0</v>
      </c>
      <c r="Y826" s="4">
        <v>0</v>
      </c>
      <c r="Z826" s="4" t="s">
        <v>39</v>
      </c>
      <c r="AA826" s="2" t="s">
        <v>60</v>
      </c>
      <c r="AB826" s="2" t="s">
        <v>150</v>
      </c>
      <c r="AC826" s="2" t="s">
        <v>153</v>
      </c>
      <c r="AD826" s="4">
        <v>94</v>
      </c>
      <c r="AE826" s="2" t="s">
        <v>176</v>
      </c>
      <c r="AF826" s="2" t="s">
        <v>367</v>
      </c>
      <c r="AG826" s="2" t="s">
        <v>1943</v>
      </c>
      <c r="AH826" s="2" t="s">
        <v>185</v>
      </c>
      <c r="AI826" s="2" t="s">
        <v>2809</v>
      </c>
      <c r="AJ826" s="4"/>
      <c r="AL826" s="4"/>
      <c r="AN826" s="4"/>
      <c r="AP826" s="4"/>
      <c r="AQ826" s="4"/>
      <c r="AS826" s="4">
        <v>2</v>
      </c>
      <c r="AT826" s="4">
        <v>2</v>
      </c>
      <c r="AU826" s="4">
        <v>2</v>
      </c>
      <c r="AV826" s="4">
        <v>2</v>
      </c>
      <c r="AW826" s="4">
        <v>2</v>
      </c>
      <c r="AX826" s="4">
        <v>1</v>
      </c>
      <c r="AZ826" s="2" t="s">
        <v>60</v>
      </c>
    </row>
    <row r="827" spans="2:52" x14ac:dyDescent="0.15">
      <c r="B827" s="2" t="s">
        <v>2816</v>
      </c>
      <c r="C827" s="2" t="s">
        <v>2818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1607</v>
      </c>
      <c r="L827" s="2" t="s">
        <v>1448</v>
      </c>
      <c r="M827" s="2" t="s">
        <v>2820</v>
      </c>
      <c r="N827" s="4"/>
      <c r="O827" s="2" t="s">
        <v>2819</v>
      </c>
      <c r="P827" s="2" t="s">
        <v>2819</v>
      </c>
      <c r="Q827" s="4">
        <v>0</v>
      </c>
      <c r="R827" s="2" t="s">
        <v>370</v>
      </c>
      <c r="S827" s="2" t="s">
        <v>435</v>
      </c>
      <c r="T827" s="2" t="s">
        <v>555</v>
      </c>
      <c r="U827" s="2" t="s">
        <v>512</v>
      </c>
      <c r="V827" s="2" t="s">
        <v>481</v>
      </c>
      <c r="W827" s="4">
        <v>0</v>
      </c>
      <c r="Y827" s="4">
        <v>0</v>
      </c>
      <c r="Z827" s="4" t="s">
        <v>39</v>
      </c>
      <c r="AA827" s="2" t="s">
        <v>60</v>
      </c>
      <c r="AB827" s="2" t="s">
        <v>235</v>
      </c>
      <c r="AC827" s="2" t="s">
        <v>195</v>
      </c>
      <c r="AD827" s="4">
        <v>51</v>
      </c>
      <c r="AE827" s="2" t="s">
        <v>208</v>
      </c>
      <c r="AF827" s="2" t="s">
        <v>123</v>
      </c>
      <c r="AG827" s="2" t="s">
        <v>1412</v>
      </c>
      <c r="AH827" s="2" t="s">
        <v>185</v>
      </c>
      <c r="AI827" s="2" t="s">
        <v>2813</v>
      </c>
      <c r="AJ827" s="4"/>
      <c r="AL827" s="4"/>
      <c r="AN827" s="4"/>
      <c r="AP827" s="4"/>
      <c r="AQ827" s="4"/>
      <c r="AS827" s="4">
        <v>3</v>
      </c>
      <c r="AT827" s="4">
        <v>3</v>
      </c>
      <c r="AU827" s="4">
        <v>0</v>
      </c>
      <c r="AV827" s="4">
        <v>2</v>
      </c>
      <c r="AW827" s="4">
        <v>0</v>
      </c>
      <c r="AX827" s="4">
        <v>0</v>
      </c>
      <c r="AZ827" s="2" t="s">
        <v>60</v>
      </c>
    </row>
    <row r="828" spans="2:52" x14ac:dyDescent="0.15">
      <c r="B828" s="2" t="s">
        <v>2819</v>
      </c>
      <c r="C828" s="2" t="s">
        <v>2821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2823</v>
      </c>
      <c r="L828" s="2" t="s">
        <v>1207</v>
      </c>
      <c r="M828" s="2" t="s">
        <v>2824</v>
      </c>
      <c r="N828" s="4"/>
      <c r="O828" s="2" t="s">
        <v>2822</v>
      </c>
      <c r="P828" s="2" t="s">
        <v>2822</v>
      </c>
      <c r="Q828" s="4">
        <v>0</v>
      </c>
      <c r="R828" s="2" t="s">
        <v>370</v>
      </c>
      <c r="S828" s="2" t="s">
        <v>407</v>
      </c>
      <c r="T828" s="2" t="s">
        <v>96</v>
      </c>
      <c r="U828" s="2" t="s">
        <v>368</v>
      </c>
      <c r="V828" s="2" t="s">
        <v>481</v>
      </c>
      <c r="W828" s="4">
        <v>0</v>
      </c>
      <c r="Y828" s="4">
        <v>0</v>
      </c>
      <c r="Z828" s="4" t="s">
        <v>39</v>
      </c>
      <c r="AA828" s="2" t="s">
        <v>60</v>
      </c>
      <c r="AB828" s="2" t="s">
        <v>554</v>
      </c>
      <c r="AC828" s="2" t="s">
        <v>228</v>
      </c>
      <c r="AD828" s="4">
        <v>60</v>
      </c>
      <c r="AE828" s="2" t="s">
        <v>5</v>
      </c>
      <c r="AF828" s="2" t="s">
        <v>391</v>
      </c>
      <c r="AG828" s="2" t="s">
        <v>1370</v>
      </c>
      <c r="AH828" s="2" t="s">
        <v>185</v>
      </c>
      <c r="AI828" s="2" t="s">
        <v>2816</v>
      </c>
      <c r="AJ828" s="4"/>
      <c r="AL828" s="4"/>
      <c r="AN828" s="4"/>
      <c r="AP828" s="4"/>
      <c r="AQ828" s="4"/>
      <c r="AS828" s="4">
        <v>3</v>
      </c>
      <c r="AT828" s="4">
        <v>3</v>
      </c>
      <c r="AU828" s="4">
        <v>1</v>
      </c>
      <c r="AV828" s="4">
        <v>2</v>
      </c>
      <c r="AW828" s="4">
        <v>0</v>
      </c>
      <c r="AX828" s="4">
        <v>0</v>
      </c>
      <c r="AZ828" s="2" t="s">
        <v>60</v>
      </c>
    </row>
    <row r="829" spans="2:52" x14ac:dyDescent="0.15">
      <c r="B829" s="2" t="s">
        <v>2822</v>
      </c>
      <c r="C829" s="2" t="s">
        <v>2825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2827</v>
      </c>
      <c r="L829" s="2" t="s">
        <v>1748</v>
      </c>
      <c r="M829" s="2" t="s">
        <v>2828</v>
      </c>
      <c r="N829" s="4"/>
      <c r="O829" s="2" t="s">
        <v>2826</v>
      </c>
      <c r="P829" s="2" t="s">
        <v>2826</v>
      </c>
      <c r="Q829" s="4">
        <v>0</v>
      </c>
      <c r="R829" s="2" t="s">
        <v>370</v>
      </c>
      <c r="S829" s="2" t="s">
        <v>479</v>
      </c>
      <c r="T829" s="2" t="s">
        <v>578</v>
      </c>
      <c r="U829" s="2" t="s">
        <v>489</v>
      </c>
      <c r="V829" s="2" t="s">
        <v>481</v>
      </c>
      <c r="W829" s="4">
        <v>0</v>
      </c>
      <c r="Y829" s="4">
        <v>0</v>
      </c>
      <c r="Z829" s="4" t="s">
        <v>39</v>
      </c>
      <c r="AA829" s="2" t="s">
        <v>60</v>
      </c>
      <c r="AB829" s="2" t="s">
        <v>79</v>
      </c>
      <c r="AC829" s="2" t="s">
        <v>148</v>
      </c>
      <c r="AD829" s="4">
        <v>78</v>
      </c>
      <c r="AE829" s="2" t="s">
        <v>213</v>
      </c>
      <c r="AF829" s="2" t="s">
        <v>228</v>
      </c>
      <c r="AG829" s="2" t="s">
        <v>1861</v>
      </c>
      <c r="AH829" s="2" t="s">
        <v>185</v>
      </c>
      <c r="AI829" s="2" t="s">
        <v>2819</v>
      </c>
      <c r="AJ829" s="4"/>
      <c r="AL829" s="4"/>
      <c r="AN829" s="4"/>
      <c r="AP829" s="4"/>
      <c r="AQ829" s="4"/>
      <c r="AS829" s="4">
        <v>3</v>
      </c>
      <c r="AT829" s="4">
        <v>2</v>
      </c>
      <c r="AU829" s="4">
        <v>2</v>
      </c>
      <c r="AV829" s="4">
        <v>2</v>
      </c>
      <c r="AW829" s="4">
        <v>1</v>
      </c>
      <c r="AX829" s="4">
        <v>2</v>
      </c>
      <c r="AZ829" s="2" t="s">
        <v>60</v>
      </c>
    </row>
    <row r="830" spans="2:52" x14ac:dyDescent="0.15">
      <c r="B830" s="2" t="s">
        <v>2826</v>
      </c>
      <c r="C830" s="2" t="s">
        <v>2829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1607</v>
      </c>
      <c r="L830" s="2" t="s">
        <v>2831</v>
      </c>
      <c r="M830" s="2" t="s">
        <v>2832</v>
      </c>
      <c r="N830" s="4"/>
      <c r="O830" s="2" t="s">
        <v>2830</v>
      </c>
      <c r="P830" s="2" t="s">
        <v>2830</v>
      </c>
      <c r="Q830" s="4">
        <v>1</v>
      </c>
      <c r="R830" s="2" t="s">
        <v>577</v>
      </c>
      <c r="S830" s="2" t="s">
        <v>407</v>
      </c>
      <c r="T830" s="2" t="s">
        <v>96</v>
      </c>
      <c r="U830" s="2" t="s">
        <v>621</v>
      </c>
      <c r="V830" s="2" t="s">
        <v>153</v>
      </c>
      <c r="W830" s="4">
        <v>0</v>
      </c>
      <c r="Y830" s="4">
        <v>0</v>
      </c>
      <c r="Z830" s="4" t="s">
        <v>39</v>
      </c>
      <c r="AA830" s="2" t="s">
        <v>60</v>
      </c>
      <c r="AB830" s="2" t="s">
        <v>554</v>
      </c>
      <c r="AC830" s="2" t="s">
        <v>431</v>
      </c>
      <c r="AD830" s="4">
        <v>76</v>
      </c>
      <c r="AE830" s="2" t="s">
        <v>153</v>
      </c>
      <c r="AF830" s="2" t="s">
        <v>176</v>
      </c>
      <c r="AG830" s="2" t="s">
        <v>1871</v>
      </c>
      <c r="AH830" s="2" t="s">
        <v>185</v>
      </c>
      <c r="AI830" s="2" t="s">
        <v>2822</v>
      </c>
      <c r="AJ830" s="4"/>
      <c r="AL830" s="4"/>
      <c r="AN830" s="4"/>
      <c r="AP830" s="4"/>
      <c r="AQ830" s="4"/>
      <c r="AS830" s="4">
        <v>1</v>
      </c>
      <c r="AT830" s="4">
        <v>2</v>
      </c>
      <c r="AU830" s="4">
        <v>2</v>
      </c>
      <c r="AV830" s="4">
        <v>3</v>
      </c>
      <c r="AW830" s="4">
        <v>0</v>
      </c>
      <c r="AX830" s="4">
        <v>1</v>
      </c>
      <c r="AZ830" s="2" t="s">
        <v>60</v>
      </c>
    </row>
    <row r="831" spans="2:52" x14ac:dyDescent="0.15">
      <c r="B831" s="2" t="s">
        <v>2830</v>
      </c>
      <c r="C831" s="2" t="s">
        <v>2833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2835</v>
      </c>
      <c r="L831" s="2" t="s">
        <v>2836</v>
      </c>
      <c r="M831" s="2" t="s">
        <v>2837</v>
      </c>
      <c r="N831" s="4"/>
      <c r="O831" s="2" t="s">
        <v>2834</v>
      </c>
      <c r="P831" s="2" t="s">
        <v>2834</v>
      </c>
      <c r="Q831" s="4">
        <v>0</v>
      </c>
      <c r="R831" s="2" t="s">
        <v>370</v>
      </c>
      <c r="S831" s="2" t="s">
        <v>380</v>
      </c>
      <c r="T831" s="2" t="s">
        <v>372</v>
      </c>
      <c r="U831" s="2" t="s">
        <v>667</v>
      </c>
      <c r="V831" s="2" t="s">
        <v>521</v>
      </c>
      <c r="W831" s="4">
        <v>0</v>
      </c>
      <c r="Y831" s="4">
        <v>0</v>
      </c>
      <c r="Z831" s="4" t="s">
        <v>39</v>
      </c>
      <c r="AA831" s="2" t="s">
        <v>60</v>
      </c>
      <c r="AB831" s="2" t="s">
        <v>176</v>
      </c>
      <c r="AC831" s="2" t="s">
        <v>374</v>
      </c>
      <c r="AD831" s="4">
        <v>80</v>
      </c>
      <c r="AE831" s="2" t="s">
        <v>256</v>
      </c>
      <c r="AF831" s="2" t="s">
        <v>130</v>
      </c>
      <c r="AG831" s="2" t="s">
        <v>1943</v>
      </c>
      <c r="AH831" s="2" t="s">
        <v>185</v>
      </c>
      <c r="AI831" s="2" t="s">
        <v>2826</v>
      </c>
      <c r="AJ831" s="4"/>
      <c r="AL831" s="4"/>
      <c r="AN831" s="4"/>
      <c r="AP831" s="4"/>
      <c r="AQ831" s="4"/>
      <c r="AS831" s="4">
        <v>2</v>
      </c>
      <c r="AT831" s="4">
        <v>2</v>
      </c>
      <c r="AU831" s="4">
        <v>1</v>
      </c>
      <c r="AV831" s="4">
        <v>2</v>
      </c>
      <c r="AW831" s="4">
        <v>0</v>
      </c>
      <c r="AX831" s="4">
        <v>3</v>
      </c>
      <c r="AZ831" s="2" t="s">
        <v>60</v>
      </c>
    </row>
    <row r="832" spans="2:52" x14ac:dyDescent="0.15">
      <c r="B832" s="2" t="s">
        <v>2834</v>
      </c>
      <c r="C832" s="2" t="s">
        <v>2760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934</v>
      </c>
      <c r="L832" s="2" t="s">
        <v>2840</v>
      </c>
      <c r="M832" s="2" t="s">
        <v>1813</v>
      </c>
      <c r="N832" s="4"/>
      <c r="O832" s="2" t="s">
        <v>2838</v>
      </c>
      <c r="P832" s="2" t="s">
        <v>2838</v>
      </c>
      <c r="Q832" s="4">
        <v>0</v>
      </c>
      <c r="R832" s="2" t="s">
        <v>370</v>
      </c>
      <c r="S832" s="2" t="s">
        <v>435</v>
      </c>
      <c r="T832" s="2" t="s">
        <v>466</v>
      </c>
      <c r="U832" s="2" t="s">
        <v>702</v>
      </c>
      <c r="V832" s="2" t="s">
        <v>481</v>
      </c>
      <c r="W832" s="4">
        <v>0</v>
      </c>
      <c r="Y832" s="4">
        <v>0</v>
      </c>
      <c r="Z832" s="4" t="s">
        <v>39</v>
      </c>
      <c r="AA832" s="2" t="s">
        <v>60</v>
      </c>
      <c r="AB832" s="2" t="s">
        <v>176</v>
      </c>
      <c r="AC832" s="2" t="s">
        <v>257</v>
      </c>
      <c r="AD832" s="4">
        <v>98</v>
      </c>
      <c r="AE832" s="2" t="s">
        <v>185</v>
      </c>
      <c r="AF832" s="2" t="s">
        <v>554</v>
      </c>
      <c r="AG832" s="2" t="s">
        <v>1981</v>
      </c>
      <c r="AH832" s="2" t="s">
        <v>185</v>
      </c>
      <c r="AI832" s="2" t="s">
        <v>2830</v>
      </c>
      <c r="AJ832" s="4"/>
      <c r="AL832" s="4"/>
      <c r="AN832" s="4"/>
      <c r="AP832" s="4"/>
      <c r="AQ832" s="4"/>
      <c r="AS832" s="4">
        <v>1</v>
      </c>
      <c r="AT832" s="4">
        <v>1</v>
      </c>
      <c r="AU832" s="4">
        <v>3</v>
      </c>
      <c r="AV832" s="4">
        <v>1</v>
      </c>
      <c r="AW832" s="4">
        <v>2</v>
      </c>
      <c r="AX832" s="4">
        <v>1</v>
      </c>
      <c r="AZ832" s="2" t="s">
        <v>60</v>
      </c>
    </row>
    <row r="833" spans="2:52" x14ac:dyDescent="0.15">
      <c r="B833" s="2" t="s">
        <v>2838</v>
      </c>
      <c r="C833" s="2" t="s">
        <v>2839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2316</v>
      </c>
      <c r="L833" s="2" t="s">
        <v>2842</v>
      </c>
      <c r="N833" s="4"/>
      <c r="O833" s="2" t="s">
        <v>2841</v>
      </c>
      <c r="P833" s="2" t="s">
        <v>2841</v>
      </c>
      <c r="Q833" s="4">
        <v>0</v>
      </c>
      <c r="R833" s="2" t="s">
        <v>370</v>
      </c>
      <c r="S833" s="2" t="s">
        <v>435</v>
      </c>
      <c r="T833" s="2" t="s">
        <v>466</v>
      </c>
      <c r="U833" s="2" t="s">
        <v>456</v>
      </c>
      <c r="V833" s="2" t="s">
        <v>481</v>
      </c>
      <c r="W833" s="4">
        <v>0</v>
      </c>
      <c r="Y833" s="4">
        <v>0</v>
      </c>
      <c r="Z833" s="4" t="s">
        <v>39</v>
      </c>
      <c r="AA833" s="2" t="s">
        <v>60</v>
      </c>
      <c r="AB833" s="2" t="s">
        <v>19</v>
      </c>
      <c r="AC833" s="2" t="s">
        <v>102</v>
      </c>
      <c r="AD833" s="4">
        <v>82</v>
      </c>
      <c r="AE833" s="2" t="s">
        <v>837</v>
      </c>
      <c r="AF833" s="2" t="s">
        <v>78</v>
      </c>
      <c r="AG833" s="2" t="s">
        <v>960</v>
      </c>
      <c r="AH833" s="2" t="s">
        <v>185</v>
      </c>
      <c r="AI833" s="2" t="s">
        <v>2834</v>
      </c>
      <c r="AJ833" s="4"/>
      <c r="AL833" s="4"/>
      <c r="AN833" s="4"/>
      <c r="AP833" s="4"/>
      <c r="AQ833" s="4"/>
      <c r="AS833" s="4">
        <v>0</v>
      </c>
      <c r="AT833" s="4">
        <v>0</v>
      </c>
      <c r="AU833" s="4">
        <v>0</v>
      </c>
      <c r="AV833" s="4">
        <v>1</v>
      </c>
      <c r="AW833" s="4">
        <v>0</v>
      </c>
      <c r="AX833" s="4">
        <v>0</v>
      </c>
      <c r="AZ833" s="2" t="s">
        <v>60</v>
      </c>
    </row>
    <row r="834" spans="2:52" x14ac:dyDescent="0.15">
      <c r="B834" s="2" t="s">
        <v>2841</v>
      </c>
      <c r="C834" s="2" t="s">
        <v>2795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2521</v>
      </c>
      <c r="L834" s="2" t="s">
        <v>532</v>
      </c>
      <c r="N834" s="4"/>
      <c r="O834" s="2" t="s">
        <v>328</v>
      </c>
      <c r="P834" s="2" t="s">
        <v>328</v>
      </c>
      <c r="Q834" s="4">
        <v>0</v>
      </c>
      <c r="R834" s="2" t="s">
        <v>370</v>
      </c>
      <c r="S834" s="2" t="s">
        <v>435</v>
      </c>
      <c r="T834" s="2" t="s">
        <v>706</v>
      </c>
      <c r="U834" s="2" t="s">
        <v>762</v>
      </c>
      <c r="V834" s="2" t="s">
        <v>32</v>
      </c>
      <c r="W834" s="4">
        <v>0</v>
      </c>
      <c r="Y834" s="4">
        <v>0</v>
      </c>
      <c r="Z834" s="4" t="s">
        <v>39</v>
      </c>
      <c r="AA834" s="2" t="s">
        <v>60</v>
      </c>
      <c r="AB834" s="2" t="s">
        <v>413</v>
      </c>
      <c r="AC834" s="2" t="s">
        <v>4</v>
      </c>
      <c r="AD834" s="4">
        <v>100</v>
      </c>
      <c r="AE834" s="2" t="s">
        <v>195</v>
      </c>
      <c r="AF834" s="2" t="s">
        <v>176</v>
      </c>
      <c r="AG834" s="2" t="s">
        <v>1977</v>
      </c>
      <c r="AH834" s="2" t="s">
        <v>185</v>
      </c>
      <c r="AI834" s="2" t="s">
        <v>2838</v>
      </c>
      <c r="AJ834" s="4"/>
      <c r="AL834" s="4"/>
      <c r="AN834" s="4"/>
      <c r="AP834" s="4"/>
      <c r="AQ834" s="4"/>
      <c r="AS834" s="4">
        <v>1</v>
      </c>
      <c r="AT834" s="4">
        <v>1</v>
      </c>
      <c r="AU834" s="4">
        <v>3</v>
      </c>
      <c r="AV834" s="4">
        <v>1</v>
      </c>
      <c r="AW834" s="4">
        <v>3</v>
      </c>
      <c r="AX834" s="4">
        <v>1</v>
      </c>
      <c r="AZ834" s="2" t="s">
        <v>60</v>
      </c>
    </row>
    <row r="835" spans="2:52" x14ac:dyDescent="0.15">
      <c r="B835" s="2" t="s">
        <v>328</v>
      </c>
      <c r="C835" s="2" t="s">
        <v>2843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187</v>
      </c>
      <c r="L835" s="2" t="s">
        <v>2769</v>
      </c>
      <c r="N835" s="4"/>
      <c r="O835" s="2" t="s">
        <v>2844</v>
      </c>
      <c r="P835" s="2" t="s">
        <v>2844</v>
      </c>
      <c r="Q835" s="4">
        <v>0</v>
      </c>
      <c r="R835" s="2" t="s">
        <v>370</v>
      </c>
      <c r="S835" s="2" t="s">
        <v>435</v>
      </c>
      <c r="T835" s="2" t="s">
        <v>535</v>
      </c>
      <c r="U835" s="2" t="s">
        <v>961</v>
      </c>
      <c r="V835" s="2" t="s">
        <v>196</v>
      </c>
      <c r="W835" s="4">
        <v>0</v>
      </c>
      <c r="Y835" s="4">
        <v>0</v>
      </c>
      <c r="Z835" s="4" t="s">
        <v>39</v>
      </c>
      <c r="AA835" s="2" t="s">
        <v>60</v>
      </c>
      <c r="AB835" s="2" t="s">
        <v>413</v>
      </c>
      <c r="AC835" s="2" t="s">
        <v>153</v>
      </c>
      <c r="AD835" s="4">
        <v>95</v>
      </c>
      <c r="AE835" s="2" t="s">
        <v>195</v>
      </c>
      <c r="AF835" s="2" t="s">
        <v>445</v>
      </c>
      <c r="AG835" s="2" t="s">
        <v>691</v>
      </c>
      <c r="AH835" s="2" t="s">
        <v>185</v>
      </c>
      <c r="AI835" s="2" t="s">
        <v>2841</v>
      </c>
      <c r="AJ835" s="4"/>
      <c r="AL835" s="4"/>
      <c r="AN835" s="4"/>
      <c r="AP835" s="4"/>
      <c r="AQ835" s="4"/>
      <c r="AS835" s="4">
        <v>2</v>
      </c>
      <c r="AT835" s="4">
        <v>2</v>
      </c>
      <c r="AU835" s="4">
        <v>2</v>
      </c>
      <c r="AV835" s="4">
        <v>1</v>
      </c>
      <c r="AW835" s="4">
        <v>2</v>
      </c>
      <c r="AX835" s="4">
        <v>2</v>
      </c>
      <c r="AZ835" s="2" t="s">
        <v>60</v>
      </c>
    </row>
    <row r="836" spans="2:52" x14ac:dyDescent="0.15">
      <c r="B836" s="2" t="s">
        <v>2844</v>
      </c>
      <c r="C836" s="2" t="s">
        <v>2793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2845</v>
      </c>
      <c r="L836" s="2" t="s">
        <v>734</v>
      </c>
      <c r="N836" s="4"/>
      <c r="O836" s="2" t="s">
        <v>1119</v>
      </c>
      <c r="P836" s="2" t="s">
        <v>1119</v>
      </c>
      <c r="Q836" s="4">
        <v>0</v>
      </c>
      <c r="R836" s="2" t="s">
        <v>370</v>
      </c>
      <c r="S836" s="2" t="s">
        <v>435</v>
      </c>
      <c r="T836" s="2" t="s">
        <v>478</v>
      </c>
      <c r="U836" s="2" t="s">
        <v>395</v>
      </c>
      <c r="V836" s="2" t="s">
        <v>481</v>
      </c>
      <c r="W836" s="4">
        <v>0</v>
      </c>
      <c r="Y836" s="4">
        <v>0</v>
      </c>
      <c r="Z836" s="4" t="s">
        <v>39</v>
      </c>
      <c r="AA836" s="2" t="s">
        <v>60</v>
      </c>
      <c r="AB836" s="2" t="s">
        <v>107</v>
      </c>
      <c r="AC836" s="2" t="s">
        <v>103</v>
      </c>
      <c r="AD836" s="4">
        <v>86</v>
      </c>
      <c r="AE836" s="2" t="s">
        <v>228</v>
      </c>
      <c r="AF836" s="2" t="s">
        <v>78</v>
      </c>
      <c r="AG836" s="2" t="s">
        <v>800</v>
      </c>
      <c r="AH836" s="2" t="s">
        <v>185</v>
      </c>
      <c r="AI836" s="2" t="s">
        <v>328</v>
      </c>
      <c r="AJ836" s="4"/>
      <c r="AL836" s="4"/>
      <c r="AN836" s="4"/>
      <c r="AP836" s="4"/>
      <c r="AQ836" s="4"/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Z836" s="2" t="s">
        <v>60</v>
      </c>
    </row>
    <row r="837" spans="2:52" x14ac:dyDescent="0.15">
      <c r="N837" s="4"/>
      <c r="W837" s="4"/>
      <c r="Z837" s="4"/>
      <c r="AD837" s="4"/>
    </row>
    <row r="838" spans="2:52" x14ac:dyDescent="0.15">
      <c r="N838" s="4"/>
      <c r="W838" s="4"/>
      <c r="Z838" s="4"/>
      <c r="AD838" s="4"/>
    </row>
    <row r="839" spans="2:52" x14ac:dyDescent="0.15">
      <c r="N839" s="4"/>
      <c r="W839" s="4"/>
      <c r="Z839" s="4"/>
      <c r="AD839" s="4"/>
    </row>
    <row r="840" spans="2:52" x14ac:dyDescent="0.15">
      <c r="N840" s="4"/>
      <c r="W840" s="4"/>
      <c r="Z840" s="4"/>
      <c r="AD840" s="4"/>
    </row>
    <row r="841" spans="2:52" x14ac:dyDescent="0.15">
      <c r="N841" s="4"/>
      <c r="W841" s="4"/>
      <c r="Z841" s="4"/>
      <c r="AD841" s="4"/>
    </row>
    <row r="842" spans="2:52" x14ac:dyDescent="0.15">
      <c r="N842" s="4"/>
      <c r="W842" s="4"/>
      <c r="Z842" s="4"/>
      <c r="AD842" s="4"/>
    </row>
    <row r="843" spans="2:52" x14ac:dyDescent="0.15">
      <c r="N843" s="4"/>
      <c r="W843" s="4"/>
      <c r="Z843" s="4"/>
      <c r="AD843" s="4"/>
    </row>
    <row r="844" spans="2:52" x14ac:dyDescent="0.15">
      <c r="N844" s="4"/>
      <c r="W844" s="4"/>
      <c r="Z844" s="4"/>
      <c r="AD844" s="4"/>
    </row>
    <row r="845" spans="2:52" x14ac:dyDescent="0.15">
      <c r="N845" s="4"/>
      <c r="W845" s="4"/>
      <c r="Z845" s="4"/>
      <c r="AD845" s="4"/>
    </row>
    <row r="846" spans="2:52" x14ac:dyDescent="0.15">
      <c r="N846" s="4"/>
      <c r="W846" s="4"/>
      <c r="Z846" s="4"/>
      <c r="AD846" s="4"/>
    </row>
    <row r="847" spans="2:52" x14ac:dyDescent="0.15">
      <c r="N847" s="4"/>
      <c r="W847" s="4"/>
      <c r="Z847" s="4"/>
      <c r="AD847" s="4"/>
    </row>
    <row r="848" spans="2:52" x14ac:dyDescent="0.15">
      <c r="N848" s="4"/>
      <c r="W848" s="4"/>
      <c r="Z848" s="4"/>
      <c r="AD848" s="4"/>
    </row>
    <row r="849" spans="14:30" x14ac:dyDescent="0.15">
      <c r="N849" s="4"/>
      <c r="W849" s="4"/>
      <c r="Z849" s="4"/>
      <c r="AD849" s="4"/>
    </row>
    <row r="850" spans="14:30" x14ac:dyDescent="0.15">
      <c r="N850" s="4"/>
      <c r="W850" s="4"/>
      <c r="Z850" s="4"/>
      <c r="AD850" s="4"/>
    </row>
    <row r="851" spans="14:30" x14ac:dyDescent="0.15">
      <c r="N851" s="4"/>
      <c r="W851" s="4"/>
      <c r="Z851" s="4"/>
      <c r="AD851" s="4"/>
    </row>
    <row r="852" spans="14:30" x14ac:dyDescent="0.15">
      <c r="N852" s="4"/>
      <c r="W852" s="4"/>
      <c r="Z852" s="4"/>
      <c r="AD852" s="4"/>
    </row>
    <row r="853" spans="14:30" x14ac:dyDescent="0.15">
      <c r="N853" s="4"/>
      <c r="W853" s="4"/>
      <c r="Z853" s="4"/>
      <c r="AD853" s="4"/>
    </row>
    <row r="854" spans="14:30" x14ac:dyDescent="0.15">
      <c r="N854" s="4"/>
      <c r="W854" s="4"/>
      <c r="Z854" s="4"/>
      <c r="AD854" s="4"/>
    </row>
    <row r="855" spans="14:30" x14ac:dyDescent="0.15">
      <c r="N855" s="4"/>
      <c r="W855" s="4"/>
      <c r="Z855" s="4"/>
      <c r="AD855" s="4"/>
    </row>
    <row r="856" spans="14:30" x14ac:dyDescent="0.15">
      <c r="N856" s="4"/>
      <c r="W856" s="4"/>
      <c r="Z856" s="4"/>
      <c r="AD856" s="4"/>
    </row>
    <row r="857" spans="14:30" x14ac:dyDescent="0.15">
      <c r="N857" s="4"/>
      <c r="W857" s="4"/>
      <c r="Z857" s="4"/>
      <c r="AD857" s="4"/>
    </row>
    <row r="858" spans="14:30" x14ac:dyDescent="0.15">
      <c r="N858" s="4"/>
      <c r="W858" s="4"/>
      <c r="Z858" s="4"/>
      <c r="AD858" s="4"/>
    </row>
    <row r="859" spans="14:30" x14ac:dyDescent="0.15">
      <c r="N859" s="4"/>
      <c r="W859" s="4"/>
      <c r="Z859" s="4"/>
      <c r="AD859" s="4"/>
    </row>
    <row r="860" spans="14:30" x14ac:dyDescent="0.15">
      <c r="N860" s="4"/>
      <c r="W860" s="4"/>
      <c r="Z860" s="4"/>
      <c r="AD860" s="4"/>
    </row>
    <row r="861" spans="14:30" x14ac:dyDescent="0.15">
      <c r="N861" s="4"/>
      <c r="W861" s="4"/>
      <c r="Z861" s="4"/>
      <c r="AD861" s="4"/>
    </row>
    <row r="862" spans="14:30" x14ac:dyDescent="0.15">
      <c r="N862" s="4"/>
      <c r="W862" s="4"/>
      <c r="Z862" s="4"/>
      <c r="AD862" s="4"/>
    </row>
    <row r="863" spans="14:30" x14ac:dyDescent="0.15">
      <c r="N863" s="4"/>
      <c r="W863" s="4"/>
      <c r="Z863" s="4"/>
      <c r="AD863" s="4"/>
    </row>
    <row r="864" spans="14:30" x14ac:dyDescent="0.15">
      <c r="N864" s="4"/>
      <c r="W864" s="4"/>
      <c r="Z864" s="4"/>
      <c r="AD864" s="4"/>
    </row>
    <row r="865" spans="14:30" x14ac:dyDescent="0.15">
      <c r="N865" s="4"/>
      <c r="W865" s="4"/>
      <c r="Z865" s="4"/>
      <c r="AD865" s="4"/>
    </row>
    <row r="866" spans="14:30" x14ac:dyDescent="0.15">
      <c r="N866" s="4"/>
      <c r="W866" s="4"/>
      <c r="Z866" s="4"/>
      <c r="AD866" s="4"/>
    </row>
    <row r="867" spans="14:30" x14ac:dyDescent="0.15">
      <c r="N867" s="4"/>
      <c r="W867" s="4"/>
      <c r="Z867" s="4"/>
      <c r="AD867" s="4"/>
    </row>
    <row r="868" spans="14:30" x14ac:dyDescent="0.15">
      <c r="N868" s="4"/>
      <c r="W868" s="4"/>
      <c r="Z868" s="4"/>
      <c r="AD868" s="4"/>
    </row>
    <row r="869" spans="14:30" x14ac:dyDescent="0.15">
      <c r="N869" s="4"/>
      <c r="W869" s="4"/>
      <c r="Z869" s="4"/>
      <c r="AD869" s="4"/>
    </row>
    <row r="870" spans="14:30" x14ac:dyDescent="0.15">
      <c r="N870" s="4"/>
      <c r="W870" s="4"/>
      <c r="Z870" s="4"/>
      <c r="AD870" s="4"/>
    </row>
    <row r="871" spans="14:30" x14ac:dyDescent="0.15">
      <c r="N871" s="4"/>
      <c r="W871" s="4"/>
      <c r="Z871" s="4"/>
      <c r="AD871" s="4"/>
    </row>
    <row r="872" spans="14:30" x14ac:dyDescent="0.15">
      <c r="N872" s="4"/>
      <c r="W872" s="4"/>
      <c r="Z872" s="4"/>
      <c r="AD872" s="4"/>
    </row>
    <row r="873" spans="14:30" x14ac:dyDescent="0.15">
      <c r="N873" s="4"/>
      <c r="W873" s="4"/>
      <c r="Z873" s="4"/>
      <c r="AD873" s="4"/>
    </row>
    <row r="874" spans="14:30" x14ac:dyDescent="0.15">
      <c r="N874" s="4"/>
      <c r="W874" s="4"/>
      <c r="Z874" s="4"/>
      <c r="AD874" s="4"/>
    </row>
    <row r="875" spans="14:30" x14ac:dyDescent="0.15">
      <c r="N875" s="4"/>
      <c r="W875" s="4"/>
      <c r="Z875" s="4"/>
      <c r="AD875" s="4"/>
    </row>
    <row r="876" spans="14:30" x14ac:dyDescent="0.15">
      <c r="N876" s="4"/>
      <c r="W876" s="4"/>
      <c r="Z876" s="4"/>
      <c r="AD876" s="4"/>
    </row>
    <row r="877" spans="14:30" x14ac:dyDescent="0.15">
      <c r="N877" s="4"/>
      <c r="W877" s="4"/>
      <c r="Z877" s="4"/>
      <c r="AD877" s="4"/>
    </row>
    <row r="878" spans="14:30" x14ac:dyDescent="0.15">
      <c r="N878" s="4"/>
      <c r="W878" s="4"/>
      <c r="Z878" s="4"/>
      <c r="AD878" s="4"/>
    </row>
    <row r="879" spans="14:30" x14ac:dyDescent="0.15">
      <c r="N879" s="4"/>
      <c r="W879" s="4"/>
      <c r="Z879" s="4"/>
      <c r="AD879" s="4"/>
    </row>
    <row r="880" spans="14:30" x14ac:dyDescent="0.15">
      <c r="N880" s="4"/>
      <c r="W880" s="4"/>
      <c r="Z880" s="4"/>
      <c r="AD880" s="4"/>
    </row>
    <row r="881" spans="14:30" x14ac:dyDescent="0.15">
      <c r="N881" s="4"/>
      <c r="W881" s="4"/>
      <c r="Z881" s="4"/>
      <c r="AD881" s="4"/>
    </row>
    <row r="882" spans="14:30" x14ac:dyDescent="0.15">
      <c r="N882" s="4"/>
      <c r="W882" s="4"/>
      <c r="Z882" s="4"/>
      <c r="AD882" s="4"/>
    </row>
    <row r="883" spans="14:30" x14ac:dyDescent="0.15">
      <c r="N883" s="4"/>
      <c r="W883" s="4"/>
      <c r="Z883" s="4"/>
      <c r="AD883" s="4"/>
    </row>
    <row r="884" spans="14:30" x14ac:dyDescent="0.15">
      <c r="N884" s="4"/>
      <c r="W884" s="4"/>
      <c r="Z884" s="4"/>
      <c r="AD884" s="4"/>
    </row>
    <row r="885" spans="14:30" x14ac:dyDescent="0.15">
      <c r="N885" s="4"/>
      <c r="W885" s="4"/>
      <c r="Z885" s="4"/>
      <c r="AD885" s="4"/>
    </row>
    <row r="886" spans="14:30" x14ac:dyDescent="0.15">
      <c r="N886" s="4"/>
      <c r="W886" s="4"/>
      <c r="Z886" s="4"/>
      <c r="AD886" s="4"/>
    </row>
    <row r="887" spans="14:30" x14ac:dyDescent="0.15">
      <c r="N887" s="4"/>
      <c r="W887" s="4"/>
      <c r="Z887" s="4"/>
      <c r="AD887" s="4"/>
    </row>
    <row r="888" spans="14:30" x14ac:dyDescent="0.15">
      <c r="N888" s="4"/>
      <c r="W888" s="4"/>
      <c r="Z888" s="4"/>
      <c r="AD888" s="4"/>
    </row>
    <row r="889" spans="14:30" x14ac:dyDescent="0.15">
      <c r="N889" s="4"/>
      <c r="W889" s="4"/>
      <c r="Z889" s="4"/>
      <c r="AD889" s="4"/>
    </row>
    <row r="890" spans="14:30" x14ac:dyDescent="0.15">
      <c r="N890" s="4"/>
      <c r="W890" s="4"/>
      <c r="Z890" s="4"/>
      <c r="AD890" s="4"/>
    </row>
    <row r="891" spans="14:30" x14ac:dyDescent="0.15">
      <c r="Z891" s="4"/>
      <c r="AD891" s="4"/>
    </row>
    <row r="892" spans="14:30" x14ac:dyDescent="0.15">
      <c r="Z892" s="4"/>
      <c r="AD892" s="4"/>
    </row>
    <row r="893" spans="14:30" x14ac:dyDescent="0.15">
      <c r="Z893" s="4"/>
      <c r="AD893" s="4"/>
    </row>
    <row r="894" spans="14:30" x14ac:dyDescent="0.15">
      <c r="Z894" s="4"/>
      <c r="AD894" s="4"/>
    </row>
    <row r="895" spans="14:30" x14ac:dyDescent="0.15">
      <c r="Z895" s="4"/>
      <c r="AD895" s="4"/>
    </row>
    <row r="896" spans="14:30" x14ac:dyDescent="0.15">
      <c r="Z896" s="4"/>
      <c r="AD896" s="4"/>
    </row>
    <row r="897" spans="26:30" x14ac:dyDescent="0.15">
      <c r="Z897" s="4"/>
      <c r="AD897" s="4"/>
    </row>
    <row r="898" spans="26:30" x14ac:dyDescent="0.15">
      <c r="Z898" s="4"/>
      <c r="AD898" s="4"/>
    </row>
    <row r="899" spans="26:30" x14ac:dyDescent="0.15">
      <c r="Z899" s="4"/>
      <c r="AD899" s="4"/>
    </row>
    <row r="900" spans="26:30" x14ac:dyDescent="0.15">
      <c r="Z900" s="4"/>
      <c r="AD900" s="4"/>
    </row>
    <row r="901" spans="26:30" x14ac:dyDescent="0.15">
      <c r="Z901" s="4"/>
      <c r="AD901" s="4"/>
    </row>
    <row r="902" spans="26:30" x14ac:dyDescent="0.15">
      <c r="Z902" s="4"/>
      <c r="AD902" s="4"/>
    </row>
    <row r="903" spans="26:30" x14ac:dyDescent="0.15">
      <c r="Z903" s="4"/>
      <c r="AD903" s="4"/>
    </row>
    <row r="904" spans="26:30" x14ac:dyDescent="0.15">
      <c r="Z904" s="4"/>
      <c r="AD904" s="4"/>
    </row>
    <row r="905" spans="26:30" x14ac:dyDescent="0.15">
      <c r="Z905" s="4"/>
      <c r="AD905" s="4"/>
    </row>
    <row r="906" spans="26:30" x14ac:dyDescent="0.15">
      <c r="Z906" s="4"/>
      <c r="AD906" s="4"/>
    </row>
    <row r="907" spans="26:30" x14ac:dyDescent="0.15">
      <c r="Z907" s="4"/>
      <c r="AD907" s="4"/>
    </row>
    <row r="908" spans="26:30" x14ac:dyDescent="0.15">
      <c r="Z908" s="4"/>
      <c r="AD908" s="4"/>
    </row>
    <row r="909" spans="26:30" x14ac:dyDescent="0.15">
      <c r="Z909" s="4"/>
      <c r="AD909" s="4"/>
    </row>
    <row r="910" spans="26:30" x14ac:dyDescent="0.15">
      <c r="Z910" s="4"/>
      <c r="AD910" s="4"/>
    </row>
    <row r="911" spans="26:30" x14ac:dyDescent="0.15">
      <c r="Z911" s="4"/>
      <c r="AD911" s="4"/>
    </row>
    <row r="912" spans="26:30" x14ac:dyDescent="0.15">
      <c r="Z912" s="4"/>
      <c r="AD912" s="4"/>
    </row>
    <row r="913" spans="26:30" x14ac:dyDescent="0.15">
      <c r="Z913" s="4"/>
      <c r="AD913" s="4"/>
    </row>
    <row r="914" spans="26:30" x14ac:dyDescent="0.15">
      <c r="Z914" s="4"/>
      <c r="AD914" s="4"/>
    </row>
    <row r="915" spans="26:30" x14ac:dyDescent="0.15">
      <c r="Z915" s="4"/>
      <c r="AD915" s="4"/>
    </row>
    <row r="916" spans="26:30" x14ac:dyDescent="0.15">
      <c r="Z916" s="4"/>
      <c r="AD916" s="4"/>
    </row>
    <row r="917" spans="26:30" x14ac:dyDescent="0.15">
      <c r="Z917" s="4"/>
      <c r="AD917" s="4"/>
    </row>
    <row r="918" spans="26:30" x14ac:dyDescent="0.15">
      <c r="Z918" s="4"/>
      <c r="AD918" s="4"/>
    </row>
    <row r="919" spans="26:30" x14ac:dyDescent="0.15">
      <c r="Z919" s="4"/>
      <c r="AD919" s="4"/>
    </row>
    <row r="920" spans="26:30" x14ac:dyDescent="0.15">
      <c r="Z920" s="4"/>
      <c r="AD920" s="4"/>
    </row>
    <row r="921" spans="26:30" x14ac:dyDescent="0.15">
      <c r="Z921" s="4"/>
      <c r="AD921" s="4"/>
    </row>
    <row r="922" spans="26:30" x14ac:dyDescent="0.15">
      <c r="Z922" s="4"/>
      <c r="AD922" s="4"/>
    </row>
    <row r="923" spans="26:30" x14ac:dyDescent="0.15">
      <c r="Z923" s="4"/>
      <c r="AD923" s="4"/>
    </row>
    <row r="924" spans="26:30" x14ac:dyDescent="0.15">
      <c r="Z924" s="4"/>
      <c r="AD924" s="4"/>
    </row>
    <row r="925" spans="26:30" x14ac:dyDescent="0.15">
      <c r="Z925" s="4"/>
      <c r="AD925" s="4"/>
    </row>
    <row r="926" spans="26:30" x14ac:dyDescent="0.15">
      <c r="Z926" s="4"/>
      <c r="AD926" s="4"/>
    </row>
    <row r="927" spans="26:30" x14ac:dyDescent="0.15">
      <c r="Z927" s="4"/>
      <c r="AD927" s="4"/>
    </row>
    <row r="928" spans="26:30" x14ac:dyDescent="0.15">
      <c r="Z928" s="4"/>
      <c r="AD928" s="4"/>
    </row>
    <row r="929" spans="26:30" x14ac:dyDescent="0.15">
      <c r="Z929" s="4"/>
      <c r="AD929" s="4"/>
    </row>
    <row r="930" spans="26:30" x14ac:dyDescent="0.15">
      <c r="Z930" s="4"/>
      <c r="AD930" s="4"/>
    </row>
    <row r="931" spans="26:30" x14ac:dyDescent="0.15">
      <c r="Z931" s="4"/>
      <c r="AD931" s="4"/>
    </row>
    <row r="932" spans="26:30" x14ac:dyDescent="0.15">
      <c r="Z932" s="4"/>
      <c r="AD932" s="4"/>
    </row>
    <row r="933" spans="26:30" x14ac:dyDescent="0.15">
      <c r="Z933" s="4"/>
      <c r="AD933" s="4"/>
    </row>
    <row r="934" spans="26:30" x14ac:dyDescent="0.15">
      <c r="Z934" s="4"/>
      <c r="AD934" s="4"/>
    </row>
    <row r="935" spans="26:30" x14ac:dyDescent="0.15">
      <c r="Z935" s="4"/>
      <c r="AD935" s="4"/>
    </row>
    <row r="936" spans="26:30" x14ac:dyDescent="0.15">
      <c r="Z936" s="4"/>
      <c r="AD936" s="4"/>
    </row>
    <row r="937" spans="26:30" x14ac:dyDescent="0.15">
      <c r="Z937" s="4"/>
      <c r="AD937" s="4"/>
    </row>
    <row r="938" spans="26:30" x14ac:dyDescent="0.15">
      <c r="Z938" s="4"/>
      <c r="AD938" s="4"/>
    </row>
    <row r="939" spans="26:30" x14ac:dyDescent="0.15">
      <c r="Z939" s="4"/>
      <c r="AD939" s="4"/>
    </row>
    <row r="940" spans="26:30" x14ac:dyDescent="0.15">
      <c r="Z940" s="4"/>
      <c r="AD940" s="4"/>
    </row>
    <row r="941" spans="26:30" x14ac:dyDescent="0.15">
      <c r="Z941" s="4"/>
      <c r="AD941" s="4"/>
    </row>
    <row r="942" spans="26:30" x14ac:dyDescent="0.15">
      <c r="Z942" s="4"/>
      <c r="AD942" s="4"/>
    </row>
    <row r="943" spans="26:30" x14ac:dyDescent="0.15">
      <c r="Z943" s="4"/>
      <c r="AD943" s="4"/>
    </row>
    <row r="944" spans="26:30" x14ac:dyDescent="0.15">
      <c r="Z944" s="4"/>
      <c r="AD944" s="4"/>
    </row>
    <row r="945" spans="26:30" x14ac:dyDescent="0.15">
      <c r="Z945" s="4"/>
      <c r="AD945" s="4"/>
    </row>
    <row r="946" spans="26:30" x14ac:dyDescent="0.15">
      <c r="Z946" s="4"/>
      <c r="AD946" s="4"/>
    </row>
    <row r="947" spans="26:30" x14ac:dyDescent="0.15">
      <c r="Z947" s="4"/>
      <c r="AD947" s="4"/>
    </row>
    <row r="948" spans="26:30" x14ac:dyDescent="0.15">
      <c r="Z948" s="4"/>
      <c r="AD948" s="4"/>
    </row>
    <row r="949" spans="26:30" x14ac:dyDescent="0.15">
      <c r="Z949" s="4"/>
      <c r="AD949" s="4"/>
    </row>
    <row r="950" spans="26:30" x14ac:dyDescent="0.15">
      <c r="Z950" s="4"/>
      <c r="AD950" s="4"/>
    </row>
    <row r="951" spans="26:30" x14ac:dyDescent="0.15">
      <c r="Z951" s="4"/>
      <c r="AD951" s="4"/>
    </row>
    <row r="952" spans="26:30" x14ac:dyDescent="0.15">
      <c r="Z952" s="4"/>
      <c r="AD952" s="4"/>
    </row>
    <row r="953" spans="26:30" x14ac:dyDescent="0.15">
      <c r="Z953" s="4"/>
      <c r="AD953" s="4"/>
    </row>
    <row r="954" spans="26:30" x14ac:dyDescent="0.15">
      <c r="Z954" s="4"/>
      <c r="AD954" s="4"/>
    </row>
    <row r="955" spans="26:30" x14ac:dyDescent="0.15">
      <c r="Z955" s="4"/>
      <c r="AD955" s="4"/>
    </row>
    <row r="956" spans="26:30" x14ac:dyDescent="0.15">
      <c r="Z956" s="4"/>
      <c r="AD956" s="4"/>
    </row>
    <row r="957" spans="26:30" x14ac:dyDescent="0.15">
      <c r="Z957" s="4"/>
      <c r="AD957" s="4"/>
    </row>
    <row r="958" spans="26:30" x14ac:dyDescent="0.15">
      <c r="Z958" s="4"/>
      <c r="AD958" s="4"/>
    </row>
    <row r="959" spans="26:30" x14ac:dyDescent="0.15">
      <c r="Z959" s="4"/>
      <c r="AD959" s="4"/>
    </row>
    <row r="960" spans="26:30" x14ac:dyDescent="0.15">
      <c r="Z960" s="4"/>
      <c r="AD960" s="4"/>
    </row>
    <row r="961" spans="26:30" x14ac:dyDescent="0.15">
      <c r="Z961" s="4"/>
      <c r="AD961" s="4"/>
    </row>
    <row r="962" spans="26:30" x14ac:dyDescent="0.15">
      <c r="Z962" s="4"/>
      <c r="AD962" s="4"/>
    </row>
    <row r="963" spans="26:30" x14ac:dyDescent="0.15">
      <c r="Z963" s="4"/>
      <c r="AD963" s="4"/>
    </row>
    <row r="964" spans="26:30" x14ac:dyDescent="0.15">
      <c r="Z964" s="4"/>
      <c r="AD964" s="4"/>
    </row>
    <row r="965" spans="26:30" x14ac:dyDescent="0.15">
      <c r="Z965" s="4"/>
      <c r="AD965" s="4"/>
    </row>
    <row r="966" spans="26:30" x14ac:dyDescent="0.15">
      <c r="Z966" s="4"/>
      <c r="AD966" s="4"/>
    </row>
    <row r="967" spans="26:30" x14ac:dyDescent="0.15">
      <c r="Z967" s="4"/>
      <c r="AD967" s="4"/>
    </row>
    <row r="968" spans="26:30" x14ac:dyDescent="0.15">
      <c r="Z968" s="4"/>
      <c r="AD968" s="4"/>
    </row>
    <row r="969" spans="26:30" x14ac:dyDescent="0.15">
      <c r="Z969" s="4"/>
      <c r="AD969" s="4"/>
    </row>
    <row r="970" spans="26:30" x14ac:dyDescent="0.15">
      <c r="Z970" s="4"/>
      <c r="AD970" s="4"/>
    </row>
    <row r="971" spans="26:30" x14ac:dyDescent="0.15">
      <c r="Z971" s="4"/>
      <c r="AD971" s="4"/>
    </row>
    <row r="972" spans="26:30" x14ac:dyDescent="0.15">
      <c r="Z972" s="4"/>
      <c r="AD972" s="4"/>
    </row>
    <row r="973" spans="26:30" x14ac:dyDescent="0.15">
      <c r="Z973" s="4"/>
      <c r="AD973" s="4"/>
    </row>
    <row r="974" spans="26:30" x14ac:dyDescent="0.15">
      <c r="Z974" s="4"/>
      <c r="AD974" s="4"/>
    </row>
    <row r="975" spans="26:30" x14ac:dyDescent="0.15">
      <c r="Z975" s="4"/>
      <c r="AD975" s="4"/>
    </row>
    <row r="976" spans="26:30" x14ac:dyDescent="0.15">
      <c r="Z976" s="4"/>
      <c r="AD976" s="4"/>
    </row>
    <row r="977" spans="26:30" x14ac:dyDescent="0.1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M47"/>
  <sheetViews>
    <sheetView topLeftCell="A4" zoomScale="95" zoomScaleNormal="95" workbookViewId="0">
      <selection activeCell="B31" sqref="B31"/>
    </sheetView>
  </sheetViews>
  <sheetFormatPr defaultColWidth="9" defaultRowHeight="13.5" x14ac:dyDescent="0.15"/>
  <cols>
    <col min="1" max="1" width="6.625" style="2" bestFit="1" customWidth="1"/>
    <col min="2" max="2" width="5.875" style="2" bestFit="1" customWidth="1"/>
    <col min="3" max="3" width="13.5" style="4" bestFit="1" customWidth="1"/>
    <col min="4" max="4" width="9.5" style="4" bestFit="1" customWidth="1"/>
    <col min="5" max="5" width="16.125" style="4" bestFit="1" customWidth="1"/>
    <col min="6" max="6" width="9.5" style="2" bestFit="1" customWidth="1"/>
    <col min="7" max="7" width="3.75" style="4" bestFit="1" customWidth="1"/>
    <col min="8" max="8" width="5.875" style="4" bestFit="1" customWidth="1"/>
    <col min="9" max="9" width="3.75" style="4" bestFit="1" customWidth="1"/>
    <col min="10" max="10" width="5.875" style="2" bestFit="1" customWidth="1"/>
    <col min="11" max="11" width="8.625" style="2" bestFit="1" customWidth="1"/>
    <col min="12" max="12" width="18.625" style="2" bestFit="1" customWidth="1"/>
    <col min="13" max="13" width="13.5" style="2" bestFit="1" customWidth="1"/>
    <col min="14" max="16384" width="9" style="2"/>
  </cols>
  <sheetData>
    <row r="1" spans="1:13" s="15" customFormat="1" ht="57.75" customHeight="1" x14ac:dyDescent="0.15">
      <c r="A1" s="15" t="s">
        <v>3065</v>
      </c>
      <c r="B1" s="16" t="s">
        <v>0</v>
      </c>
      <c r="C1" s="17" t="s">
        <v>2</v>
      </c>
      <c r="E1" s="16" t="s">
        <v>55</v>
      </c>
      <c r="G1" s="17"/>
      <c r="H1" s="17" t="s">
        <v>56</v>
      </c>
      <c r="I1" s="17"/>
      <c r="J1" s="16" t="s">
        <v>57</v>
      </c>
      <c r="K1" s="16" t="s">
        <v>58</v>
      </c>
      <c r="L1" s="15" t="s">
        <v>3251</v>
      </c>
      <c r="M1" s="15" t="s">
        <v>3253</v>
      </c>
    </row>
    <row r="2" spans="1:13" s="1" customFormat="1" ht="16.5" customHeight="1" x14ac:dyDescent="0.15">
      <c r="A2" s="1" t="s">
        <v>2866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3" s="10" customFormat="1" ht="15.75" customHeight="1" x14ac:dyDescent="0.15">
      <c r="A3" s="10" t="s">
        <v>3140</v>
      </c>
      <c r="B3" s="10" t="s">
        <v>3153</v>
      </c>
      <c r="C3" s="11" t="s">
        <v>3288</v>
      </c>
      <c r="D3" s="11" t="s">
        <v>3140</v>
      </c>
      <c r="E3" s="10" t="s">
        <v>3286</v>
      </c>
      <c r="F3" s="10" t="s">
        <v>3140</v>
      </c>
      <c r="G3" s="11" t="s">
        <v>3140</v>
      </c>
      <c r="H3" s="11" t="s">
        <v>3140</v>
      </c>
      <c r="I3" s="11" t="s">
        <v>3140</v>
      </c>
      <c r="J3" s="10" t="s">
        <v>3140</v>
      </c>
      <c r="K3" s="10" t="s">
        <v>3287</v>
      </c>
      <c r="L3" s="10" t="s">
        <v>3250</v>
      </c>
      <c r="M3" s="10" t="s">
        <v>3252</v>
      </c>
    </row>
    <row r="4" spans="1:13" s="24" customFormat="1" ht="15.75" customHeight="1" x14ac:dyDescent="0.15">
      <c r="A4" s="26" t="s">
        <v>3140</v>
      </c>
      <c r="B4" s="24" t="s">
        <v>3139</v>
      </c>
      <c r="C4" s="25" t="s">
        <v>3139</v>
      </c>
      <c r="D4" s="25" t="s">
        <v>3140</v>
      </c>
      <c r="E4" s="25" t="s">
        <v>3139</v>
      </c>
      <c r="F4" s="24" t="s">
        <v>3140</v>
      </c>
      <c r="G4" s="25" t="s">
        <v>3140</v>
      </c>
      <c r="H4" s="25" t="s">
        <v>3140</v>
      </c>
      <c r="I4" s="25" t="s">
        <v>3140</v>
      </c>
      <c r="J4" s="24" t="s">
        <v>3140</v>
      </c>
      <c r="K4" s="24" t="s">
        <v>3128</v>
      </c>
      <c r="L4" s="24" t="s">
        <v>3139</v>
      </c>
      <c r="M4" s="24" t="s">
        <v>3139</v>
      </c>
    </row>
    <row r="5" spans="1:13" x14ac:dyDescent="0.15">
      <c r="B5" s="2" t="s">
        <v>27</v>
      </c>
      <c r="C5" s="4" t="s">
        <v>511</v>
      </c>
      <c r="D5" s="4" t="s">
        <v>9</v>
      </c>
      <c r="E5" s="4" t="s">
        <v>444</v>
      </c>
      <c r="F5" s="4" t="s">
        <v>160</v>
      </c>
      <c r="G5" s="4">
        <v>6</v>
      </c>
      <c r="H5" s="4" t="s">
        <v>61</v>
      </c>
      <c r="I5" s="4" t="s">
        <v>60</v>
      </c>
      <c r="J5" s="2" t="s">
        <v>2851</v>
      </c>
      <c r="K5" s="2" t="s">
        <v>54</v>
      </c>
      <c r="L5" s="2" t="s">
        <v>2852</v>
      </c>
      <c r="M5" s="2" t="s">
        <v>54</v>
      </c>
    </row>
    <row r="6" spans="1:13" x14ac:dyDescent="0.15">
      <c r="B6" s="2" t="s">
        <v>35</v>
      </c>
      <c r="C6" s="4" t="s">
        <v>999</v>
      </c>
      <c r="D6" s="4" t="s">
        <v>11</v>
      </c>
      <c r="E6" s="4" t="s">
        <v>1042</v>
      </c>
      <c r="F6" s="4" t="s">
        <v>16</v>
      </c>
      <c r="G6" s="4">
        <v>8</v>
      </c>
      <c r="H6" s="4" t="s">
        <v>62</v>
      </c>
      <c r="I6" s="4" t="s">
        <v>60</v>
      </c>
      <c r="J6" s="2" t="s">
        <v>2851</v>
      </c>
      <c r="K6" s="2" t="s">
        <v>35</v>
      </c>
      <c r="L6" s="2" t="s">
        <v>2852</v>
      </c>
      <c r="M6" s="2" t="s">
        <v>54</v>
      </c>
    </row>
    <row r="7" spans="1:13" x14ac:dyDescent="0.15">
      <c r="B7" s="2" t="s">
        <v>31</v>
      </c>
      <c r="C7" s="4" t="s">
        <v>876</v>
      </c>
      <c r="D7" s="4" t="s">
        <v>12</v>
      </c>
      <c r="E7" s="4" t="s">
        <v>786</v>
      </c>
      <c r="F7" s="4" t="s">
        <v>22</v>
      </c>
      <c r="G7" s="4">
        <v>9</v>
      </c>
      <c r="H7" s="4" t="s">
        <v>63</v>
      </c>
      <c r="I7" s="4" t="s">
        <v>60</v>
      </c>
      <c r="J7" s="2" t="s">
        <v>2851</v>
      </c>
      <c r="K7" s="2" t="s">
        <v>31</v>
      </c>
      <c r="L7" s="2" t="s">
        <v>60</v>
      </c>
      <c r="M7" s="2" t="s">
        <v>27</v>
      </c>
    </row>
    <row r="8" spans="1:13" x14ac:dyDescent="0.15">
      <c r="B8" s="2" t="s">
        <v>37</v>
      </c>
      <c r="C8" s="4" t="s">
        <v>543</v>
      </c>
      <c r="D8" s="4" t="s">
        <v>38</v>
      </c>
      <c r="E8" s="4" t="s">
        <v>1645</v>
      </c>
      <c r="F8" s="4" t="s">
        <v>2306</v>
      </c>
      <c r="G8" s="4">
        <v>6</v>
      </c>
      <c r="H8" s="4" t="s">
        <v>61</v>
      </c>
      <c r="I8" s="4" t="s">
        <v>60</v>
      </c>
      <c r="J8" s="2" t="s">
        <v>2851</v>
      </c>
      <c r="K8" s="2" t="s">
        <v>37</v>
      </c>
      <c r="L8" s="2" t="s">
        <v>60</v>
      </c>
      <c r="M8" s="2" t="s">
        <v>27</v>
      </c>
    </row>
    <row r="9" spans="1:13" x14ac:dyDescent="0.15">
      <c r="B9" s="2" t="s">
        <v>33</v>
      </c>
      <c r="C9" s="4" t="s">
        <v>2462</v>
      </c>
      <c r="D9" s="4" t="s">
        <v>2458</v>
      </c>
      <c r="E9" s="4" t="s">
        <v>779</v>
      </c>
      <c r="F9" s="4" t="s">
        <v>1168</v>
      </c>
      <c r="G9" s="4">
        <v>7</v>
      </c>
      <c r="H9" s="4" t="s">
        <v>65</v>
      </c>
      <c r="I9" s="4" t="s">
        <v>60</v>
      </c>
      <c r="J9" s="2" t="s">
        <v>2851</v>
      </c>
      <c r="K9" s="2" t="s">
        <v>33</v>
      </c>
      <c r="L9" s="2" t="s">
        <v>60</v>
      </c>
      <c r="M9" s="2" t="s">
        <v>27</v>
      </c>
    </row>
    <row r="10" spans="1:13" x14ac:dyDescent="0.15">
      <c r="B10" s="2" t="s">
        <v>36</v>
      </c>
      <c r="C10" s="4" t="s">
        <v>1054</v>
      </c>
      <c r="D10" s="4" t="s">
        <v>1055</v>
      </c>
      <c r="E10" s="4" t="s">
        <v>1346</v>
      </c>
      <c r="F10" s="4" t="s">
        <v>2440</v>
      </c>
      <c r="G10" s="4">
        <v>7</v>
      </c>
      <c r="H10" s="4" t="s">
        <v>65</v>
      </c>
      <c r="I10" s="4" t="s">
        <v>60</v>
      </c>
      <c r="J10" s="2" t="s">
        <v>2851</v>
      </c>
      <c r="K10" s="2" t="s">
        <v>36</v>
      </c>
      <c r="L10" s="2" t="s">
        <v>60</v>
      </c>
      <c r="M10" s="2" t="s">
        <v>27</v>
      </c>
    </row>
    <row r="11" spans="1:13" x14ac:dyDescent="0.15">
      <c r="B11" s="2" t="s">
        <v>34</v>
      </c>
      <c r="C11" s="4" t="s">
        <v>2269</v>
      </c>
      <c r="D11" s="4" t="s">
        <v>2468</v>
      </c>
      <c r="E11" s="4" t="s">
        <v>254</v>
      </c>
      <c r="F11" s="4" t="s">
        <v>745</v>
      </c>
      <c r="G11" s="4">
        <v>9</v>
      </c>
      <c r="H11" s="4" t="s">
        <v>63</v>
      </c>
      <c r="I11" s="4" t="s">
        <v>60</v>
      </c>
      <c r="J11" s="2" t="s">
        <v>2851</v>
      </c>
      <c r="K11" s="2" t="s">
        <v>34</v>
      </c>
      <c r="L11" s="2" t="s">
        <v>60</v>
      </c>
      <c r="M11" s="2" t="s">
        <v>27</v>
      </c>
    </row>
    <row r="12" spans="1:13" x14ac:dyDescent="0.15">
      <c r="B12" s="2" t="s">
        <v>30</v>
      </c>
      <c r="C12" s="4" t="s">
        <v>105</v>
      </c>
      <c r="D12" s="4" t="s">
        <v>506</v>
      </c>
      <c r="E12" s="4" t="s">
        <v>1664</v>
      </c>
      <c r="F12" s="4" t="s">
        <v>3070</v>
      </c>
      <c r="G12" s="4">
        <v>10</v>
      </c>
      <c r="H12" s="4" t="s">
        <v>66</v>
      </c>
      <c r="I12" s="4">
        <v>6</v>
      </c>
      <c r="J12" s="2" t="s">
        <v>67</v>
      </c>
      <c r="K12" s="2" t="s">
        <v>30</v>
      </c>
      <c r="L12" s="2" t="s">
        <v>60</v>
      </c>
      <c r="M12" s="2" t="s">
        <v>27</v>
      </c>
    </row>
    <row r="13" spans="1:13" x14ac:dyDescent="0.15">
      <c r="B13" s="2" t="s">
        <v>29</v>
      </c>
      <c r="C13" s="4" t="s">
        <v>103</v>
      </c>
      <c r="D13" s="4" t="s">
        <v>523</v>
      </c>
      <c r="E13" s="4" t="s">
        <v>238</v>
      </c>
      <c r="F13" s="4" t="s">
        <v>2374</v>
      </c>
      <c r="G13" s="4">
        <v>8</v>
      </c>
      <c r="H13" s="4" t="s">
        <v>62</v>
      </c>
      <c r="I13" s="4" t="s">
        <v>60</v>
      </c>
      <c r="J13" s="2" t="s">
        <v>2851</v>
      </c>
      <c r="K13" s="2" t="s">
        <v>29</v>
      </c>
      <c r="L13" s="2" t="s">
        <v>60</v>
      </c>
      <c r="M13" s="2" t="s">
        <v>27</v>
      </c>
    </row>
    <row r="14" spans="1:13" x14ac:dyDescent="0.15">
      <c r="B14" s="2" t="s">
        <v>32</v>
      </c>
      <c r="C14" s="4" t="s">
        <v>1192</v>
      </c>
      <c r="D14" s="4" t="s">
        <v>2001</v>
      </c>
      <c r="E14" s="4" t="s">
        <v>10</v>
      </c>
      <c r="F14" s="4" t="s">
        <v>553</v>
      </c>
      <c r="G14" s="4">
        <v>8</v>
      </c>
      <c r="H14" s="4" t="s">
        <v>62</v>
      </c>
      <c r="I14" s="4" t="s">
        <v>60</v>
      </c>
      <c r="J14" s="2" t="s">
        <v>2851</v>
      </c>
      <c r="K14" s="2" t="s">
        <v>32</v>
      </c>
      <c r="L14" s="2" t="s">
        <v>60</v>
      </c>
      <c r="M14" s="2" t="s">
        <v>27</v>
      </c>
    </row>
    <row r="15" spans="1:13" x14ac:dyDescent="0.15">
      <c r="B15" s="2" t="s">
        <v>24</v>
      </c>
      <c r="C15" s="4" t="s">
        <v>2010</v>
      </c>
      <c r="D15" s="4" t="s">
        <v>13</v>
      </c>
      <c r="E15" s="4" t="s">
        <v>2017</v>
      </c>
      <c r="F15" s="4" t="s">
        <v>2014</v>
      </c>
      <c r="G15" s="4">
        <v>10</v>
      </c>
      <c r="H15" s="4" t="s">
        <v>66</v>
      </c>
      <c r="I15" s="4">
        <v>39</v>
      </c>
      <c r="J15" s="2" t="s">
        <v>69</v>
      </c>
      <c r="K15" s="2" t="s">
        <v>24</v>
      </c>
      <c r="L15" s="2" t="s">
        <v>60</v>
      </c>
      <c r="M15" s="2" t="s">
        <v>27</v>
      </c>
    </row>
    <row r="16" spans="1:13" x14ac:dyDescent="0.15">
      <c r="B16" s="2" t="s">
        <v>20</v>
      </c>
      <c r="C16" s="4" t="s">
        <v>778</v>
      </c>
      <c r="D16" s="4" t="s">
        <v>6</v>
      </c>
      <c r="E16" s="4" t="s">
        <v>449</v>
      </c>
      <c r="F16" s="4" t="s">
        <v>971</v>
      </c>
      <c r="G16" s="4">
        <v>10</v>
      </c>
      <c r="H16" s="4" t="s">
        <v>66</v>
      </c>
      <c r="I16" s="4">
        <v>40</v>
      </c>
      <c r="J16" s="2" t="s">
        <v>70</v>
      </c>
      <c r="K16" s="2" t="s">
        <v>20</v>
      </c>
      <c r="L16" s="2" t="s">
        <v>60</v>
      </c>
      <c r="M16" s="2" t="s">
        <v>27</v>
      </c>
    </row>
    <row r="17" spans="2:13" x14ac:dyDescent="0.15">
      <c r="B17" s="2" t="s">
        <v>41</v>
      </c>
      <c r="C17" s="4" t="s">
        <v>426</v>
      </c>
      <c r="D17" s="4" t="s">
        <v>84</v>
      </c>
      <c r="E17" s="4" t="s">
        <v>175</v>
      </c>
      <c r="F17" s="4" t="s">
        <v>3071</v>
      </c>
      <c r="G17" s="4">
        <v>10</v>
      </c>
      <c r="H17" s="4" t="s">
        <v>66</v>
      </c>
      <c r="I17" s="4">
        <v>38</v>
      </c>
      <c r="J17" s="2" t="s">
        <v>71</v>
      </c>
      <c r="K17" s="2" t="s">
        <v>41</v>
      </c>
      <c r="L17" s="2" t="s">
        <v>60</v>
      </c>
      <c r="M17" s="2" t="s">
        <v>27</v>
      </c>
    </row>
    <row r="18" spans="2:13" x14ac:dyDescent="0.15">
      <c r="B18" s="2" t="s">
        <v>17</v>
      </c>
      <c r="C18" s="4" t="s">
        <v>892</v>
      </c>
      <c r="D18" s="4" t="s">
        <v>117</v>
      </c>
      <c r="E18" s="4" t="s">
        <v>684</v>
      </c>
      <c r="F18" s="4" t="s">
        <v>1041</v>
      </c>
      <c r="G18" s="4">
        <v>10</v>
      </c>
      <c r="H18" s="4" t="s">
        <v>66</v>
      </c>
      <c r="I18" s="4">
        <v>41</v>
      </c>
      <c r="J18" s="2" t="s">
        <v>72</v>
      </c>
      <c r="K18" s="2" t="s">
        <v>17</v>
      </c>
      <c r="L18" s="2" t="s">
        <v>60</v>
      </c>
      <c r="M18" s="2" t="s">
        <v>27</v>
      </c>
    </row>
    <row r="19" spans="2:13" x14ac:dyDescent="0.15">
      <c r="B19" s="2" t="s">
        <v>8</v>
      </c>
      <c r="C19" s="4" t="s">
        <v>557</v>
      </c>
      <c r="D19" s="4" t="s">
        <v>1006</v>
      </c>
      <c r="E19" s="4" t="s">
        <v>679</v>
      </c>
      <c r="F19" s="4" t="s">
        <v>1457</v>
      </c>
      <c r="G19" s="4">
        <v>10</v>
      </c>
      <c r="H19" s="4" t="s">
        <v>66</v>
      </c>
      <c r="I19" s="4">
        <v>42</v>
      </c>
      <c r="J19" s="2" t="s">
        <v>73</v>
      </c>
      <c r="K19" s="2" t="s">
        <v>8</v>
      </c>
      <c r="L19" s="2" t="s">
        <v>60</v>
      </c>
      <c r="M19" s="2" t="s">
        <v>27</v>
      </c>
    </row>
    <row r="20" spans="2:13" x14ac:dyDescent="0.15">
      <c r="B20" s="2" t="s">
        <v>18</v>
      </c>
      <c r="C20" s="4" t="s">
        <v>395</v>
      </c>
      <c r="D20" s="4" t="s">
        <v>1349</v>
      </c>
      <c r="E20" s="4" t="s">
        <v>667</v>
      </c>
      <c r="F20" s="4" t="s">
        <v>179</v>
      </c>
      <c r="K20" s="2" t="s">
        <v>18</v>
      </c>
      <c r="L20" s="2" t="s">
        <v>60</v>
      </c>
      <c r="M20" s="2" t="s">
        <v>27</v>
      </c>
    </row>
    <row r="21" spans="2:13" x14ac:dyDescent="0.15">
      <c r="B21" s="2" t="s">
        <v>103</v>
      </c>
      <c r="C21" s="4" t="s">
        <v>564</v>
      </c>
      <c r="D21" s="4" t="s">
        <v>1239</v>
      </c>
      <c r="E21" s="4" t="s">
        <v>220</v>
      </c>
      <c r="F21" s="4" t="s">
        <v>638</v>
      </c>
      <c r="K21" s="2" t="s">
        <v>103</v>
      </c>
      <c r="L21" s="2" t="s">
        <v>60</v>
      </c>
      <c r="M21" s="2" t="s">
        <v>27</v>
      </c>
    </row>
    <row r="22" spans="2:13" x14ac:dyDescent="0.15">
      <c r="B22" s="2" t="s">
        <v>104</v>
      </c>
      <c r="C22" s="4" t="s">
        <v>982</v>
      </c>
      <c r="D22" s="4" t="s">
        <v>2497</v>
      </c>
      <c r="E22" s="4" t="s">
        <v>32</v>
      </c>
      <c r="F22" s="4" t="s">
        <v>463</v>
      </c>
      <c r="K22" s="2" t="s">
        <v>104</v>
      </c>
      <c r="L22" s="2" t="s">
        <v>60</v>
      </c>
      <c r="M22" s="2" t="s">
        <v>27</v>
      </c>
    </row>
    <row r="23" spans="2:13" x14ac:dyDescent="0.15">
      <c r="B23" s="2" t="s">
        <v>105</v>
      </c>
      <c r="C23" s="4" t="s">
        <v>1286</v>
      </c>
      <c r="D23" s="4" t="s">
        <v>2128</v>
      </c>
      <c r="E23" s="4" t="s">
        <v>1256</v>
      </c>
      <c r="F23" s="4" t="s">
        <v>2025</v>
      </c>
      <c r="K23" s="2" t="s">
        <v>105</v>
      </c>
      <c r="L23" s="2" t="s">
        <v>60</v>
      </c>
      <c r="M23" s="2" t="s">
        <v>27</v>
      </c>
    </row>
    <row r="24" spans="2:13" x14ac:dyDescent="0.15">
      <c r="B24" s="2" t="s">
        <v>106</v>
      </c>
      <c r="C24" s="4" t="s">
        <v>578</v>
      </c>
      <c r="D24" s="4" t="s">
        <v>1219</v>
      </c>
      <c r="E24" s="4">
        <v>0</v>
      </c>
      <c r="F24" s="4"/>
      <c r="K24" s="2" t="s">
        <v>106</v>
      </c>
      <c r="L24" s="2" t="s">
        <v>60</v>
      </c>
      <c r="M24" s="2" t="s">
        <v>27</v>
      </c>
    </row>
    <row r="25" spans="2:13" x14ac:dyDescent="0.15">
      <c r="B25" s="2" t="s">
        <v>107</v>
      </c>
      <c r="C25" s="4" t="s">
        <v>319</v>
      </c>
      <c r="D25" s="2" t="s">
        <v>171</v>
      </c>
      <c r="E25" s="4">
        <v>0</v>
      </c>
      <c r="F25" s="4"/>
      <c r="K25" s="2" t="s">
        <v>107</v>
      </c>
      <c r="L25" s="2" t="s">
        <v>60</v>
      </c>
      <c r="M25" s="2" t="s">
        <v>27</v>
      </c>
    </row>
    <row r="26" spans="2:13" x14ac:dyDescent="0.15">
      <c r="B26" s="2" t="s">
        <v>10</v>
      </c>
      <c r="C26" s="4" t="s">
        <v>7</v>
      </c>
      <c r="D26" s="4" t="s">
        <v>40</v>
      </c>
      <c r="E26" s="4" t="s">
        <v>674</v>
      </c>
      <c r="F26" s="4" t="s">
        <v>1112</v>
      </c>
      <c r="K26" s="2" t="s">
        <v>10</v>
      </c>
      <c r="L26" s="2" t="s">
        <v>60</v>
      </c>
      <c r="M26" s="2" t="s">
        <v>27</v>
      </c>
    </row>
    <row r="27" spans="2:13" x14ac:dyDescent="0.15">
      <c r="B27" s="2" t="s">
        <v>189</v>
      </c>
      <c r="C27" s="4" t="s">
        <v>759</v>
      </c>
      <c r="D27" s="4" t="s">
        <v>1145</v>
      </c>
      <c r="E27" s="4">
        <v>0</v>
      </c>
      <c r="F27" s="4"/>
      <c r="K27" s="2" t="s">
        <v>189</v>
      </c>
      <c r="L27" s="2" t="s">
        <v>60</v>
      </c>
      <c r="M27" s="2" t="s">
        <v>27</v>
      </c>
    </row>
    <row r="28" spans="2:13" x14ac:dyDescent="0.15">
      <c r="B28" s="2" t="s">
        <v>193</v>
      </c>
      <c r="C28" s="4" t="s">
        <v>2351</v>
      </c>
      <c r="D28" s="4" t="s">
        <v>2517</v>
      </c>
      <c r="E28" s="4" t="s">
        <v>427</v>
      </c>
      <c r="F28" s="4" t="s">
        <v>1393</v>
      </c>
      <c r="K28" s="2" t="s">
        <v>193</v>
      </c>
      <c r="L28" s="2" t="s">
        <v>60</v>
      </c>
      <c r="M28" s="2" t="s">
        <v>27</v>
      </c>
    </row>
    <row r="29" spans="2:13" x14ac:dyDescent="0.15">
      <c r="B29" s="2" t="s">
        <v>196</v>
      </c>
      <c r="C29" s="4" t="s">
        <v>1062</v>
      </c>
      <c r="D29" s="4" t="s">
        <v>1928</v>
      </c>
      <c r="E29" s="4" t="s">
        <v>269</v>
      </c>
      <c r="F29" s="4" t="s">
        <v>766</v>
      </c>
      <c r="K29" s="2" t="s">
        <v>196</v>
      </c>
      <c r="L29" s="2" t="s">
        <v>60</v>
      </c>
      <c r="M29" s="2" t="s">
        <v>27</v>
      </c>
    </row>
    <row r="30" spans="2:13" x14ac:dyDescent="0.15">
      <c r="B30" s="2" t="s">
        <v>200</v>
      </c>
      <c r="C30" s="4" t="s">
        <v>1317</v>
      </c>
      <c r="D30" s="4" t="s">
        <v>910</v>
      </c>
      <c r="E30" s="4" t="s">
        <v>1861</v>
      </c>
      <c r="F30" s="4" t="s">
        <v>1858</v>
      </c>
      <c r="K30" s="2" t="s">
        <v>200</v>
      </c>
      <c r="L30" s="2" t="s">
        <v>60</v>
      </c>
      <c r="M30" s="2" t="s">
        <v>27</v>
      </c>
    </row>
    <row r="31" spans="2:13" x14ac:dyDescent="0.15">
      <c r="B31" s="2" t="s">
        <v>204</v>
      </c>
      <c r="C31" s="4" t="s">
        <v>2363</v>
      </c>
      <c r="D31" s="4" t="s">
        <v>3072</v>
      </c>
      <c r="E31" s="4">
        <v>0</v>
      </c>
      <c r="F31" s="4"/>
      <c r="K31" s="2" t="s">
        <v>204</v>
      </c>
      <c r="L31" s="2" t="s">
        <v>60</v>
      </c>
      <c r="M31" s="2" t="s">
        <v>27</v>
      </c>
    </row>
    <row r="32" spans="2:13" x14ac:dyDescent="0.15">
      <c r="B32" s="2" t="s">
        <v>25</v>
      </c>
      <c r="C32" s="4" t="s">
        <v>1893</v>
      </c>
      <c r="D32" s="4" t="s">
        <v>28</v>
      </c>
      <c r="E32" s="4" t="s">
        <v>1984</v>
      </c>
      <c r="F32" s="4" t="s">
        <v>1982</v>
      </c>
      <c r="K32" s="2" t="s">
        <v>25</v>
      </c>
      <c r="L32" s="2" t="s">
        <v>60</v>
      </c>
      <c r="M32" s="2" t="s">
        <v>27</v>
      </c>
    </row>
    <row r="33" spans="1:13" x14ac:dyDescent="0.15">
      <c r="B33" s="2" t="s">
        <v>208</v>
      </c>
      <c r="C33" s="4" t="s">
        <v>150</v>
      </c>
      <c r="D33" s="4" t="s">
        <v>895</v>
      </c>
      <c r="E33" s="4" t="s">
        <v>2585</v>
      </c>
      <c r="F33" s="4" t="s">
        <v>2583</v>
      </c>
      <c r="K33" s="2" t="s">
        <v>208</v>
      </c>
      <c r="L33" s="2" t="s">
        <v>60</v>
      </c>
      <c r="M33" s="2" t="s">
        <v>27</v>
      </c>
    </row>
    <row r="34" spans="1:13" x14ac:dyDescent="0.15">
      <c r="B34" s="2" t="s">
        <v>119</v>
      </c>
      <c r="C34" s="4" t="s">
        <v>1277</v>
      </c>
      <c r="D34" s="2" t="s">
        <v>2074</v>
      </c>
      <c r="E34" s="4">
        <v>0</v>
      </c>
      <c r="F34" s="4"/>
      <c r="K34" s="2" t="s">
        <v>119</v>
      </c>
      <c r="L34" s="2" t="s">
        <v>60</v>
      </c>
      <c r="M34" s="2" t="s">
        <v>27</v>
      </c>
    </row>
    <row r="35" spans="1:13" x14ac:dyDescent="0.15">
      <c r="B35" s="2" t="s">
        <v>213</v>
      </c>
      <c r="C35" s="4" t="s">
        <v>384</v>
      </c>
      <c r="D35" s="2" t="s">
        <v>952</v>
      </c>
      <c r="E35" s="4">
        <v>0</v>
      </c>
      <c r="F35" s="4"/>
      <c r="K35" s="2" t="s">
        <v>213</v>
      </c>
      <c r="L35" s="2" t="s">
        <v>60</v>
      </c>
      <c r="M35" s="2" t="s">
        <v>27</v>
      </c>
    </row>
    <row r="36" spans="1:13" x14ac:dyDescent="0.15">
      <c r="B36" s="2" t="s">
        <v>5</v>
      </c>
      <c r="C36" s="4" t="s">
        <v>466</v>
      </c>
      <c r="D36" s="2" t="s">
        <v>1102</v>
      </c>
      <c r="E36" s="4">
        <v>0</v>
      </c>
      <c r="F36" s="4"/>
      <c r="K36" s="2" t="s">
        <v>5</v>
      </c>
      <c r="L36" s="2" t="s">
        <v>60</v>
      </c>
      <c r="M36" s="2" t="s">
        <v>27</v>
      </c>
    </row>
    <row r="37" spans="1:13" x14ac:dyDescent="0.15">
      <c r="B37" s="2" t="s">
        <v>95</v>
      </c>
      <c r="C37" s="4" t="s">
        <v>1603</v>
      </c>
      <c r="D37" s="2" t="s">
        <v>3073</v>
      </c>
      <c r="E37" s="4">
        <v>0</v>
      </c>
      <c r="F37" s="4"/>
      <c r="K37" s="2" t="s">
        <v>95</v>
      </c>
      <c r="L37" s="2" t="s">
        <v>60</v>
      </c>
      <c r="M37" s="2" t="s">
        <v>27</v>
      </c>
    </row>
    <row r="38" spans="1:13" x14ac:dyDescent="0.15">
      <c r="B38" s="2" t="s">
        <v>219</v>
      </c>
      <c r="C38" s="4" t="s">
        <v>839</v>
      </c>
      <c r="D38" s="2" t="s">
        <v>2474</v>
      </c>
      <c r="K38" s="2" t="s">
        <v>219</v>
      </c>
      <c r="L38" s="2" t="s">
        <v>60</v>
      </c>
      <c r="M38" s="2" t="s">
        <v>27</v>
      </c>
    </row>
    <row r="39" spans="1:13" x14ac:dyDescent="0.15">
      <c r="B39" s="2" t="s">
        <v>220</v>
      </c>
      <c r="C39" s="4" t="s">
        <v>491</v>
      </c>
      <c r="D39" s="2" t="s">
        <v>1479</v>
      </c>
      <c r="E39" s="4" t="s">
        <v>29</v>
      </c>
      <c r="F39" s="4" t="s">
        <v>3299</v>
      </c>
      <c r="K39" s="2" t="s">
        <v>220</v>
      </c>
      <c r="L39" s="2" t="s">
        <v>60</v>
      </c>
      <c r="M39" s="2" t="s">
        <v>27</v>
      </c>
    </row>
    <row r="40" spans="1:13" x14ac:dyDescent="0.15">
      <c r="B40" s="2" t="s">
        <v>15</v>
      </c>
      <c r="C40" s="4" t="s">
        <v>1843</v>
      </c>
      <c r="D40" s="2" t="s">
        <v>23</v>
      </c>
      <c r="E40" s="4" t="s">
        <v>247</v>
      </c>
      <c r="F40" s="4" t="s">
        <v>3074</v>
      </c>
      <c r="K40" s="2" t="s">
        <v>15</v>
      </c>
      <c r="L40" s="2" t="s">
        <v>60</v>
      </c>
      <c r="M40" s="2" t="s">
        <v>27</v>
      </c>
    </row>
    <row r="41" spans="1:13" x14ac:dyDescent="0.15">
      <c r="B41" s="2" t="s">
        <v>226</v>
      </c>
      <c r="C41" s="4" t="s">
        <v>366</v>
      </c>
      <c r="D41" s="2" t="s">
        <v>164</v>
      </c>
      <c r="E41" s="4" t="s">
        <v>397</v>
      </c>
      <c r="F41" s="4" t="s">
        <v>860</v>
      </c>
      <c r="K41" s="2" t="s">
        <v>226</v>
      </c>
      <c r="L41" s="2" t="s">
        <v>60</v>
      </c>
      <c r="M41" s="2" t="s">
        <v>27</v>
      </c>
    </row>
    <row r="42" spans="1:13" x14ac:dyDescent="0.15">
      <c r="B42" s="2" t="s">
        <v>207</v>
      </c>
      <c r="C42" s="4" t="s">
        <v>2502</v>
      </c>
      <c r="D42" s="2" t="s">
        <v>45</v>
      </c>
      <c r="E42" s="4" t="s">
        <v>464</v>
      </c>
      <c r="F42" s="4" t="s">
        <v>92</v>
      </c>
      <c r="K42" s="2" t="s">
        <v>207</v>
      </c>
      <c r="L42" s="2" t="s">
        <v>60</v>
      </c>
      <c r="M42" s="2" t="s">
        <v>27</v>
      </c>
    </row>
    <row r="43" spans="1:13" x14ac:dyDescent="0.15">
      <c r="B43" s="2" t="s">
        <v>21</v>
      </c>
      <c r="C43" s="4" t="s">
        <v>2508</v>
      </c>
      <c r="D43" s="2" t="s">
        <v>46</v>
      </c>
      <c r="E43" s="4">
        <v>0</v>
      </c>
      <c r="F43" s="4"/>
      <c r="K43" s="2" t="s">
        <v>21</v>
      </c>
      <c r="L43" s="2" t="s">
        <v>60</v>
      </c>
      <c r="M43" s="2" t="s">
        <v>27</v>
      </c>
    </row>
    <row r="44" spans="1:13" x14ac:dyDescent="0.15">
      <c r="B44" s="2" t="s">
        <v>126</v>
      </c>
      <c r="C44" s="4" t="s">
        <v>2402</v>
      </c>
      <c r="D44" s="2" t="s">
        <v>44</v>
      </c>
      <c r="E44" s="4">
        <v>0</v>
      </c>
      <c r="F44" s="4"/>
      <c r="K44" s="2" t="s">
        <v>126</v>
      </c>
      <c r="L44" s="2" t="s">
        <v>60</v>
      </c>
      <c r="M44" s="2" t="s">
        <v>27</v>
      </c>
    </row>
    <row r="45" spans="1:13" x14ac:dyDescent="0.15">
      <c r="B45" s="2" t="s">
        <v>237</v>
      </c>
      <c r="C45" s="4" t="s">
        <v>1891</v>
      </c>
      <c r="D45" s="2" t="s">
        <v>47</v>
      </c>
      <c r="E45" s="4">
        <v>0</v>
      </c>
      <c r="F45" s="4"/>
      <c r="K45" s="2" t="s">
        <v>237</v>
      </c>
      <c r="L45" s="2" t="s">
        <v>60</v>
      </c>
      <c r="M45" s="2" t="s">
        <v>27</v>
      </c>
    </row>
    <row r="46" spans="1:13" x14ac:dyDescent="0.15">
      <c r="B46" s="2" t="s">
        <v>98</v>
      </c>
      <c r="C46" s="4" t="s">
        <v>2695</v>
      </c>
      <c r="D46" s="2" t="s">
        <v>48</v>
      </c>
      <c r="E46" s="4">
        <v>0</v>
      </c>
      <c r="F46" s="4"/>
      <c r="K46" s="2" t="s">
        <v>98</v>
      </c>
      <c r="L46" s="2" t="s">
        <v>60</v>
      </c>
      <c r="M46" s="2" t="s">
        <v>27</v>
      </c>
    </row>
    <row r="47" spans="1:13" x14ac:dyDescent="0.1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F30" sqref="F30"/>
    </sheetView>
  </sheetViews>
  <sheetFormatPr defaultColWidth="9" defaultRowHeight="13.5" x14ac:dyDescent="0.15"/>
  <cols>
    <col min="1" max="1" width="12.875" style="2" bestFit="1" customWidth="1"/>
    <col min="2" max="2" width="5.75" style="2" bestFit="1" customWidth="1"/>
    <col min="3" max="3" width="9.5" style="2" bestFit="1" customWidth="1"/>
    <col min="4" max="4" width="16.5" style="2" bestFit="1" customWidth="1"/>
    <col min="5" max="5" width="12.875" style="2" bestFit="1" customWidth="1"/>
    <col min="6" max="6" width="9.5" style="2" bestFit="1" customWidth="1"/>
    <col min="7" max="7" width="20.25" style="2" bestFit="1" customWidth="1"/>
    <col min="8" max="8" width="22.625" style="2" bestFit="1" customWidth="1"/>
    <col min="9" max="9" width="5.5" style="4" bestFit="1" customWidth="1"/>
    <col min="10" max="14" width="10" style="2" bestFit="1" customWidth="1"/>
    <col min="15" max="17" width="7.875" style="2" bestFit="1" customWidth="1"/>
    <col min="18" max="22" width="10" style="2" bestFit="1" customWidth="1"/>
    <col min="23" max="16384" width="9" style="2"/>
  </cols>
  <sheetData>
    <row r="1" spans="1:22" s="15" customFormat="1" ht="29.45" customHeight="1" x14ac:dyDescent="0.15">
      <c r="A1" s="15" t="s">
        <v>3064</v>
      </c>
      <c r="B1" s="16" t="s">
        <v>0</v>
      </c>
      <c r="C1" s="16" t="s">
        <v>75</v>
      </c>
      <c r="D1" s="16" t="s">
        <v>3067</v>
      </c>
      <c r="E1" s="16" t="s">
        <v>77</v>
      </c>
      <c r="G1" s="16" t="s">
        <v>3256</v>
      </c>
      <c r="H1" s="16" t="s">
        <v>3257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15">
      <c r="A2" s="1" t="s">
        <v>2866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15">
      <c r="A3" s="10" t="s">
        <v>3140</v>
      </c>
      <c r="B3" s="10" t="s">
        <v>3153</v>
      </c>
      <c r="C3" s="10" t="s">
        <v>3154</v>
      </c>
      <c r="D3" s="10" t="s">
        <v>3268</v>
      </c>
      <c r="E3" s="10" t="s">
        <v>3289</v>
      </c>
      <c r="F3" s="10" t="s">
        <v>3140</v>
      </c>
      <c r="G3" s="10" t="s">
        <v>3254</v>
      </c>
      <c r="H3" s="10" t="s">
        <v>3255</v>
      </c>
      <c r="I3" s="11"/>
    </row>
    <row r="4" spans="1:22" s="24" customFormat="1" ht="15.75" customHeight="1" x14ac:dyDescent="0.15">
      <c r="A4" s="26" t="s">
        <v>3140</v>
      </c>
      <c r="B4" s="24" t="s">
        <v>3139</v>
      </c>
      <c r="C4" s="24" t="s">
        <v>3129</v>
      </c>
      <c r="D4" s="24" t="s">
        <v>3139</v>
      </c>
      <c r="E4" s="24" t="s">
        <v>3139</v>
      </c>
      <c r="F4" s="10" t="s">
        <v>3140</v>
      </c>
      <c r="G4" s="24" t="s">
        <v>3139</v>
      </c>
      <c r="H4" s="24" t="s">
        <v>3139</v>
      </c>
      <c r="I4" s="25"/>
    </row>
    <row r="5" spans="1:22" x14ac:dyDescent="0.15">
      <c r="B5" s="2" t="s">
        <v>54</v>
      </c>
      <c r="C5" s="2" t="s">
        <v>9</v>
      </c>
      <c r="D5" s="2" t="s">
        <v>54</v>
      </c>
      <c r="E5" s="4" t="s">
        <v>511</v>
      </c>
      <c r="F5" s="2" t="s">
        <v>9</v>
      </c>
      <c r="G5" s="2" t="s">
        <v>2852</v>
      </c>
      <c r="H5" s="2" t="s">
        <v>2852</v>
      </c>
    </row>
    <row r="6" spans="1:22" x14ac:dyDescent="0.15">
      <c r="B6" s="2" t="s">
        <v>74</v>
      </c>
      <c r="C6" s="2" t="s">
        <v>11</v>
      </c>
      <c r="D6" s="2" t="s">
        <v>74</v>
      </c>
      <c r="E6" s="4" t="s">
        <v>999</v>
      </c>
      <c r="F6" s="2" t="s">
        <v>11</v>
      </c>
      <c r="G6" s="2" t="s">
        <v>2852</v>
      </c>
      <c r="H6" s="2" t="s">
        <v>2852</v>
      </c>
    </row>
    <row r="7" spans="1:22" x14ac:dyDescent="0.15">
      <c r="B7" s="2" t="s">
        <v>31</v>
      </c>
      <c r="C7" s="2" t="s">
        <v>12</v>
      </c>
      <c r="D7" s="2" t="s">
        <v>31</v>
      </c>
      <c r="E7" s="4" t="s">
        <v>876</v>
      </c>
      <c r="F7" s="2" t="s">
        <v>12</v>
      </c>
      <c r="G7" s="2" t="s">
        <v>60</v>
      </c>
      <c r="H7" s="2" t="s">
        <v>60</v>
      </c>
    </row>
    <row r="8" spans="1:22" x14ac:dyDescent="0.15">
      <c r="B8" s="2" t="s">
        <v>37</v>
      </c>
      <c r="C8" s="2" t="s">
        <v>38</v>
      </c>
      <c r="D8" s="2" t="s">
        <v>37</v>
      </c>
      <c r="E8" s="4" t="s">
        <v>543</v>
      </c>
      <c r="F8" s="2" t="s">
        <v>38</v>
      </c>
      <c r="G8" s="2" t="s">
        <v>60</v>
      </c>
      <c r="H8" s="2" t="s">
        <v>60</v>
      </c>
    </row>
    <row r="9" spans="1:22" x14ac:dyDescent="0.15">
      <c r="B9" s="2" t="s">
        <v>33</v>
      </c>
      <c r="C9" s="2" t="s">
        <v>2458</v>
      </c>
      <c r="D9" s="2" t="s">
        <v>33</v>
      </c>
      <c r="E9" s="4" t="s">
        <v>2462</v>
      </c>
      <c r="F9" s="2" t="s">
        <v>2458</v>
      </c>
      <c r="G9" s="2" t="s">
        <v>60</v>
      </c>
      <c r="H9" s="2" t="s">
        <v>60</v>
      </c>
    </row>
    <row r="10" spans="1:22" x14ac:dyDescent="0.15">
      <c r="B10" s="2" t="s">
        <v>36</v>
      </c>
      <c r="C10" s="2" t="s">
        <v>1055</v>
      </c>
      <c r="D10" s="2" t="s">
        <v>36</v>
      </c>
      <c r="E10" s="4" t="s">
        <v>1054</v>
      </c>
      <c r="F10" s="2" t="s">
        <v>1055</v>
      </c>
      <c r="G10" s="2" t="s">
        <v>60</v>
      </c>
      <c r="H10" s="2" t="s">
        <v>60</v>
      </c>
    </row>
    <row r="11" spans="1:22" x14ac:dyDescent="0.15">
      <c r="B11" s="2" t="s">
        <v>34</v>
      </c>
      <c r="C11" s="2" t="s">
        <v>2468</v>
      </c>
      <c r="D11" s="2" t="s">
        <v>34</v>
      </c>
      <c r="E11" s="4" t="s">
        <v>2269</v>
      </c>
      <c r="F11" s="2" t="s">
        <v>2468</v>
      </c>
      <c r="G11" s="2" t="s">
        <v>60</v>
      </c>
      <c r="H11" s="2" t="s">
        <v>60</v>
      </c>
    </row>
    <row r="12" spans="1:22" x14ac:dyDescent="0.15">
      <c r="B12" s="2" t="s">
        <v>30</v>
      </c>
      <c r="C12" s="2" t="s">
        <v>506</v>
      </c>
      <c r="D12" s="2" t="s">
        <v>30</v>
      </c>
      <c r="E12" s="4" t="s">
        <v>105</v>
      </c>
      <c r="F12" s="2" t="s">
        <v>506</v>
      </c>
      <c r="G12" s="2" t="s">
        <v>60</v>
      </c>
      <c r="H12" s="2" t="s">
        <v>60</v>
      </c>
    </row>
    <row r="13" spans="1:22" x14ac:dyDescent="0.15">
      <c r="B13" s="2" t="s">
        <v>29</v>
      </c>
      <c r="C13" s="2" t="s">
        <v>523</v>
      </c>
      <c r="D13" s="2" t="s">
        <v>29</v>
      </c>
      <c r="E13" s="4" t="s">
        <v>103</v>
      </c>
      <c r="F13" s="2" t="s">
        <v>523</v>
      </c>
      <c r="G13" s="2" t="s">
        <v>60</v>
      </c>
      <c r="H13" s="2" t="s">
        <v>60</v>
      </c>
    </row>
    <row r="14" spans="1:22" x14ac:dyDescent="0.15">
      <c r="B14" s="2" t="s">
        <v>32</v>
      </c>
      <c r="C14" s="2" t="s">
        <v>2001</v>
      </c>
      <c r="D14" s="2" t="s">
        <v>32</v>
      </c>
      <c r="E14" s="4" t="s">
        <v>1192</v>
      </c>
      <c r="F14" s="2" t="s">
        <v>2001</v>
      </c>
      <c r="G14" s="2" t="s">
        <v>60</v>
      </c>
      <c r="H14" s="2" t="s">
        <v>60</v>
      </c>
    </row>
    <row r="15" spans="1:22" x14ac:dyDescent="0.15">
      <c r="B15" s="2" t="s">
        <v>24</v>
      </c>
      <c r="C15" s="2" t="s">
        <v>13</v>
      </c>
      <c r="D15" s="2" t="s">
        <v>24</v>
      </c>
      <c r="E15" s="4" t="s">
        <v>2010</v>
      </c>
      <c r="F15" s="2" t="s">
        <v>13</v>
      </c>
      <c r="G15" s="2" t="s">
        <v>60</v>
      </c>
      <c r="H15" s="2" t="s">
        <v>60</v>
      </c>
    </row>
    <row r="16" spans="1:22" x14ac:dyDescent="0.15">
      <c r="B16" s="2" t="s">
        <v>20</v>
      </c>
      <c r="C16" s="2" t="s">
        <v>6</v>
      </c>
      <c r="D16" s="2" t="s">
        <v>20</v>
      </c>
      <c r="E16" s="4" t="s">
        <v>778</v>
      </c>
      <c r="F16" s="2" t="s">
        <v>6</v>
      </c>
      <c r="G16" s="2" t="s">
        <v>60</v>
      </c>
      <c r="H16" s="2" t="s">
        <v>60</v>
      </c>
    </row>
    <row r="17" spans="2:8" x14ac:dyDescent="0.15">
      <c r="B17" s="2" t="s">
        <v>41</v>
      </c>
      <c r="C17" s="2" t="s">
        <v>84</v>
      </c>
      <c r="D17" s="2" t="s">
        <v>41</v>
      </c>
      <c r="E17" s="4" t="s">
        <v>426</v>
      </c>
      <c r="F17" s="2" t="s">
        <v>84</v>
      </c>
      <c r="G17" s="2" t="s">
        <v>60</v>
      </c>
      <c r="H17" s="2" t="s">
        <v>60</v>
      </c>
    </row>
    <row r="18" spans="2:8" x14ac:dyDescent="0.15">
      <c r="B18" s="2" t="s">
        <v>17</v>
      </c>
      <c r="C18" s="2" t="s">
        <v>117</v>
      </c>
      <c r="D18" s="2" t="s">
        <v>17</v>
      </c>
      <c r="E18" s="4" t="s">
        <v>892</v>
      </c>
      <c r="F18" s="2" t="s">
        <v>117</v>
      </c>
      <c r="G18" s="2" t="s">
        <v>60</v>
      </c>
      <c r="H18" s="2" t="s">
        <v>60</v>
      </c>
    </row>
    <row r="19" spans="2:8" x14ac:dyDescent="0.15">
      <c r="B19" s="2" t="s">
        <v>8</v>
      </c>
      <c r="C19" s="2" t="s">
        <v>1006</v>
      </c>
      <c r="D19" s="2" t="s">
        <v>8</v>
      </c>
      <c r="E19" s="4" t="s">
        <v>557</v>
      </c>
      <c r="F19" s="2" t="s">
        <v>1006</v>
      </c>
      <c r="G19" s="2" t="s">
        <v>60</v>
      </c>
      <c r="H19" s="2" t="s">
        <v>60</v>
      </c>
    </row>
    <row r="20" spans="2:8" x14ac:dyDescent="0.15">
      <c r="B20" s="2" t="s">
        <v>18</v>
      </c>
      <c r="C20" s="2" t="s">
        <v>1349</v>
      </c>
      <c r="D20" s="2" t="s">
        <v>18</v>
      </c>
      <c r="E20" s="4" t="s">
        <v>395</v>
      </c>
      <c r="F20" s="2" t="s">
        <v>1349</v>
      </c>
      <c r="G20" s="2" t="s">
        <v>60</v>
      </c>
      <c r="H20" s="2" t="s">
        <v>60</v>
      </c>
    </row>
    <row r="21" spans="2:8" x14ac:dyDescent="0.15">
      <c r="B21" s="2" t="s">
        <v>103</v>
      </c>
      <c r="C21" s="2" t="s">
        <v>1239</v>
      </c>
      <c r="D21" s="2" t="s">
        <v>103</v>
      </c>
      <c r="E21" s="4" t="s">
        <v>564</v>
      </c>
      <c r="F21" s="2" t="s">
        <v>1239</v>
      </c>
      <c r="G21" s="2" t="s">
        <v>60</v>
      </c>
      <c r="H21" s="2" t="s">
        <v>60</v>
      </c>
    </row>
    <row r="22" spans="2:8" x14ac:dyDescent="0.15">
      <c r="B22" s="2" t="s">
        <v>104</v>
      </c>
      <c r="C22" s="2" t="s">
        <v>2497</v>
      </c>
      <c r="D22" s="2" t="s">
        <v>104</v>
      </c>
      <c r="E22" s="4" t="s">
        <v>982</v>
      </c>
      <c r="F22" s="2" t="s">
        <v>2497</v>
      </c>
      <c r="G22" s="2" t="s">
        <v>60</v>
      </c>
      <c r="H22" s="2" t="s">
        <v>60</v>
      </c>
    </row>
    <row r="23" spans="2:8" x14ac:dyDescent="0.15">
      <c r="B23" s="2" t="s">
        <v>105</v>
      </c>
      <c r="C23" s="2" t="s">
        <v>2128</v>
      </c>
      <c r="D23" s="2" t="s">
        <v>105</v>
      </c>
      <c r="E23" s="4" t="s">
        <v>1286</v>
      </c>
      <c r="F23" s="2" t="s">
        <v>2128</v>
      </c>
      <c r="G23" s="2" t="s">
        <v>60</v>
      </c>
      <c r="H23" s="2" t="s">
        <v>60</v>
      </c>
    </row>
    <row r="24" spans="2:8" x14ac:dyDescent="0.15">
      <c r="B24" s="2" t="s">
        <v>106</v>
      </c>
      <c r="C24" s="2" t="s">
        <v>1219</v>
      </c>
      <c r="D24" s="2" t="s">
        <v>106</v>
      </c>
      <c r="E24" s="4" t="s">
        <v>578</v>
      </c>
      <c r="F24" s="2" t="s">
        <v>1219</v>
      </c>
      <c r="G24" s="2" t="s">
        <v>60</v>
      </c>
      <c r="H24" s="2" t="s">
        <v>60</v>
      </c>
    </row>
    <row r="25" spans="2:8" x14ac:dyDescent="0.15">
      <c r="B25" s="2" t="s">
        <v>107</v>
      </c>
      <c r="C25" s="2" t="s">
        <v>171</v>
      </c>
      <c r="D25" s="2" t="s">
        <v>107</v>
      </c>
      <c r="E25" s="4" t="s">
        <v>319</v>
      </c>
      <c r="F25" s="2" t="s">
        <v>171</v>
      </c>
      <c r="G25" s="2" t="s">
        <v>60</v>
      </c>
      <c r="H25" s="2" t="s">
        <v>60</v>
      </c>
    </row>
    <row r="26" spans="2:8" x14ac:dyDescent="0.15">
      <c r="B26" s="2" t="s">
        <v>10</v>
      </c>
      <c r="C26" s="2" t="s">
        <v>40</v>
      </c>
      <c r="D26" s="2" t="s">
        <v>10</v>
      </c>
      <c r="E26" s="4" t="s">
        <v>7</v>
      </c>
      <c r="F26" s="2" t="s">
        <v>40</v>
      </c>
      <c r="G26" s="2" t="s">
        <v>60</v>
      </c>
      <c r="H26" s="2" t="s">
        <v>60</v>
      </c>
    </row>
    <row r="27" spans="2:8" x14ac:dyDescent="0.15">
      <c r="B27" s="2" t="s">
        <v>189</v>
      </c>
      <c r="C27" s="2" t="s">
        <v>1145</v>
      </c>
      <c r="D27" s="2" t="s">
        <v>189</v>
      </c>
      <c r="E27" s="4" t="s">
        <v>759</v>
      </c>
      <c r="F27" s="2" t="s">
        <v>1145</v>
      </c>
      <c r="G27" s="2" t="s">
        <v>60</v>
      </c>
      <c r="H27" s="2" t="s">
        <v>60</v>
      </c>
    </row>
    <row r="28" spans="2:8" x14ac:dyDescent="0.15">
      <c r="B28" s="2" t="s">
        <v>193</v>
      </c>
      <c r="C28" s="2" t="s">
        <v>2517</v>
      </c>
      <c r="D28" s="2" t="s">
        <v>193</v>
      </c>
      <c r="E28" s="4" t="s">
        <v>2351</v>
      </c>
      <c r="F28" s="2" t="s">
        <v>2517</v>
      </c>
      <c r="G28" s="2" t="s">
        <v>60</v>
      </c>
      <c r="H28" s="2" t="s">
        <v>60</v>
      </c>
    </row>
    <row r="29" spans="2:8" x14ac:dyDescent="0.15">
      <c r="B29" s="2" t="s">
        <v>196</v>
      </c>
      <c r="C29" s="2" t="s">
        <v>1928</v>
      </c>
      <c r="D29" s="2" t="s">
        <v>196</v>
      </c>
      <c r="E29" s="4" t="s">
        <v>1062</v>
      </c>
      <c r="F29" s="2" t="s">
        <v>1928</v>
      </c>
      <c r="G29" s="2" t="s">
        <v>60</v>
      </c>
      <c r="H29" s="2" t="s">
        <v>60</v>
      </c>
    </row>
    <row r="30" spans="2:8" x14ac:dyDescent="0.15">
      <c r="B30" s="2" t="s">
        <v>200</v>
      </c>
      <c r="C30" s="2" t="s">
        <v>910</v>
      </c>
      <c r="D30" s="2" t="s">
        <v>200</v>
      </c>
      <c r="E30" s="4" t="s">
        <v>1317</v>
      </c>
      <c r="F30" s="2" t="s">
        <v>910</v>
      </c>
      <c r="G30" s="2" t="s">
        <v>60</v>
      </c>
      <c r="H30" s="2" t="s">
        <v>60</v>
      </c>
    </row>
    <row r="31" spans="2:8" x14ac:dyDescent="0.15">
      <c r="B31" s="2" t="s">
        <v>204</v>
      </c>
      <c r="C31" s="2" t="s">
        <v>3072</v>
      </c>
      <c r="D31" s="2" t="s">
        <v>204</v>
      </c>
      <c r="E31" s="4" t="s">
        <v>2363</v>
      </c>
      <c r="F31" s="2" t="s">
        <v>3072</v>
      </c>
      <c r="G31" s="2" t="s">
        <v>60</v>
      </c>
      <c r="H31" s="2" t="s">
        <v>60</v>
      </c>
    </row>
    <row r="32" spans="2:8" x14ac:dyDescent="0.15">
      <c r="B32" s="2" t="s">
        <v>25</v>
      </c>
      <c r="C32" s="2" t="s">
        <v>28</v>
      </c>
      <c r="D32" s="2" t="s">
        <v>25</v>
      </c>
      <c r="E32" s="4" t="s">
        <v>1893</v>
      </c>
      <c r="F32" s="2" t="s">
        <v>28</v>
      </c>
      <c r="G32" s="2" t="s">
        <v>60</v>
      </c>
      <c r="H32" s="2" t="s">
        <v>60</v>
      </c>
    </row>
    <row r="33" spans="1:8" x14ac:dyDescent="0.15">
      <c r="B33" s="2" t="s">
        <v>208</v>
      </c>
      <c r="C33" s="2" t="s">
        <v>895</v>
      </c>
      <c r="D33" s="2" t="s">
        <v>208</v>
      </c>
      <c r="E33" s="4" t="s">
        <v>150</v>
      </c>
      <c r="F33" s="2" t="s">
        <v>895</v>
      </c>
      <c r="G33" s="2" t="s">
        <v>60</v>
      </c>
      <c r="H33" s="2" t="s">
        <v>60</v>
      </c>
    </row>
    <row r="34" spans="1:8" x14ac:dyDescent="0.15">
      <c r="B34" s="2" t="s">
        <v>119</v>
      </c>
      <c r="C34" s="2" t="s">
        <v>2074</v>
      </c>
      <c r="D34" s="2" t="s">
        <v>119</v>
      </c>
      <c r="E34" s="4" t="s">
        <v>1277</v>
      </c>
      <c r="F34" s="2" t="s">
        <v>2074</v>
      </c>
      <c r="G34" s="2" t="s">
        <v>60</v>
      </c>
      <c r="H34" s="2" t="s">
        <v>60</v>
      </c>
    </row>
    <row r="35" spans="1:8" x14ac:dyDescent="0.15">
      <c r="B35" s="2" t="s">
        <v>213</v>
      </c>
      <c r="C35" s="2" t="s">
        <v>952</v>
      </c>
      <c r="D35" s="2" t="s">
        <v>213</v>
      </c>
      <c r="E35" s="4" t="s">
        <v>384</v>
      </c>
      <c r="F35" s="2" t="s">
        <v>952</v>
      </c>
      <c r="G35" s="2" t="s">
        <v>60</v>
      </c>
      <c r="H35" s="2" t="s">
        <v>60</v>
      </c>
    </row>
    <row r="36" spans="1:8" x14ac:dyDescent="0.15">
      <c r="B36" s="2" t="s">
        <v>5</v>
      </c>
      <c r="C36" s="2" t="s">
        <v>1102</v>
      </c>
      <c r="D36" s="2" t="s">
        <v>5</v>
      </c>
      <c r="E36" s="4" t="s">
        <v>466</v>
      </c>
      <c r="F36" s="2" t="s">
        <v>1102</v>
      </c>
      <c r="G36" s="2" t="s">
        <v>60</v>
      </c>
      <c r="H36" s="2" t="s">
        <v>60</v>
      </c>
    </row>
    <row r="37" spans="1:8" x14ac:dyDescent="0.15">
      <c r="B37" s="2" t="s">
        <v>95</v>
      </c>
      <c r="C37" s="2" t="s">
        <v>3073</v>
      </c>
      <c r="D37" s="2" t="s">
        <v>95</v>
      </c>
      <c r="E37" s="4" t="s">
        <v>1603</v>
      </c>
      <c r="F37" s="2" t="s">
        <v>3073</v>
      </c>
      <c r="G37" s="2" t="s">
        <v>60</v>
      </c>
      <c r="H37" s="2" t="s">
        <v>60</v>
      </c>
    </row>
    <row r="38" spans="1:8" x14ac:dyDescent="0.15">
      <c r="B38" s="2" t="s">
        <v>219</v>
      </c>
      <c r="C38" s="2" t="s">
        <v>2474</v>
      </c>
      <c r="D38" s="2" t="s">
        <v>219</v>
      </c>
      <c r="E38" s="4" t="s">
        <v>839</v>
      </c>
      <c r="F38" s="2" t="s">
        <v>2474</v>
      </c>
      <c r="G38" s="2" t="s">
        <v>60</v>
      </c>
      <c r="H38" s="2" t="s">
        <v>60</v>
      </c>
    </row>
    <row r="39" spans="1:8" x14ac:dyDescent="0.15">
      <c r="B39" s="2" t="s">
        <v>220</v>
      </c>
      <c r="C39" s="2" t="s">
        <v>1479</v>
      </c>
      <c r="D39" s="2" t="s">
        <v>220</v>
      </c>
      <c r="E39" s="4" t="s">
        <v>491</v>
      </c>
      <c r="F39" s="2" t="s">
        <v>1479</v>
      </c>
      <c r="G39" s="2" t="s">
        <v>60</v>
      </c>
      <c r="H39" s="2" t="s">
        <v>60</v>
      </c>
    </row>
    <row r="40" spans="1:8" x14ac:dyDescent="0.15">
      <c r="B40" s="2" t="s">
        <v>15</v>
      </c>
      <c r="C40" s="2" t="s">
        <v>23</v>
      </c>
      <c r="D40" s="2" t="s">
        <v>15</v>
      </c>
      <c r="E40" s="4" t="s">
        <v>1843</v>
      </c>
      <c r="F40" s="2" t="s">
        <v>23</v>
      </c>
      <c r="G40" s="2" t="s">
        <v>60</v>
      </c>
      <c r="H40" s="2" t="s">
        <v>60</v>
      </c>
    </row>
    <row r="41" spans="1:8" x14ac:dyDescent="0.15">
      <c r="B41" s="2" t="s">
        <v>226</v>
      </c>
      <c r="C41" s="2" t="s">
        <v>164</v>
      </c>
      <c r="D41" s="2" t="s">
        <v>226</v>
      </c>
      <c r="E41" s="4" t="s">
        <v>366</v>
      </c>
      <c r="F41" s="2" t="s">
        <v>164</v>
      </c>
      <c r="G41" s="2" t="s">
        <v>60</v>
      </c>
      <c r="H41" s="2" t="s">
        <v>60</v>
      </c>
    </row>
    <row r="42" spans="1:8" x14ac:dyDescent="0.15">
      <c r="B42" s="2" t="s">
        <v>207</v>
      </c>
      <c r="C42" s="2" t="s">
        <v>45</v>
      </c>
      <c r="D42" s="2" t="s">
        <v>207</v>
      </c>
      <c r="E42" s="4" t="s">
        <v>2502</v>
      </c>
      <c r="F42" s="2" t="s">
        <v>45</v>
      </c>
      <c r="G42" s="2" t="s">
        <v>60</v>
      </c>
      <c r="H42" s="2" t="s">
        <v>60</v>
      </c>
    </row>
    <row r="43" spans="1:8" x14ac:dyDescent="0.15">
      <c r="B43" s="2" t="s">
        <v>21</v>
      </c>
      <c r="C43" s="2" t="s">
        <v>46</v>
      </c>
      <c r="D43" s="2" t="s">
        <v>21</v>
      </c>
      <c r="E43" s="4" t="s">
        <v>2508</v>
      </c>
      <c r="F43" s="2" t="s">
        <v>46</v>
      </c>
      <c r="G43" s="2" t="s">
        <v>60</v>
      </c>
      <c r="H43" s="2" t="s">
        <v>60</v>
      </c>
    </row>
    <row r="44" spans="1:8" x14ac:dyDescent="0.15">
      <c r="B44" s="2" t="s">
        <v>126</v>
      </c>
      <c r="C44" s="2" t="s">
        <v>44</v>
      </c>
      <c r="D44" s="2" t="s">
        <v>126</v>
      </c>
      <c r="E44" s="4" t="s">
        <v>2402</v>
      </c>
      <c r="F44" s="2" t="s">
        <v>44</v>
      </c>
      <c r="G44" s="2" t="s">
        <v>60</v>
      </c>
      <c r="H44" s="2" t="s">
        <v>60</v>
      </c>
    </row>
    <row r="45" spans="1:8" x14ac:dyDescent="0.15">
      <c r="B45" s="2" t="s">
        <v>237</v>
      </c>
      <c r="C45" s="2" t="s">
        <v>47</v>
      </c>
      <c r="D45" s="2" t="s">
        <v>237</v>
      </c>
      <c r="E45" s="4" t="s">
        <v>1891</v>
      </c>
      <c r="F45" s="2" t="s">
        <v>47</v>
      </c>
      <c r="G45" s="2" t="s">
        <v>60</v>
      </c>
      <c r="H45" s="2" t="s">
        <v>60</v>
      </c>
    </row>
    <row r="46" spans="1:8" x14ac:dyDescent="0.15">
      <c r="B46" s="2" t="s">
        <v>98</v>
      </c>
      <c r="C46" s="2" t="s">
        <v>48</v>
      </c>
      <c r="D46" s="2" t="s">
        <v>98</v>
      </c>
      <c r="E46" s="4" t="s">
        <v>2695</v>
      </c>
      <c r="F46" s="2" t="s">
        <v>48</v>
      </c>
      <c r="G46" s="2" t="s">
        <v>60</v>
      </c>
      <c r="H46" s="2" t="s">
        <v>60</v>
      </c>
    </row>
    <row r="47" spans="1:8" x14ac:dyDescent="0.1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M138"/>
  <sheetViews>
    <sheetView tabSelected="1" topLeftCell="O1" workbookViewId="0">
      <selection activeCell="U5" sqref="U5:U46"/>
    </sheetView>
  </sheetViews>
  <sheetFormatPr defaultColWidth="9" defaultRowHeight="13.5" x14ac:dyDescent="0.15"/>
  <cols>
    <col min="1" max="2" width="5.75" style="2" bestFit="1" customWidth="1"/>
    <col min="3" max="3" width="7.5" style="2" bestFit="1" customWidth="1"/>
    <col min="4" max="4" width="10.5" style="4" bestFit="1" customWidth="1"/>
    <col min="5" max="5" width="7.5" style="4" bestFit="1" customWidth="1"/>
    <col min="6" max="6" width="17.75" style="4" bestFit="1" customWidth="1"/>
    <col min="7" max="7" width="5.5" style="4" bestFit="1" customWidth="1"/>
    <col min="8" max="8" width="16.5" style="4" bestFit="1" customWidth="1"/>
    <col min="9" max="9" width="7.5" style="4" bestFit="1" customWidth="1"/>
    <col min="10" max="10" width="16.5" style="4" bestFit="1" customWidth="1"/>
    <col min="11" max="11" width="7.5" style="4" bestFit="1" customWidth="1"/>
    <col min="12" max="12" width="19" style="4" bestFit="1" customWidth="1"/>
    <col min="13" max="13" width="12" style="4" bestFit="1" customWidth="1"/>
    <col min="14" max="14" width="10.75" style="4" bestFit="1" customWidth="1"/>
    <col min="15" max="16" width="9.75" style="4" bestFit="1" customWidth="1"/>
    <col min="17" max="17" width="14.125" style="4" bestFit="1" customWidth="1"/>
    <col min="18" max="19" width="14.5" style="4" bestFit="1" customWidth="1"/>
    <col min="20" max="21" width="15.75" style="4" bestFit="1" customWidth="1"/>
    <col min="22" max="22" width="10.875" style="4" customWidth="1"/>
    <col min="23" max="23" width="10" style="4" customWidth="1"/>
    <col min="24" max="24" width="12.25" style="4" customWidth="1"/>
    <col min="25" max="26" width="6.875" style="2" bestFit="1" customWidth="1"/>
    <col min="27" max="27" width="12.75" style="2" bestFit="1" customWidth="1"/>
    <col min="28" max="28" width="15.375" style="2" bestFit="1" customWidth="1"/>
    <col min="29" max="29" width="8.25" style="2" bestFit="1" customWidth="1"/>
    <col min="30" max="30" width="17" style="2" bestFit="1" customWidth="1"/>
    <col min="31" max="31" width="12.875" style="2" bestFit="1" customWidth="1"/>
    <col min="32" max="32" width="22.625" style="2" bestFit="1" customWidth="1"/>
    <col min="33" max="33" width="6" style="2" bestFit="1" customWidth="1"/>
    <col min="34" max="34" width="14.5" style="2" customWidth="1"/>
    <col min="35" max="35" width="30.5" style="2" bestFit="1" customWidth="1"/>
    <col min="36" max="36" width="7.125" style="2" bestFit="1" customWidth="1"/>
    <col min="37" max="37" width="11.625" style="2" bestFit="1" customWidth="1"/>
    <col min="38" max="39" width="10" style="2" bestFit="1" customWidth="1"/>
    <col min="40" max="40" width="19.375" style="2" bestFit="1" customWidth="1"/>
    <col min="41" max="41" width="9.375" style="2" bestFit="1" customWidth="1"/>
    <col min="42" max="42" width="5.5" style="2" bestFit="1" customWidth="1"/>
    <col min="43" max="43" width="10.5" style="2" bestFit="1" customWidth="1"/>
    <col min="44" max="44" width="14.125" style="2" bestFit="1" customWidth="1"/>
    <col min="45" max="45" width="17.75" style="2" bestFit="1" customWidth="1"/>
    <col min="46" max="46" width="10.5" style="2" bestFit="1" customWidth="1"/>
    <col min="47" max="48" width="8.25" style="2" bestFit="1" customWidth="1"/>
    <col min="49" max="49" width="14.125" style="2" bestFit="1" customWidth="1"/>
    <col min="50" max="51" width="12.875" style="2" bestFit="1" customWidth="1"/>
    <col min="52" max="52" width="19.375" style="2" bestFit="1" customWidth="1"/>
    <col min="53" max="53" width="5.75" style="2" bestFit="1" customWidth="1"/>
    <col min="54" max="54" width="5.5" style="2" bestFit="1" customWidth="1"/>
    <col min="55" max="55" width="5.75" style="2" bestFit="1" customWidth="1"/>
    <col min="56" max="56" width="5.5" style="2" bestFit="1" customWidth="1"/>
    <col min="57" max="57" width="5.75" style="2" bestFit="1" customWidth="1"/>
    <col min="58" max="58" width="5.5" style="2" bestFit="1" customWidth="1"/>
    <col min="59" max="59" width="5.75" style="2" bestFit="1" customWidth="1"/>
    <col min="60" max="60" width="5.5" style="2" bestFit="1" customWidth="1"/>
    <col min="61" max="61" width="5.75" style="2" bestFit="1" customWidth="1"/>
    <col min="62" max="62" width="5.5" style="2" bestFit="1" customWidth="1"/>
    <col min="63" max="63" width="10" style="2" bestFit="1" customWidth="1"/>
    <col min="64" max="64" width="5.5" style="2" bestFit="1" customWidth="1"/>
    <col min="65" max="65" width="8.25" style="2" bestFit="1" customWidth="1"/>
    <col min="66" max="16384" width="9" style="2"/>
  </cols>
  <sheetData>
    <row r="1" spans="1:65" s="8" customFormat="1" ht="33.6" customHeight="1" x14ac:dyDescent="0.15">
      <c r="A1" s="8" t="s">
        <v>3182</v>
      </c>
      <c r="B1" s="12" t="s">
        <v>0</v>
      </c>
      <c r="C1" s="8" t="s">
        <v>108</v>
      </c>
      <c r="D1" s="8" t="s">
        <v>109</v>
      </c>
      <c r="E1" s="12"/>
      <c r="F1" s="12" t="s">
        <v>3194</v>
      </c>
      <c r="G1" s="12"/>
      <c r="H1" s="9" t="s">
        <v>3067</v>
      </c>
      <c r="I1" s="29"/>
      <c r="J1" s="12" t="s">
        <v>3243</v>
      </c>
      <c r="K1" s="29"/>
      <c r="L1" s="29" t="s">
        <v>3259</v>
      </c>
      <c r="M1" s="17" t="s">
        <v>3325</v>
      </c>
      <c r="N1" s="12" t="s">
        <v>3326</v>
      </c>
      <c r="O1" s="12" t="s">
        <v>3327</v>
      </c>
      <c r="P1" s="12" t="s">
        <v>3328</v>
      </c>
      <c r="Q1" s="12" t="s">
        <v>3317</v>
      </c>
      <c r="R1" s="12" t="s">
        <v>3318</v>
      </c>
      <c r="S1" s="17" t="s">
        <v>3319</v>
      </c>
      <c r="T1" s="17" t="s">
        <v>3320</v>
      </c>
      <c r="U1" s="17" t="s">
        <v>3321</v>
      </c>
      <c r="V1" s="17" t="s">
        <v>3322</v>
      </c>
      <c r="W1" s="17" t="s">
        <v>3323</v>
      </c>
      <c r="X1" s="17" t="s">
        <v>3324</v>
      </c>
      <c r="Y1" s="20" t="s">
        <v>3316</v>
      </c>
      <c r="Z1" s="20" t="s">
        <v>2846</v>
      </c>
      <c r="AA1" s="20" t="s">
        <v>2854</v>
      </c>
      <c r="AB1" s="20" t="s">
        <v>2856</v>
      </c>
      <c r="AC1" s="12" t="s">
        <v>110</v>
      </c>
      <c r="AD1" s="12" t="s">
        <v>3293</v>
      </c>
      <c r="AE1" s="12" t="s">
        <v>3183</v>
      </c>
      <c r="AF1" s="12" t="s">
        <v>3247</v>
      </c>
      <c r="AG1" s="12" t="s">
        <v>111</v>
      </c>
      <c r="AH1" s="12" t="s">
        <v>112</v>
      </c>
      <c r="AI1" s="12" t="s">
        <v>3294</v>
      </c>
      <c r="AJ1" s="12" t="s">
        <v>3186</v>
      </c>
      <c r="AK1" s="12" t="s">
        <v>3187</v>
      </c>
      <c r="AL1" s="12" t="s">
        <v>59</v>
      </c>
      <c r="AM1" s="12" t="s">
        <v>3188</v>
      </c>
      <c r="AN1" s="12" t="s">
        <v>3189</v>
      </c>
      <c r="AO1" s="8" t="s">
        <v>114</v>
      </c>
      <c r="AP1" s="12"/>
      <c r="AQ1" s="12" t="s">
        <v>3196</v>
      </c>
      <c r="AR1" s="12" t="s">
        <v>3198</v>
      </c>
      <c r="AS1" s="12" t="s">
        <v>3200</v>
      </c>
      <c r="AT1" s="12" t="s">
        <v>2867</v>
      </c>
      <c r="AU1" s="12" t="s">
        <v>3291</v>
      </c>
      <c r="AV1" s="12" t="s">
        <v>3201</v>
      </c>
      <c r="AW1" s="12" t="s">
        <v>113</v>
      </c>
      <c r="AX1" s="12" t="s">
        <v>3184</v>
      </c>
      <c r="AY1" s="12" t="s">
        <v>3185</v>
      </c>
      <c r="AZ1" s="8" t="s">
        <v>115</v>
      </c>
      <c r="BA1" s="8" t="s">
        <v>115</v>
      </c>
      <c r="BB1" s="12"/>
      <c r="BC1" s="8" t="s">
        <v>115</v>
      </c>
      <c r="BD1" s="12"/>
      <c r="BE1" s="8" t="s">
        <v>115</v>
      </c>
      <c r="BF1" s="12"/>
      <c r="BG1" s="8" t="s">
        <v>115</v>
      </c>
      <c r="BH1" s="12"/>
      <c r="BI1" s="8" t="s">
        <v>115</v>
      </c>
      <c r="BJ1" s="12"/>
      <c r="BK1" s="12" t="s">
        <v>115</v>
      </c>
      <c r="BL1" s="12"/>
      <c r="BM1" s="8" t="s">
        <v>3190</v>
      </c>
    </row>
    <row r="2" spans="1:65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/>
      <c r="N2" s="2"/>
      <c r="O2" s="2"/>
      <c r="P2" s="2"/>
      <c r="Q2" s="2"/>
      <c r="R2" s="2"/>
      <c r="S2"/>
      <c r="T2"/>
      <c r="U2"/>
      <c r="V2"/>
      <c r="W2"/>
      <c r="X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s="10" customFormat="1" ht="15.75" customHeight="1" x14ac:dyDescent="0.15">
      <c r="A3" s="10" t="s">
        <v>3140</v>
      </c>
      <c r="B3" s="10" t="s">
        <v>3153</v>
      </c>
      <c r="C3" s="10" t="s">
        <v>3154</v>
      </c>
      <c r="D3" s="11" t="s">
        <v>3266</v>
      </c>
      <c r="E3" s="11" t="s">
        <v>3140</v>
      </c>
      <c r="F3" s="11" t="s">
        <v>3267</v>
      </c>
      <c r="G3" s="11" t="s">
        <v>3140</v>
      </c>
      <c r="H3" s="11" t="s">
        <v>3268</v>
      </c>
      <c r="I3" s="21" t="s">
        <v>3140</v>
      </c>
      <c r="J3" s="11" t="s">
        <v>3269</v>
      </c>
      <c r="K3" s="21" t="s">
        <v>3140</v>
      </c>
      <c r="L3" s="21" t="s">
        <v>3270</v>
      </c>
      <c r="M3" s="10" t="s">
        <v>3329</v>
      </c>
      <c r="N3" s="11" t="s">
        <v>3330</v>
      </c>
      <c r="O3" s="11" t="s">
        <v>3331</v>
      </c>
      <c r="P3" s="11" t="s">
        <v>3332</v>
      </c>
      <c r="Q3" s="10" t="s">
        <v>3311</v>
      </c>
      <c r="R3" s="10" t="s">
        <v>3312</v>
      </c>
      <c r="S3" s="10" t="s">
        <v>3313</v>
      </c>
      <c r="T3" s="10" t="s">
        <v>3314</v>
      </c>
      <c r="U3" s="10" t="s">
        <v>3315</v>
      </c>
      <c r="V3" s="10" t="s">
        <v>3335</v>
      </c>
      <c r="W3" s="10" t="s">
        <v>3333</v>
      </c>
      <c r="X3" s="10" t="s">
        <v>3334</v>
      </c>
      <c r="Y3" s="22" t="s">
        <v>3191</v>
      </c>
      <c r="Z3" s="21" t="s">
        <v>3192</v>
      </c>
      <c r="AA3" s="22" t="s">
        <v>3066</v>
      </c>
      <c r="AB3" s="22" t="s">
        <v>3193</v>
      </c>
      <c r="AC3" s="10" t="s">
        <v>3175</v>
      </c>
      <c r="AD3" s="10" t="s">
        <v>3292</v>
      </c>
      <c r="AE3" s="10" t="s">
        <v>2871</v>
      </c>
      <c r="AF3" s="10" t="s">
        <v>3296</v>
      </c>
      <c r="AG3" s="10" t="s">
        <v>3176</v>
      </c>
      <c r="AH3" s="10" t="s">
        <v>3177</v>
      </c>
      <c r="AI3" s="10" t="s">
        <v>3308</v>
      </c>
      <c r="AJ3" s="10" t="s">
        <v>3179</v>
      </c>
      <c r="AK3" s="10" t="s">
        <v>3180</v>
      </c>
      <c r="AL3" s="10" t="s">
        <v>3140</v>
      </c>
      <c r="AM3" s="10" t="s">
        <v>3140</v>
      </c>
      <c r="AN3" s="10" t="s">
        <v>3195</v>
      </c>
      <c r="AO3" s="10" t="s">
        <v>3258</v>
      </c>
      <c r="AP3" s="10" t="s">
        <v>3140</v>
      </c>
      <c r="AQ3" s="10" t="s">
        <v>3178</v>
      </c>
      <c r="AR3" s="10" t="s">
        <v>3197</v>
      </c>
      <c r="AS3" s="10" t="s">
        <v>3199</v>
      </c>
      <c r="AT3" s="10" t="s">
        <v>2869</v>
      </c>
      <c r="AU3" s="10" t="s">
        <v>2868</v>
      </c>
      <c r="AV3" s="10" t="s">
        <v>3290</v>
      </c>
      <c r="AW3" s="10" t="s">
        <v>3246</v>
      </c>
      <c r="AX3" s="10" t="s">
        <v>3244</v>
      </c>
      <c r="AY3" s="10" t="s">
        <v>3245</v>
      </c>
      <c r="AZ3" s="10" t="s">
        <v>3265</v>
      </c>
      <c r="BA3" s="10" t="s">
        <v>3140</v>
      </c>
      <c r="BB3" s="10" t="s">
        <v>3140</v>
      </c>
      <c r="BC3" s="10" t="s">
        <v>3140</v>
      </c>
      <c r="BD3" s="10" t="s">
        <v>3140</v>
      </c>
      <c r="BE3" s="10" t="s">
        <v>3140</v>
      </c>
      <c r="BF3" s="10" t="s">
        <v>3140</v>
      </c>
      <c r="BG3" s="10" t="s">
        <v>3140</v>
      </c>
      <c r="BH3" s="10" t="s">
        <v>3140</v>
      </c>
      <c r="BI3" s="10" t="s">
        <v>3140</v>
      </c>
      <c r="BJ3" s="10" t="s">
        <v>3140</v>
      </c>
      <c r="BK3" s="10" t="s">
        <v>3140</v>
      </c>
      <c r="BL3" s="10" t="s">
        <v>3140</v>
      </c>
      <c r="BM3" s="10" t="s">
        <v>3298</v>
      </c>
    </row>
    <row r="4" spans="1:65" s="24" customFormat="1" ht="15.75" customHeight="1" x14ac:dyDescent="0.15">
      <c r="A4" s="26" t="s">
        <v>3140</v>
      </c>
      <c r="B4" s="24" t="s">
        <v>3139</v>
      </c>
      <c r="C4" s="24" t="s">
        <v>3172</v>
      </c>
      <c r="D4" s="24" t="s">
        <v>3139</v>
      </c>
      <c r="E4" s="24" t="s">
        <v>3140</v>
      </c>
      <c r="F4" s="24" t="s">
        <v>3139</v>
      </c>
      <c r="G4" s="24" t="s">
        <v>3140</v>
      </c>
      <c r="H4" s="25" t="s">
        <v>3139</v>
      </c>
      <c r="I4" s="24" t="s">
        <v>3140</v>
      </c>
      <c r="J4" s="24" t="s">
        <v>3139</v>
      </c>
      <c r="K4" s="24" t="s">
        <v>3140</v>
      </c>
      <c r="L4" s="24" t="s">
        <v>3139</v>
      </c>
      <c r="M4" s="27" t="s">
        <v>3139</v>
      </c>
      <c r="N4" s="24" t="s">
        <v>3139</v>
      </c>
      <c r="O4" s="24" t="s">
        <v>3139</v>
      </c>
      <c r="P4" s="24" t="s">
        <v>3139</v>
      </c>
      <c r="Q4" s="24" t="s">
        <v>3139</v>
      </c>
      <c r="R4" s="24" t="s">
        <v>3139</v>
      </c>
      <c r="S4" s="24" t="s">
        <v>3139</v>
      </c>
      <c r="T4" s="24" t="s">
        <v>3139</v>
      </c>
      <c r="U4" s="24" t="s">
        <v>3139</v>
      </c>
      <c r="V4" s="27" t="s">
        <v>3139</v>
      </c>
      <c r="W4" s="27" t="s">
        <v>3139</v>
      </c>
      <c r="X4" s="27" t="s">
        <v>3139</v>
      </c>
      <c r="Y4" s="27" t="s">
        <v>3130</v>
      </c>
      <c r="Z4" s="27" t="s">
        <v>3130</v>
      </c>
      <c r="AA4" s="27" t="s">
        <v>3132</v>
      </c>
      <c r="AB4" s="27" t="s">
        <v>3132</v>
      </c>
      <c r="AC4" s="24" t="s">
        <v>3181</v>
      </c>
      <c r="AD4" s="24" t="s">
        <v>3181</v>
      </c>
      <c r="AE4" s="24" t="s">
        <v>3139</v>
      </c>
      <c r="AF4" s="24" t="s">
        <v>3139</v>
      </c>
      <c r="AG4" s="24" t="s">
        <v>3139</v>
      </c>
      <c r="AH4" s="24" t="s">
        <v>3139</v>
      </c>
      <c r="AI4" s="24" t="s">
        <v>3164</v>
      </c>
      <c r="AJ4" s="24" t="s">
        <v>3173</v>
      </c>
      <c r="AK4" s="24" t="s">
        <v>3173</v>
      </c>
      <c r="AL4" s="24" t="s">
        <v>3140</v>
      </c>
      <c r="AM4" s="24" t="s">
        <v>3140</v>
      </c>
      <c r="AN4" s="24" t="s">
        <v>3181</v>
      </c>
      <c r="AO4" s="24" t="s">
        <v>3139</v>
      </c>
      <c r="AP4" s="24" t="s">
        <v>3140</v>
      </c>
      <c r="AQ4" s="24" t="s">
        <v>3130</v>
      </c>
      <c r="AR4" s="24" t="s">
        <v>3130</v>
      </c>
      <c r="AS4" s="24" t="s">
        <v>3128</v>
      </c>
      <c r="AT4" s="24" t="s">
        <v>3128</v>
      </c>
      <c r="AU4" s="24" t="s">
        <v>3128</v>
      </c>
      <c r="AV4" s="24" t="s">
        <v>3128</v>
      </c>
      <c r="AW4" s="24" t="s">
        <v>3174</v>
      </c>
      <c r="AX4" s="24" t="s">
        <v>3171</v>
      </c>
      <c r="AY4" s="24" t="s">
        <v>3171</v>
      </c>
      <c r="AZ4" s="24" t="s">
        <v>3164</v>
      </c>
      <c r="BA4" s="24" t="s">
        <v>3140</v>
      </c>
      <c r="BB4" s="24" t="s">
        <v>3140</v>
      </c>
      <c r="BC4" s="24" t="s">
        <v>3140</v>
      </c>
      <c r="BD4" s="24" t="s">
        <v>3140</v>
      </c>
      <c r="BE4" s="24" t="s">
        <v>3140</v>
      </c>
      <c r="BF4" s="24" t="s">
        <v>3140</v>
      </c>
      <c r="BG4" s="24" t="s">
        <v>3140</v>
      </c>
      <c r="BH4" s="24" t="s">
        <v>3140</v>
      </c>
      <c r="BI4" s="24" t="s">
        <v>3140</v>
      </c>
      <c r="BJ4" s="24" t="s">
        <v>3140</v>
      </c>
      <c r="BK4" s="24" t="s">
        <v>3140</v>
      </c>
      <c r="BL4" s="24" t="s">
        <v>3140</v>
      </c>
      <c r="BM4" s="24" t="s">
        <v>3139</v>
      </c>
    </row>
    <row r="5" spans="1:65" x14ac:dyDescent="0.15">
      <c r="B5" s="2" t="s">
        <v>54</v>
      </c>
      <c r="C5" s="2" t="s">
        <v>116</v>
      </c>
      <c r="D5" s="4" t="s">
        <v>426</v>
      </c>
      <c r="E5" s="4" t="str">
        <f>VLOOKUP(D5,personSet!$B$5:$C$836,2,0)</f>
        <v>公孙度</v>
      </c>
      <c r="F5" s="4">
        <v>1</v>
      </c>
      <c r="G5" s="2" t="s">
        <v>2847</v>
      </c>
      <c r="H5" s="2" t="s">
        <v>41</v>
      </c>
      <c r="I5" s="4" t="str">
        <f>VLOOKUP(H5,forceSet!$B$5:$D$46,3,0)</f>
        <v>公孙度</v>
      </c>
      <c r="J5" s="4" t="s">
        <v>41</v>
      </c>
      <c r="K5" s="4" t="str">
        <f>VLOOKUP(J5,corpsSet!$B$5:$C$46,2,0)</f>
        <v>公孙度</v>
      </c>
      <c r="L5" s="4">
        <v>1</v>
      </c>
      <c r="M5" s="4">
        <v>100000</v>
      </c>
      <c r="N5" s="4">
        <v>500000</v>
      </c>
      <c r="O5" s="4">
        <v>20000</v>
      </c>
      <c r="P5" s="4">
        <v>200000</v>
      </c>
      <c r="Q5" s="4">
        <v>12</v>
      </c>
      <c r="R5" s="4">
        <v>10</v>
      </c>
      <c r="S5" s="4">
        <v>3</v>
      </c>
      <c r="T5" s="4">
        <v>500</v>
      </c>
      <c r="U5" s="4">
        <v>5600</v>
      </c>
      <c r="V5" s="4">
        <v>3000</v>
      </c>
      <c r="W5" s="4">
        <v>200</v>
      </c>
      <c r="X5" s="4">
        <v>200</v>
      </c>
      <c r="Y5" s="4">
        <v>202</v>
      </c>
      <c r="Z5" s="2">
        <v>44</v>
      </c>
      <c r="AA5" s="2" t="s">
        <v>2852</v>
      </c>
      <c r="AB5" s="2" t="s">
        <v>2852</v>
      </c>
      <c r="AC5" s="2">
        <v>22000</v>
      </c>
      <c r="AD5" s="2" t="s">
        <v>2852</v>
      </c>
      <c r="AE5" s="4" t="s">
        <v>118</v>
      </c>
      <c r="AF5" s="4">
        <v>30000</v>
      </c>
      <c r="AG5" s="2">
        <v>4800</v>
      </c>
      <c r="AH5" s="2">
        <v>48000</v>
      </c>
      <c r="AI5" s="2" t="s">
        <v>3310</v>
      </c>
      <c r="AJ5" s="2" t="s">
        <v>60</v>
      </c>
      <c r="AK5" s="2" t="s">
        <v>60</v>
      </c>
      <c r="AM5" s="2" t="s">
        <v>2855</v>
      </c>
      <c r="AN5" s="7" t="s">
        <v>60</v>
      </c>
      <c r="AO5" s="2">
        <v>1</v>
      </c>
      <c r="AP5" s="4" t="s">
        <v>124</v>
      </c>
      <c r="AQ5" s="4">
        <v>0</v>
      </c>
      <c r="AR5" s="4">
        <v>0</v>
      </c>
      <c r="AS5" s="4">
        <v>100</v>
      </c>
      <c r="AT5" s="4">
        <v>90</v>
      </c>
      <c r="AU5" s="4">
        <v>100</v>
      </c>
      <c r="AV5" s="4">
        <v>100</v>
      </c>
      <c r="AW5" s="2" t="s">
        <v>3248</v>
      </c>
      <c r="AX5" s="2" t="s">
        <v>120</v>
      </c>
      <c r="AY5" s="2" t="s">
        <v>121</v>
      </c>
      <c r="AZ5" s="2" t="s">
        <v>74</v>
      </c>
      <c r="BA5" s="2" t="s">
        <v>35</v>
      </c>
      <c r="BB5" s="4" t="s">
        <v>125</v>
      </c>
      <c r="BC5" s="2" t="s">
        <v>60</v>
      </c>
      <c r="BD5" s="4"/>
      <c r="BE5" s="4" t="s">
        <v>60</v>
      </c>
      <c r="BF5" s="4"/>
      <c r="BG5" s="2" t="s">
        <v>60</v>
      </c>
      <c r="BH5" s="4"/>
      <c r="BI5" s="2" t="s">
        <v>60</v>
      </c>
      <c r="BK5" s="2" t="s">
        <v>60</v>
      </c>
      <c r="BM5" s="2" t="s">
        <v>3260</v>
      </c>
    </row>
    <row r="6" spans="1:65" x14ac:dyDescent="0.15">
      <c r="B6" s="2" t="s">
        <v>74</v>
      </c>
      <c r="C6" s="2" t="s">
        <v>125</v>
      </c>
      <c r="D6" s="4" t="s">
        <v>778</v>
      </c>
      <c r="E6" s="4" t="str">
        <f>VLOOKUP(D6,personSet!$B$5:$C$836,2,0)</f>
        <v>公孙瓒</v>
      </c>
      <c r="F6" s="4">
        <v>1</v>
      </c>
      <c r="G6" s="2" t="s">
        <v>2847</v>
      </c>
      <c r="H6" s="2" t="s">
        <v>20</v>
      </c>
      <c r="I6" s="4" t="str">
        <f>VLOOKUP(H6,forceSet!$B$5:$D$46,3,0)</f>
        <v>公孙瓒</v>
      </c>
      <c r="J6" s="4" t="s">
        <v>20</v>
      </c>
      <c r="K6" s="4" t="str">
        <f>VLOOKUP(J6,corpsSet!$B$5:$C$46,2,0)</f>
        <v>公孙瓒</v>
      </c>
      <c r="L6" s="4">
        <v>1</v>
      </c>
      <c r="M6" s="4">
        <v>100000</v>
      </c>
      <c r="N6" s="4">
        <v>500000</v>
      </c>
      <c r="O6" s="4">
        <v>20000</v>
      </c>
      <c r="P6" s="4">
        <v>200000</v>
      </c>
      <c r="Q6" s="4">
        <v>12</v>
      </c>
      <c r="R6" s="4">
        <v>10</v>
      </c>
      <c r="S6" s="4">
        <v>3</v>
      </c>
      <c r="T6" s="4">
        <v>500</v>
      </c>
      <c r="U6" s="4">
        <v>5600</v>
      </c>
      <c r="V6" s="4">
        <v>3000</v>
      </c>
      <c r="W6" s="4">
        <v>200</v>
      </c>
      <c r="X6" s="4">
        <v>200</v>
      </c>
      <c r="Y6" s="4">
        <v>177</v>
      </c>
      <c r="Z6" s="2">
        <v>48</v>
      </c>
      <c r="AA6" s="2" t="s">
        <v>2852</v>
      </c>
      <c r="AB6" s="2" t="s">
        <v>2852</v>
      </c>
      <c r="AC6" s="2">
        <v>30000</v>
      </c>
      <c r="AD6" s="2" t="s">
        <v>2852</v>
      </c>
      <c r="AE6" s="4" t="s">
        <v>2872</v>
      </c>
      <c r="AF6" s="4">
        <v>30000</v>
      </c>
      <c r="AG6" s="2">
        <v>6000</v>
      </c>
      <c r="AH6" s="2">
        <v>60000</v>
      </c>
      <c r="AI6" s="2" t="s">
        <v>3310</v>
      </c>
      <c r="AJ6" s="2" t="s">
        <v>60</v>
      </c>
      <c r="AK6" s="2" t="s">
        <v>60</v>
      </c>
      <c r="AM6" s="2" t="s">
        <v>2855</v>
      </c>
      <c r="AN6" s="7" t="s">
        <v>60</v>
      </c>
      <c r="AO6" s="2">
        <v>1</v>
      </c>
      <c r="AP6" s="4" t="s">
        <v>124</v>
      </c>
      <c r="AQ6" s="4">
        <v>0</v>
      </c>
      <c r="AR6" s="4">
        <v>0</v>
      </c>
      <c r="AS6" s="4">
        <v>100</v>
      </c>
      <c r="AT6" s="4">
        <v>90</v>
      </c>
      <c r="AU6" s="4">
        <v>100</v>
      </c>
      <c r="AV6" s="4">
        <v>100</v>
      </c>
      <c r="AW6" s="2" t="s">
        <v>3248</v>
      </c>
      <c r="AX6" s="2" t="s">
        <v>127</v>
      </c>
      <c r="AY6" s="2" t="s">
        <v>128</v>
      </c>
      <c r="AZ6" s="2" t="s">
        <v>3202</v>
      </c>
      <c r="BA6" s="2" t="s">
        <v>27</v>
      </c>
      <c r="BB6" s="4" t="s">
        <v>116</v>
      </c>
      <c r="BC6" s="2" t="s">
        <v>31</v>
      </c>
      <c r="BD6" s="4" t="s">
        <v>131</v>
      </c>
      <c r="BE6" s="4" t="s">
        <v>37</v>
      </c>
      <c r="BF6" s="4" t="s">
        <v>132</v>
      </c>
      <c r="BG6" s="2" t="s">
        <v>60</v>
      </c>
      <c r="BH6" s="4"/>
      <c r="BI6" s="2" t="s">
        <v>60</v>
      </c>
      <c r="BK6" s="2" t="s">
        <v>60</v>
      </c>
      <c r="BM6" s="2" t="s">
        <v>3260</v>
      </c>
    </row>
    <row r="7" spans="1:65" x14ac:dyDescent="0.15">
      <c r="B7" s="2" t="s">
        <v>31</v>
      </c>
      <c r="C7" s="2" t="s">
        <v>131</v>
      </c>
      <c r="D7" s="4" t="s">
        <v>892</v>
      </c>
      <c r="E7" s="4" t="str">
        <f>VLOOKUP(D7,personSet!$B$5:$C$836,2,0)</f>
        <v>刘虞</v>
      </c>
      <c r="F7" s="4">
        <v>1</v>
      </c>
      <c r="G7" s="2" t="s">
        <v>2847</v>
      </c>
      <c r="H7" s="2" t="s">
        <v>17</v>
      </c>
      <c r="I7" s="4" t="str">
        <f>VLOOKUP(H7,forceSet!$B$5:$D$46,3,0)</f>
        <v>刘虞</v>
      </c>
      <c r="J7" s="4" t="s">
        <v>17</v>
      </c>
      <c r="K7" s="4" t="str">
        <f>VLOOKUP(J7,corpsSet!$B$5:$C$46,2,0)</f>
        <v>刘虞</v>
      </c>
      <c r="L7" s="4">
        <v>1</v>
      </c>
      <c r="M7" s="4">
        <v>100000</v>
      </c>
      <c r="N7" s="4">
        <v>500000</v>
      </c>
      <c r="O7" s="4">
        <v>20000</v>
      </c>
      <c r="P7" s="4">
        <v>200000</v>
      </c>
      <c r="Q7" s="4">
        <v>12</v>
      </c>
      <c r="R7" s="4">
        <v>10</v>
      </c>
      <c r="S7" s="4">
        <v>3</v>
      </c>
      <c r="T7" s="4">
        <v>500</v>
      </c>
      <c r="U7" s="4">
        <v>5600</v>
      </c>
      <c r="V7" s="4">
        <v>3000</v>
      </c>
      <c r="W7" s="4">
        <v>200</v>
      </c>
      <c r="X7" s="4">
        <v>200</v>
      </c>
      <c r="Y7" s="4">
        <v>150</v>
      </c>
      <c r="Z7" s="2">
        <v>44</v>
      </c>
      <c r="AA7" s="2" t="s">
        <v>60</v>
      </c>
      <c r="AB7" s="2" t="s">
        <v>60</v>
      </c>
      <c r="AC7" s="2">
        <v>24000</v>
      </c>
      <c r="AD7" s="2" t="s">
        <v>60</v>
      </c>
      <c r="AE7" s="4" t="s">
        <v>2873</v>
      </c>
      <c r="AF7" s="4">
        <v>30000</v>
      </c>
      <c r="AG7" s="2">
        <v>4800</v>
      </c>
      <c r="AH7" s="2">
        <v>48000</v>
      </c>
      <c r="AI7" s="2" t="s">
        <v>3309</v>
      </c>
      <c r="AJ7" s="2" t="s">
        <v>60</v>
      </c>
      <c r="AK7" s="2" t="s">
        <v>60</v>
      </c>
      <c r="AM7" s="2" t="s">
        <v>2855</v>
      </c>
      <c r="AN7" s="7" t="s">
        <v>60</v>
      </c>
      <c r="AO7" s="2">
        <v>1</v>
      </c>
      <c r="AP7" s="4" t="s">
        <v>124</v>
      </c>
      <c r="AQ7" s="4">
        <v>0</v>
      </c>
      <c r="AR7" s="4">
        <v>0</v>
      </c>
      <c r="AS7" s="4">
        <v>100</v>
      </c>
      <c r="AT7" s="4">
        <v>90</v>
      </c>
      <c r="AU7" s="4">
        <v>100</v>
      </c>
      <c r="AV7" s="4">
        <v>100</v>
      </c>
      <c r="AW7" s="2" t="s">
        <v>3248</v>
      </c>
      <c r="AX7" s="2" t="s">
        <v>127</v>
      </c>
      <c r="AY7" s="2" t="s">
        <v>121</v>
      </c>
      <c r="AZ7" s="2" t="s">
        <v>3203</v>
      </c>
      <c r="BA7" s="2" t="s">
        <v>35</v>
      </c>
      <c r="BB7" s="4" t="s">
        <v>125</v>
      </c>
      <c r="BC7" s="2" t="s">
        <v>37</v>
      </c>
      <c r="BD7" s="4" t="s">
        <v>132</v>
      </c>
      <c r="BE7" s="4" t="s">
        <v>36</v>
      </c>
      <c r="BF7" s="4" t="s">
        <v>135</v>
      </c>
      <c r="BG7" s="2" t="s">
        <v>60</v>
      </c>
      <c r="BH7" s="4"/>
      <c r="BI7" s="2" t="s">
        <v>60</v>
      </c>
      <c r="BK7" s="2" t="s">
        <v>60</v>
      </c>
      <c r="BM7" s="2" t="s">
        <v>213</v>
      </c>
    </row>
    <row r="8" spans="1:65" x14ac:dyDescent="0.15">
      <c r="B8" s="2" t="s">
        <v>37</v>
      </c>
      <c r="C8" s="2" t="s">
        <v>132</v>
      </c>
      <c r="D8" s="4" t="s">
        <v>105</v>
      </c>
      <c r="E8" s="4" t="str">
        <f>VLOOKUP(D8,personSet!$B$5:$C$836,2,0)</f>
        <v>袁绍</v>
      </c>
      <c r="F8" s="4">
        <v>1</v>
      </c>
      <c r="G8" s="2" t="s">
        <v>2847</v>
      </c>
      <c r="H8" s="2" t="s">
        <v>30</v>
      </c>
      <c r="I8" s="4" t="str">
        <f>VLOOKUP(H8,forceSet!$B$5:$D$46,3,0)</f>
        <v>袁绍</v>
      </c>
      <c r="J8" s="4" t="s">
        <v>30</v>
      </c>
      <c r="K8" s="4" t="str">
        <f>VLOOKUP(J8,corpsSet!$B$5:$C$46,2,0)</f>
        <v>袁绍</v>
      </c>
      <c r="L8" s="4">
        <v>1</v>
      </c>
      <c r="M8" s="4">
        <v>100000</v>
      </c>
      <c r="N8" s="4">
        <v>500000</v>
      </c>
      <c r="O8" s="4">
        <v>20000</v>
      </c>
      <c r="P8" s="4">
        <v>200000</v>
      </c>
      <c r="Q8" s="4">
        <v>12</v>
      </c>
      <c r="R8" s="4">
        <v>10</v>
      </c>
      <c r="S8" s="4">
        <v>3</v>
      </c>
      <c r="T8" s="4">
        <v>500</v>
      </c>
      <c r="U8" s="4">
        <v>5600</v>
      </c>
      <c r="V8" s="4">
        <v>3000</v>
      </c>
      <c r="W8" s="4">
        <v>200</v>
      </c>
      <c r="X8" s="4">
        <v>200</v>
      </c>
      <c r="Y8" s="4">
        <v>166</v>
      </c>
      <c r="Z8" s="2">
        <v>65</v>
      </c>
      <c r="AA8" s="2" t="s">
        <v>60</v>
      </c>
      <c r="AB8" s="2" t="s">
        <v>60</v>
      </c>
      <c r="AC8" s="2">
        <v>30000</v>
      </c>
      <c r="AD8" s="2" t="s">
        <v>60</v>
      </c>
      <c r="AE8" s="4" t="s">
        <v>2874</v>
      </c>
      <c r="AF8" s="4">
        <v>30000</v>
      </c>
      <c r="AG8" s="2">
        <v>6000</v>
      </c>
      <c r="AH8" s="2">
        <v>60000</v>
      </c>
      <c r="AI8" s="2" t="s">
        <v>3309</v>
      </c>
      <c r="AJ8" s="2" t="s">
        <v>60</v>
      </c>
      <c r="AK8" s="2" t="s">
        <v>60</v>
      </c>
      <c r="AM8" s="2" t="s">
        <v>2855</v>
      </c>
      <c r="AN8" s="7" t="s">
        <v>60</v>
      </c>
      <c r="AO8" s="2">
        <v>2</v>
      </c>
      <c r="AP8" s="4" t="s">
        <v>138</v>
      </c>
      <c r="AQ8" s="4">
        <v>0</v>
      </c>
      <c r="AR8" s="4">
        <v>0</v>
      </c>
      <c r="AS8" s="4">
        <v>100</v>
      </c>
      <c r="AT8" s="4">
        <v>90</v>
      </c>
      <c r="AU8" s="4">
        <v>100</v>
      </c>
      <c r="AV8" s="4">
        <v>100</v>
      </c>
      <c r="AW8" s="2" t="s">
        <v>3248</v>
      </c>
      <c r="AX8" s="2" t="s">
        <v>120</v>
      </c>
      <c r="AY8" s="2" t="s">
        <v>128</v>
      </c>
      <c r="AZ8" s="2" t="s">
        <v>3204</v>
      </c>
      <c r="BA8" s="2" t="s">
        <v>35</v>
      </c>
      <c r="BB8" s="4" t="s">
        <v>125</v>
      </c>
      <c r="BC8" s="2" t="s">
        <v>31</v>
      </c>
      <c r="BD8" s="4" t="s">
        <v>131</v>
      </c>
      <c r="BE8" s="4" t="s">
        <v>33</v>
      </c>
      <c r="BF8" s="4" t="s">
        <v>139</v>
      </c>
      <c r="BG8" s="2" t="s">
        <v>34</v>
      </c>
      <c r="BH8" s="4" t="s">
        <v>140</v>
      </c>
      <c r="BI8" s="2" t="s">
        <v>60</v>
      </c>
      <c r="BK8" s="2" t="s">
        <v>60</v>
      </c>
      <c r="BM8" s="2" t="s">
        <v>213</v>
      </c>
    </row>
    <row r="9" spans="1:65" x14ac:dyDescent="0.15">
      <c r="B9" s="2" t="s">
        <v>33</v>
      </c>
      <c r="C9" s="2" t="s">
        <v>139</v>
      </c>
      <c r="D9" s="2">
        <v>0</v>
      </c>
      <c r="E9" s="4" t="e">
        <f>VLOOKUP(D9,personSet!$B$5:$C$836,2,0)</f>
        <v>#N/A</v>
      </c>
      <c r="F9" s="4">
        <v>1</v>
      </c>
      <c r="G9" s="2" t="s">
        <v>2847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>
        <v>1</v>
      </c>
      <c r="M9" s="4">
        <v>100000</v>
      </c>
      <c r="N9" s="4">
        <v>500000</v>
      </c>
      <c r="O9" s="4">
        <v>20000</v>
      </c>
      <c r="P9" s="4">
        <v>200000</v>
      </c>
      <c r="Q9" s="4">
        <v>12</v>
      </c>
      <c r="R9" s="4">
        <v>10</v>
      </c>
      <c r="S9" s="4">
        <v>3</v>
      </c>
      <c r="T9" s="4">
        <v>500</v>
      </c>
      <c r="U9" s="4">
        <v>5600</v>
      </c>
      <c r="V9" s="4">
        <v>3000</v>
      </c>
      <c r="W9" s="4">
        <v>200</v>
      </c>
      <c r="X9" s="4">
        <v>200</v>
      </c>
      <c r="Y9" s="4">
        <v>157</v>
      </c>
      <c r="Z9" s="2">
        <v>82</v>
      </c>
      <c r="AA9" s="2" t="s">
        <v>60</v>
      </c>
      <c r="AB9" s="2" t="s">
        <v>60</v>
      </c>
      <c r="AC9" s="2">
        <v>0</v>
      </c>
      <c r="AD9" s="2" t="s">
        <v>60</v>
      </c>
      <c r="AE9" s="4" t="s">
        <v>2875</v>
      </c>
      <c r="AF9" s="4">
        <v>30000</v>
      </c>
      <c r="AG9" s="2">
        <v>0</v>
      </c>
      <c r="AH9" s="2">
        <v>0</v>
      </c>
      <c r="AI9" s="2" t="s">
        <v>3309</v>
      </c>
      <c r="AJ9" s="2" t="s">
        <v>60</v>
      </c>
      <c r="AK9" s="2" t="s">
        <v>60</v>
      </c>
      <c r="AM9" s="2" t="s">
        <v>2855</v>
      </c>
      <c r="AN9" s="7" t="s">
        <v>60</v>
      </c>
      <c r="AO9" s="2">
        <v>2</v>
      </c>
      <c r="AP9" s="4" t="s">
        <v>138</v>
      </c>
      <c r="AQ9" s="4">
        <v>0</v>
      </c>
      <c r="AR9" s="4">
        <v>0</v>
      </c>
      <c r="AS9" s="4">
        <v>100</v>
      </c>
      <c r="AT9" s="4">
        <v>90</v>
      </c>
      <c r="AU9" s="4">
        <v>100</v>
      </c>
      <c r="AV9" s="4">
        <v>100</v>
      </c>
      <c r="AW9" s="2" t="s">
        <v>3248</v>
      </c>
      <c r="AX9" s="2" t="s">
        <v>120</v>
      </c>
      <c r="AY9" s="2" t="s">
        <v>128</v>
      </c>
      <c r="AZ9" s="2" t="s">
        <v>3205</v>
      </c>
      <c r="BA9" s="2" t="s">
        <v>37</v>
      </c>
      <c r="BB9" s="4" t="s">
        <v>132</v>
      </c>
      <c r="BC9" s="2" t="s">
        <v>34</v>
      </c>
      <c r="BD9" s="4" t="s">
        <v>140</v>
      </c>
      <c r="BE9" s="4" t="s">
        <v>30</v>
      </c>
      <c r="BF9" s="4" t="s">
        <v>2913</v>
      </c>
      <c r="BG9" s="2" t="s">
        <v>20</v>
      </c>
      <c r="BH9" s="4" t="s">
        <v>2333</v>
      </c>
      <c r="BI9" s="2" t="s">
        <v>60</v>
      </c>
      <c r="BK9" s="2" t="s">
        <v>60</v>
      </c>
      <c r="BM9" s="2" t="s">
        <v>213</v>
      </c>
    </row>
    <row r="10" spans="1:65" x14ac:dyDescent="0.15">
      <c r="B10" s="2" t="s">
        <v>36</v>
      </c>
      <c r="C10" s="2" t="s">
        <v>135</v>
      </c>
      <c r="D10" s="4" t="s">
        <v>1277</v>
      </c>
      <c r="E10" s="4" t="str">
        <f>VLOOKUP(D10,personSet!$B$5:$C$836,2,0)</f>
        <v>丁原</v>
      </c>
      <c r="F10" s="4">
        <v>1</v>
      </c>
      <c r="G10" s="2" t="s">
        <v>2847</v>
      </c>
      <c r="H10" s="2" t="s">
        <v>3151</v>
      </c>
      <c r="I10" s="4" t="str">
        <f>VLOOKUP(H10,forceSet!$B$5:$D$46,3,0)</f>
        <v>丁原</v>
      </c>
      <c r="J10" s="2" t="s">
        <v>3151</v>
      </c>
      <c r="K10" s="4" t="str">
        <f>VLOOKUP(J10,corpsSet!$B$5:$C$46,2,0)</f>
        <v>丁原</v>
      </c>
      <c r="L10" s="4">
        <v>1</v>
      </c>
      <c r="M10" s="4">
        <v>100000</v>
      </c>
      <c r="N10" s="4">
        <v>500000</v>
      </c>
      <c r="O10" s="4">
        <v>20000</v>
      </c>
      <c r="P10" s="4">
        <v>200000</v>
      </c>
      <c r="Q10" s="4">
        <v>12</v>
      </c>
      <c r="R10" s="4">
        <v>10</v>
      </c>
      <c r="S10" s="4">
        <v>3</v>
      </c>
      <c r="T10" s="4">
        <v>500</v>
      </c>
      <c r="U10" s="4">
        <v>5600</v>
      </c>
      <c r="V10" s="4">
        <v>3000</v>
      </c>
      <c r="W10" s="4">
        <v>200</v>
      </c>
      <c r="X10" s="4">
        <v>200</v>
      </c>
      <c r="Y10" s="4">
        <v>119</v>
      </c>
      <c r="Z10" s="2">
        <v>67</v>
      </c>
      <c r="AA10" s="2" t="s">
        <v>60</v>
      </c>
      <c r="AB10" s="2" t="s">
        <v>60</v>
      </c>
      <c r="AC10" s="2">
        <v>20000</v>
      </c>
      <c r="AD10" s="2" t="s">
        <v>60</v>
      </c>
      <c r="AE10" s="4" t="s">
        <v>2876</v>
      </c>
      <c r="AF10" s="4">
        <v>30000</v>
      </c>
      <c r="AG10" s="2">
        <v>4800</v>
      </c>
      <c r="AH10" s="2">
        <v>48000</v>
      </c>
      <c r="AI10" s="2" t="s">
        <v>3309</v>
      </c>
      <c r="AJ10" s="2" t="s">
        <v>60</v>
      </c>
      <c r="AK10" s="2" t="s">
        <v>60</v>
      </c>
      <c r="AM10" s="2" t="s">
        <v>2855</v>
      </c>
      <c r="AN10" s="7" t="s">
        <v>60</v>
      </c>
      <c r="AO10" s="2">
        <v>2</v>
      </c>
      <c r="AP10" s="4" t="s">
        <v>138</v>
      </c>
      <c r="AQ10" s="4">
        <v>0</v>
      </c>
      <c r="AR10" s="4">
        <v>0</v>
      </c>
      <c r="AS10" s="4">
        <v>100</v>
      </c>
      <c r="AT10" s="4">
        <v>90</v>
      </c>
      <c r="AU10" s="4">
        <v>100</v>
      </c>
      <c r="AV10" s="4">
        <v>100</v>
      </c>
      <c r="AW10" s="2" t="s">
        <v>3248</v>
      </c>
      <c r="AX10" s="2" t="s">
        <v>127</v>
      </c>
      <c r="AY10" s="2" t="s">
        <v>143</v>
      </c>
      <c r="AZ10" s="2" t="s">
        <v>3206</v>
      </c>
      <c r="BA10" s="2" t="s">
        <v>31</v>
      </c>
      <c r="BB10" s="4" t="s">
        <v>131</v>
      </c>
      <c r="BC10" s="2" t="s">
        <v>34</v>
      </c>
      <c r="BD10" s="4" t="s">
        <v>140</v>
      </c>
      <c r="BE10" s="4" t="s">
        <v>60</v>
      </c>
      <c r="BF10" s="4"/>
      <c r="BG10" s="2" t="s">
        <v>60</v>
      </c>
      <c r="BH10" s="4"/>
      <c r="BI10" s="2" t="s">
        <v>60</v>
      </c>
      <c r="BK10" s="2" t="s">
        <v>60</v>
      </c>
      <c r="BM10" s="2" t="s">
        <v>213</v>
      </c>
    </row>
    <row r="11" spans="1:65" x14ac:dyDescent="0.15">
      <c r="B11" s="2" t="s">
        <v>34</v>
      </c>
      <c r="C11" s="2" t="s">
        <v>140</v>
      </c>
      <c r="D11" s="4" t="s">
        <v>557</v>
      </c>
      <c r="E11" s="4" t="str">
        <f>VLOOKUP(D11,personSet!$B$5:$C$836,2,0)</f>
        <v>韩馥</v>
      </c>
      <c r="F11" s="4">
        <v>1</v>
      </c>
      <c r="G11" s="2" t="s">
        <v>2847</v>
      </c>
      <c r="H11" s="2" t="s">
        <v>8</v>
      </c>
      <c r="I11" s="4" t="str">
        <f>VLOOKUP(H11,forceSet!$B$5:$D$46,3,0)</f>
        <v>韩馥</v>
      </c>
      <c r="J11" s="4" t="s">
        <v>8</v>
      </c>
      <c r="K11" s="4" t="str">
        <f>VLOOKUP(J11,corpsSet!$B$5:$C$46,2,0)</f>
        <v>韩馥</v>
      </c>
      <c r="L11" s="4">
        <v>2</v>
      </c>
      <c r="M11" s="4">
        <v>100000</v>
      </c>
      <c r="N11" s="4">
        <v>500000</v>
      </c>
      <c r="O11" s="4">
        <v>20000</v>
      </c>
      <c r="P11" s="4">
        <v>200000</v>
      </c>
      <c r="Q11" s="4">
        <v>12</v>
      </c>
      <c r="R11" s="4">
        <v>10</v>
      </c>
      <c r="S11" s="4">
        <v>3</v>
      </c>
      <c r="T11" s="4">
        <v>500</v>
      </c>
      <c r="U11" s="4">
        <v>5600</v>
      </c>
      <c r="V11" s="4">
        <v>3000</v>
      </c>
      <c r="W11" s="4">
        <v>200</v>
      </c>
      <c r="X11" s="4">
        <v>200</v>
      </c>
      <c r="Y11" s="4">
        <v>137</v>
      </c>
      <c r="Z11" s="2">
        <v>81</v>
      </c>
      <c r="AA11" s="2" t="s">
        <v>60</v>
      </c>
      <c r="AB11" s="2" t="s">
        <v>60</v>
      </c>
      <c r="AC11" s="2">
        <v>22000</v>
      </c>
      <c r="AD11" s="2" t="s">
        <v>60</v>
      </c>
      <c r="AE11" s="4" t="s">
        <v>2877</v>
      </c>
      <c r="AF11" s="4">
        <v>30000</v>
      </c>
      <c r="AG11" s="2">
        <v>4800</v>
      </c>
      <c r="AH11" s="2">
        <v>48000</v>
      </c>
      <c r="AI11" s="2" t="s">
        <v>3309</v>
      </c>
      <c r="AJ11" s="2" t="s">
        <v>60</v>
      </c>
      <c r="AK11" s="2" t="s">
        <v>60</v>
      </c>
      <c r="AM11" s="2" t="s">
        <v>2855</v>
      </c>
      <c r="AN11" s="7" t="s">
        <v>60</v>
      </c>
      <c r="AO11" s="2">
        <v>2</v>
      </c>
      <c r="AP11" s="4" t="s">
        <v>138</v>
      </c>
      <c r="AQ11" s="4">
        <v>0</v>
      </c>
      <c r="AR11" s="4">
        <v>0</v>
      </c>
      <c r="AS11" s="4">
        <v>100</v>
      </c>
      <c r="AT11" s="4">
        <v>90</v>
      </c>
      <c r="AU11" s="4">
        <v>100</v>
      </c>
      <c r="AV11" s="4">
        <v>100</v>
      </c>
      <c r="AW11" s="2" t="s">
        <v>3248</v>
      </c>
      <c r="AX11" s="2" t="s">
        <v>145</v>
      </c>
      <c r="AY11" s="2" t="s">
        <v>146</v>
      </c>
      <c r="AZ11" s="2" t="s">
        <v>3207</v>
      </c>
      <c r="BA11" s="2" t="s">
        <v>37</v>
      </c>
      <c r="BB11" s="4" t="s">
        <v>132</v>
      </c>
      <c r="BC11" s="2" t="s">
        <v>33</v>
      </c>
      <c r="BD11" s="4" t="s">
        <v>139</v>
      </c>
      <c r="BE11" s="4" t="s">
        <v>36</v>
      </c>
      <c r="BF11" s="4" t="s">
        <v>135</v>
      </c>
      <c r="BG11" s="2" t="s">
        <v>20</v>
      </c>
      <c r="BH11" s="4" t="s">
        <v>2333</v>
      </c>
      <c r="BI11" s="2" t="s">
        <v>41</v>
      </c>
      <c r="BJ11" s="2" t="s">
        <v>149</v>
      </c>
      <c r="BK11" s="2" t="s">
        <v>60</v>
      </c>
      <c r="BM11" s="2" t="s">
        <v>213</v>
      </c>
    </row>
    <row r="12" spans="1:65" x14ac:dyDescent="0.15">
      <c r="B12" s="2" t="s">
        <v>30</v>
      </c>
      <c r="C12" s="2" t="s">
        <v>2913</v>
      </c>
      <c r="D12" s="4" t="s">
        <v>564</v>
      </c>
      <c r="E12" s="4" t="str">
        <f>VLOOKUP(D12,personSet!$B$5:$C$836,2,0)</f>
        <v>孔融</v>
      </c>
      <c r="F12" s="4">
        <v>1</v>
      </c>
      <c r="G12" s="2" t="s">
        <v>2847</v>
      </c>
      <c r="H12" s="2" t="s">
        <v>103</v>
      </c>
      <c r="I12" s="4" t="str">
        <f>VLOOKUP(H12,forceSet!$B$5:$D$46,3,0)</f>
        <v>孔融</v>
      </c>
      <c r="J12" s="4" t="s">
        <v>103</v>
      </c>
      <c r="K12" s="4" t="str">
        <f>VLOOKUP(J12,corpsSet!$B$5:$C$46,2,0)</f>
        <v>孔融</v>
      </c>
      <c r="L12" s="4">
        <v>1</v>
      </c>
      <c r="M12" s="4">
        <v>100000</v>
      </c>
      <c r="N12" s="4">
        <v>500000</v>
      </c>
      <c r="O12" s="4">
        <v>20000</v>
      </c>
      <c r="P12" s="4">
        <v>200000</v>
      </c>
      <c r="Q12" s="4">
        <v>12</v>
      </c>
      <c r="R12" s="4">
        <v>10</v>
      </c>
      <c r="S12" s="4">
        <v>3</v>
      </c>
      <c r="T12" s="4">
        <v>500</v>
      </c>
      <c r="U12" s="4">
        <v>5600</v>
      </c>
      <c r="V12" s="4">
        <v>3000</v>
      </c>
      <c r="W12" s="4">
        <v>200</v>
      </c>
      <c r="X12" s="4">
        <v>200</v>
      </c>
      <c r="Y12" s="4">
        <v>188</v>
      </c>
      <c r="Z12" s="2">
        <v>79</v>
      </c>
      <c r="AA12" s="2" t="s">
        <v>60</v>
      </c>
      <c r="AB12" s="2" t="s">
        <v>60</v>
      </c>
      <c r="AC12" s="2">
        <v>20000</v>
      </c>
      <c r="AD12" s="2" t="s">
        <v>60</v>
      </c>
      <c r="AE12" s="4" t="s">
        <v>2878</v>
      </c>
      <c r="AF12" s="4">
        <v>30000</v>
      </c>
      <c r="AG12" s="2">
        <v>4800</v>
      </c>
      <c r="AH12" s="2">
        <v>48000</v>
      </c>
      <c r="AI12" s="2" t="s">
        <v>3309</v>
      </c>
      <c r="AJ12" s="2" t="s">
        <v>60</v>
      </c>
      <c r="AK12" s="2" t="s">
        <v>60</v>
      </c>
      <c r="AM12" s="2" t="s">
        <v>2855</v>
      </c>
      <c r="AN12" s="7" t="s">
        <v>60</v>
      </c>
      <c r="AO12" s="2">
        <v>3</v>
      </c>
      <c r="AP12" s="4" t="s">
        <v>151</v>
      </c>
      <c r="AQ12" s="4">
        <v>0</v>
      </c>
      <c r="AR12" s="4">
        <v>0</v>
      </c>
      <c r="AS12" s="4">
        <v>100</v>
      </c>
      <c r="AT12" s="4">
        <v>90</v>
      </c>
      <c r="AU12" s="4">
        <v>100</v>
      </c>
      <c r="AV12" s="4">
        <v>100</v>
      </c>
      <c r="AW12" s="2" t="s">
        <v>3248</v>
      </c>
      <c r="AX12" s="2" t="s">
        <v>120</v>
      </c>
      <c r="AY12" s="2" t="s">
        <v>146</v>
      </c>
      <c r="AZ12" s="2" t="s">
        <v>3208</v>
      </c>
      <c r="BA12" s="2" t="s">
        <v>33</v>
      </c>
      <c r="BB12" s="4" t="s">
        <v>139</v>
      </c>
      <c r="BC12" s="2" t="s">
        <v>29</v>
      </c>
      <c r="BD12" s="4" t="s">
        <v>2914</v>
      </c>
      <c r="BE12" s="4" t="s">
        <v>60</v>
      </c>
      <c r="BF12" s="4"/>
      <c r="BG12" s="2" t="s">
        <v>60</v>
      </c>
      <c r="BH12" s="4"/>
      <c r="BI12" s="2" t="s">
        <v>60</v>
      </c>
      <c r="BK12" s="2" t="s">
        <v>60</v>
      </c>
      <c r="BM12" s="2" t="s">
        <v>213</v>
      </c>
    </row>
    <row r="13" spans="1:65" x14ac:dyDescent="0.15">
      <c r="B13" s="2" t="s">
        <v>29</v>
      </c>
      <c r="C13" s="2" t="s">
        <v>2914</v>
      </c>
      <c r="D13" s="4" t="s">
        <v>2010</v>
      </c>
      <c r="E13" s="4" t="str">
        <f>VLOOKUP(D13,personSet!$B$5:$C$836,2,0)</f>
        <v>吕布</v>
      </c>
      <c r="F13" s="4">
        <v>1</v>
      </c>
      <c r="G13" s="2" t="s">
        <v>2847</v>
      </c>
      <c r="H13" s="2" t="s">
        <v>24</v>
      </c>
      <c r="I13" s="4" t="str">
        <f>VLOOKUP(H13,forceSet!$B$5:$D$46,3,0)</f>
        <v>吕布</v>
      </c>
      <c r="J13" s="4" t="s">
        <v>24</v>
      </c>
      <c r="K13" s="4" t="str">
        <f>VLOOKUP(J13,corpsSet!$B$5:$C$46,2,0)</f>
        <v>吕布</v>
      </c>
      <c r="L13" s="4">
        <v>1</v>
      </c>
      <c r="M13" s="4">
        <v>100000</v>
      </c>
      <c r="N13" s="4">
        <v>500000</v>
      </c>
      <c r="O13" s="4">
        <v>20000</v>
      </c>
      <c r="P13" s="4">
        <v>200000</v>
      </c>
      <c r="Q13" s="4">
        <v>12</v>
      </c>
      <c r="R13" s="4">
        <v>10</v>
      </c>
      <c r="S13" s="4">
        <v>3</v>
      </c>
      <c r="T13" s="4">
        <v>500</v>
      </c>
      <c r="U13" s="4">
        <v>5600</v>
      </c>
      <c r="V13" s="4">
        <v>3000</v>
      </c>
      <c r="W13" s="4">
        <v>200</v>
      </c>
      <c r="X13" s="4">
        <v>200</v>
      </c>
      <c r="Y13" s="4">
        <v>184</v>
      </c>
      <c r="Z13" s="2">
        <v>105</v>
      </c>
      <c r="AA13" s="2" t="s">
        <v>60</v>
      </c>
      <c r="AB13" s="2" t="s">
        <v>60</v>
      </c>
      <c r="AC13" s="2">
        <v>26000</v>
      </c>
      <c r="AD13" s="2" t="s">
        <v>60</v>
      </c>
      <c r="AE13" s="4" t="s">
        <v>2879</v>
      </c>
      <c r="AF13" s="4">
        <v>30000</v>
      </c>
      <c r="AG13" s="2">
        <v>5600</v>
      </c>
      <c r="AH13" s="2">
        <v>56000</v>
      </c>
      <c r="AI13" s="2" t="s">
        <v>3309</v>
      </c>
      <c r="AJ13" s="2" t="s">
        <v>60</v>
      </c>
      <c r="AK13" s="2" t="s">
        <v>60</v>
      </c>
      <c r="AM13" s="2" t="s">
        <v>2855</v>
      </c>
      <c r="AN13" s="7" t="s">
        <v>60</v>
      </c>
      <c r="AO13" s="2">
        <v>3</v>
      </c>
      <c r="AP13" s="4" t="s">
        <v>151</v>
      </c>
      <c r="AQ13" s="4">
        <v>0</v>
      </c>
      <c r="AR13" s="4">
        <v>0</v>
      </c>
      <c r="AS13" s="4">
        <v>100</v>
      </c>
      <c r="AT13" s="4">
        <v>90</v>
      </c>
      <c r="AU13" s="4">
        <v>100</v>
      </c>
      <c r="AV13" s="4">
        <v>100</v>
      </c>
      <c r="AW13" s="2" t="s">
        <v>3248</v>
      </c>
      <c r="AX13" s="2" t="s">
        <v>127</v>
      </c>
      <c r="AY13" s="2" t="s">
        <v>154</v>
      </c>
      <c r="AZ13" s="2" t="s">
        <v>3209</v>
      </c>
      <c r="BA13" s="2" t="s">
        <v>30</v>
      </c>
      <c r="BB13" s="4" t="s">
        <v>2913</v>
      </c>
      <c r="BC13" s="2" t="s">
        <v>32</v>
      </c>
      <c r="BD13" s="4" t="s">
        <v>155</v>
      </c>
      <c r="BE13" s="4" t="s">
        <v>24</v>
      </c>
      <c r="BF13" s="4" t="s">
        <v>156</v>
      </c>
      <c r="BG13" s="2" t="s">
        <v>60</v>
      </c>
      <c r="BH13" s="4"/>
      <c r="BI13" s="2" t="s">
        <v>60</v>
      </c>
      <c r="BK13" s="2" t="s">
        <v>60</v>
      </c>
      <c r="BM13" s="2" t="s">
        <v>213</v>
      </c>
    </row>
    <row r="14" spans="1:65" x14ac:dyDescent="0.15">
      <c r="B14" s="2" t="s">
        <v>32</v>
      </c>
      <c r="C14" s="2" t="s">
        <v>155</v>
      </c>
      <c r="D14" s="4" t="s">
        <v>1286</v>
      </c>
      <c r="E14" s="4" t="str">
        <f>VLOOKUP(D14,personSet!$B$5:$C$836,2,0)</f>
        <v>陶谦</v>
      </c>
      <c r="F14" s="4">
        <v>1</v>
      </c>
      <c r="G14" s="2" t="s">
        <v>2847</v>
      </c>
      <c r="H14" s="2" t="s">
        <v>105</v>
      </c>
      <c r="I14" s="4" t="str">
        <f>VLOOKUP(H14,forceSet!$B$5:$D$46,3,0)</f>
        <v>陶谦</v>
      </c>
      <c r="J14" s="4" t="s">
        <v>105</v>
      </c>
      <c r="K14" s="4" t="str">
        <f>VLOOKUP(J14,corpsSet!$B$5:$C$46,2,0)</f>
        <v>陶谦</v>
      </c>
      <c r="L14" s="4">
        <v>1</v>
      </c>
      <c r="M14" s="4">
        <v>100000</v>
      </c>
      <c r="N14" s="4">
        <v>500000</v>
      </c>
      <c r="O14" s="4">
        <v>20000</v>
      </c>
      <c r="P14" s="4">
        <v>200000</v>
      </c>
      <c r="Q14" s="4">
        <v>12</v>
      </c>
      <c r="R14" s="4">
        <v>10</v>
      </c>
      <c r="S14" s="4">
        <v>3</v>
      </c>
      <c r="T14" s="4">
        <v>500</v>
      </c>
      <c r="U14" s="4">
        <v>5600</v>
      </c>
      <c r="V14" s="4">
        <v>3000</v>
      </c>
      <c r="W14" s="4">
        <v>200</v>
      </c>
      <c r="X14" s="4">
        <v>200</v>
      </c>
      <c r="Y14" s="4">
        <v>164</v>
      </c>
      <c r="Z14" s="2">
        <v>105</v>
      </c>
      <c r="AA14" s="2" t="s">
        <v>60</v>
      </c>
      <c r="AB14" s="2" t="s">
        <v>60</v>
      </c>
      <c r="AC14" s="2">
        <v>24000</v>
      </c>
      <c r="AD14" s="2" t="s">
        <v>60</v>
      </c>
      <c r="AE14" s="4" t="s">
        <v>2880</v>
      </c>
      <c r="AF14" s="4">
        <v>30000</v>
      </c>
      <c r="AG14" s="2">
        <v>4800</v>
      </c>
      <c r="AH14" s="2">
        <v>48000</v>
      </c>
      <c r="AI14" s="2" t="s">
        <v>3309</v>
      </c>
      <c r="AJ14" s="2" t="s">
        <v>60</v>
      </c>
      <c r="AK14" s="2" t="s">
        <v>60</v>
      </c>
      <c r="AM14" s="2" t="s">
        <v>2855</v>
      </c>
      <c r="AN14" s="7" t="s">
        <v>60</v>
      </c>
      <c r="AO14" s="2">
        <v>3</v>
      </c>
      <c r="AP14" s="4" t="s">
        <v>151</v>
      </c>
      <c r="AQ14" s="4">
        <v>0</v>
      </c>
      <c r="AR14" s="4">
        <v>0</v>
      </c>
      <c r="AS14" s="4">
        <v>100</v>
      </c>
      <c r="AT14" s="4">
        <v>90</v>
      </c>
      <c r="AU14" s="4">
        <v>100</v>
      </c>
      <c r="AV14" s="4">
        <v>100</v>
      </c>
      <c r="AW14" s="2" t="s">
        <v>3248</v>
      </c>
      <c r="AX14" s="2" t="s">
        <v>158</v>
      </c>
      <c r="AY14" s="2" t="s">
        <v>128</v>
      </c>
      <c r="AZ14" s="2" t="s">
        <v>3210</v>
      </c>
      <c r="BA14" s="2" t="s">
        <v>29</v>
      </c>
      <c r="BB14" s="4" t="s">
        <v>2914</v>
      </c>
      <c r="BC14" s="2" t="s">
        <v>24</v>
      </c>
      <c r="BD14" s="4" t="s">
        <v>156</v>
      </c>
      <c r="BE14" s="4" t="s">
        <v>20</v>
      </c>
      <c r="BF14" s="4" t="s">
        <v>2333</v>
      </c>
      <c r="BG14" s="2" t="s">
        <v>41</v>
      </c>
      <c r="BH14" s="4" t="s">
        <v>149</v>
      </c>
      <c r="BI14" s="2" t="s">
        <v>60</v>
      </c>
      <c r="BK14" s="2" t="s">
        <v>60</v>
      </c>
      <c r="BM14" s="2" t="s">
        <v>213</v>
      </c>
    </row>
    <row r="15" spans="1:65" x14ac:dyDescent="0.15">
      <c r="B15" s="2" t="s">
        <v>24</v>
      </c>
      <c r="C15" s="2" t="s">
        <v>156</v>
      </c>
      <c r="D15" s="4" t="s">
        <v>366</v>
      </c>
      <c r="E15" s="4" t="str">
        <f>VLOOKUP(D15,personSet!$B$5:$C$836,2,0)</f>
        <v>毌丘俭</v>
      </c>
      <c r="F15" s="4">
        <v>1</v>
      </c>
      <c r="G15" s="2" t="s">
        <v>2847</v>
      </c>
      <c r="H15" s="2" t="s">
        <v>3336</v>
      </c>
      <c r="I15" s="4" t="str">
        <f>VLOOKUP(H15,forceSet!$B$5:$D$46,3,0)</f>
        <v>毌丘俭</v>
      </c>
      <c r="J15" s="2" t="s">
        <v>3336</v>
      </c>
      <c r="K15" s="4" t="str">
        <f>VLOOKUP(J15,corpsSet!$B$5:$C$46,2,0)</f>
        <v>毌丘俭</v>
      </c>
      <c r="L15" s="4">
        <v>2</v>
      </c>
      <c r="M15" s="4">
        <v>100000</v>
      </c>
      <c r="N15" s="4">
        <v>500000</v>
      </c>
      <c r="O15" s="4">
        <v>20000</v>
      </c>
      <c r="P15" s="4">
        <v>200000</v>
      </c>
      <c r="Q15" s="4">
        <v>12</v>
      </c>
      <c r="R15" s="4">
        <v>10</v>
      </c>
      <c r="S15" s="4">
        <v>3</v>
      </c>
      <c r="T15" s="4">
        <v>500</v>
      </c>
      <c r="U15" s="4">
        <v>5600</v>
      </c>
      <c r="V15" s="4">
        <v>3000</v>
      </c>
      <c r="W15" s="4">
        <v>200</v>
      </c>
      <c r="X15" s="4">
        <v>200</v>
      </c>
      <c r="Y15" s="4">
        <v>168</v>
      </c>
      <c r="Z15" s="2">
        <v>124</v>
      </c>
      <c r="AA15" s="2" t="s">
        <v>60</v>
      </c>
      <c r="AB15" s="2" t="s">
        <v>60</v>
      </c>
      <c r="AC15" s="2">
        <v>24000</v>
      </c>
      <c r="AD15" s="2" t="s">
        <v>60</v>
      </c>
      <c r="AE15" s="4" t="s">
        <v>2881</v>
      </c>
      <c r="AF15" s="4">
        <v>30000</v>
      </c>
      <c r="AG15" s="2">
        <v>5200</v>
      </c>
      <c r="AH15" s="2">
        <v>52000</v>
      </c>
      <c r="AI15" s="2" t="s">
        <v>3309</v>
      </c>
      <c r="AJ15" s="2" t="s">
        <v>60</v>
      </c>
      <c r="AK15" s="2" t="s">
        <v>60</v>
      </c>
      <c r="AM15" s="2" t="s">
        <v>2855</v>
      </c>
      <c r="AN15" s="7" t="s">
        <v>60</v>
      </c>
      <c r="AO15" s="2">
        <v>3</v>
      </c>
      <c r="AP15" s="4" t="s">
        <v>151</v>
      </c>
      <c r="AQ15" s="4">
        <v>0</v>
      </c>
      <c r="AR15" s="4">
        <v>0</v>
      </c>
      <c r="AS15" s="4">
        <v>100</v>
      </c>
      <c r="AT15" s="4">
        <v>90</v>
      </c>
      <c r="AU15" s="4">
        <v>100</v>
      </c>
      <c r="AV15" s="4">
        <v>100</v>
      </c>
      <c r="AW15" s="2" t="s">
        <v>3248</v>
      </c>
      <c r="AX15" s="2" t="s">
        <v>120</v>
      </c>
      <c r="AY15" s="2" t="s">
        <v>128</v>
      </c>
      <c r="AZ15" s="2" t="s">
        <v>3211</v>
      </c>
      <c r="BA15" s="2" t="s">
        <v>29</v>
      </c>
      <c r="BB15" s="4" t="s">
        <v>2914</v>
      </c>
      <c r="BC15" s="2" t="s">
        <v>32</v>
      </c>
      <c r="BD15" s="4" t="s">
        <v>155</v>
      </c>
      <c r="BE15" s="4" t="s">
        <v>8</v>
      </c>
      <c r="BF15" s="4" t="s">
        <v>161</v>
      </c>
      <c r="BG15" s="2" t="s">
        <v>189</v>
      </c>
      <c r="BH15" s="4" t="s">
        <v>2916</v>
      </c>
      <c r="BI15" s="2" t="s">
        <v>200</v>
      </c>
      <c r="BJ15" s="2" t="s">
        <v>162</v>
      </c>
      <c r="BK15" s="2" t="s">
        <v>60</v>
      </c>
      <c r="BM15" s="2" t="s">
        <v>213</v>
      </c>
    </row>
    <row r="16" spans="1:65" x14ac:dyDescent="0.15">
      <c r="B16" s="2" t="s">
        <v>20</v>
      </c>
      <c r="C16" s="2" t="s">
        <v>2333</v>
      </c>
      <c r="D16" s="4" t="s">
        <v>1893</v>
      </c>
      <c r="E16" s="4" t="str">
        <f>VLOOKUP(D16,personSet!$B$5:$C$836,2,0)</f>
        <v>张角</v>
      </c>
      <c r="F16" s="4">
        <v>1</v>
      </c>
      <c r="G16" s="2" t="s">
        <v>2847</v>
      </c>
      <c r="H16" s="2" t="s">
        <v>25</v>
      </c>
      <c r="I16" s="4" t="str">
        <f>VLOOKUP(H16,forceSet!$B$5:$D$46,3,0)</f>
        <v>张角</v>
      </c>
      <c r="J16" s="4" t="s">
        <v>25</v>
      </c>
      <c r="K16" s="4" t="str">
        <f>VLOOKUP(J16,corpsSet!$B$5:$C$46,2,0)</f>
        <v>张角</v>
      </c>
      <c r="L16" s="4">
        <v>1</v>
      </c>
      <c r="M16" s="4">
        <v>100000</v>
      </c>
      <c r="N16" s="4">
        <v>500000</v>
      </c>
      <c r="O16" s="4">
        <v>20000</v>
      </c>
      <c r="P16" s="4">
        <v>200000</v>
      </c>
      <c r="Q16" s="4">
        <v>12</v>
      </c>
      <c r="R16" s="4">
        <v>10</v>
      </c>
      <c r="S16" s="4">
        <v>3</v>
      </c>
      <c r="T16" s="4">
        <v>500</v>
      </c>
      <c r="U16" s="4">
        <v>5600</v>
      </c>
      <c r="V16" s="4">
        <v>3000</v>
      </c>
      <c r="W16" s="4">
        <v>200</v>
      </c>
      <c r="X16" s="4">
        <v>200</v>
      </c>
      <c r="Y16" s="4">
        <v>148</v>
      </c>
      <c r="Z16" s="2">
        <v>99</v>
      </c>
      <c r="AA16" s="2" t="s">
        <v>60</v>
      </c>
      <c r="AB16" s="2" t="s">
        <v>60</v>
      </c>
      <c r="AC16" s="2">
        <v>30000</v>
      </c>
      <c r="AD16" s="2" t="s">
        <v>60</v>
      </c>
      <c r="AE16" s="4" t="s">
        <v>2882</v>
      </c>
      <c r="AF16" s="4">
        <v>30000</v>
      </c>
      <c r="AG16" s="2">
        <v>6000</v>
      </c>
      <c r="AH16" s="2">
        <v>60000</v>
      </c>
      <c r="AI16" s="2" t="s">
        <v>3309</v>
      </c>
      <c r="AJ16" s="2" t="s">
        <v>60</v>
      </c>
      <c r="AK16" s="2" t="s">
        <v>60</v>
      </c>
      <c r="AM16" s="2" t="s">
        <v>2855</v>
      </c>
      <c r="AN16" s="7" t="s">
        <v>60</v>
      </c>
      <c r="AO16" s="2">
        <v>4</v>
      </c>
      <c r="AP16" s="4" t="s">
        <v>163</v>
      </c>
      <c r="AQ16" s="4">
        <v>0</v>
      </c>
      <c r="AR16" s="4">
        <v>0</v>
      </c>
      <c r="AS16" s="4">
        <v>100</v>
      </c>
      <c r="AT16" s="4">
        <v>90</v>
      </c>
      <c r="AU16" s="4">
        <v>100</v>
      </c>
      <c r="AV16" s="4">
        <v>100</v>
      </c>
      <c r="AW16" s="2" t="s">
        <v>3248</v>
      </c>
      <c r="AX16" s="2" t="s">
        <v>145</v>
      </c>
      <c r="AY16" s="2" t="s">
        <v>143</v>
      </c>
      <c r="AZ16" s="2" t="s">
        <v>3212</v>
      </c>
      <c r="BA16" s="2" t="s">
        <v>33</v>
      </c>
      <c r="BB16" s="4" t="s">
        <v>139</v>
      </c>
      <c r="BC16" s="2" t="s">
        <v>34</v>
      </c>
      <c r="BD16" s="4" t="s">
        <v>140</v>
      </c>
      <c r="BE16" s="4" t="s">
        <v>32</v>
      </c>
      <c r="BF16" s="4" t="s">
        <v>155</v>
      </c>
      <c r="BG16" s="2" t="s">
        <v>41</v>
      </c>
      <c r="BH16" s="4" t="s">
        <v>149</v>
      </c>
      <c r="BI16" s="2" t="s">
        <v>60</v>
      </c>
      <c r="BK16" s="2" t="s">
        <v>60</v>
      </c>
      <c r="BM16" s="2" t="s">
        <v>213</v>
      </c>
    </row>
    <row r="17" spans="2:65" x14ac:dyDescent="0.15">
      <c r="B17" s="2" t="s">
        <v>41</v>
      </c>
      <c r="C17" s="2" t="s">
        <v>149</v>
      </c>
      <c r="D17" s="4" t="s">
        <v>982</v>
      </c>
      <c r="E17" s="4" t="str">
        <f>VLOOKUP(D17,personSet!$B$5:$C$836,2,0)</f>
        <v>刘岱</v>
      </c>
      <c r="F17" s="4">
        <v>1</v>
      </c>
      <c r="G17" s="2" t="s">
        <v>2847</v>
      </c>
      <c r="H17" s="2" t="s">
        <v>104</v>
      </c>
      <c r="I17" s="4" t="str">
        <f>VLOOKUP(H17,forceSet!$B$5:$D$46,3,0)</f>
        <v>刘岱</v>
      </c>
      <c r="J17" s="4" t="s">
        <v>104</v>
      </c>
      <c r="K17" s="4" t="str">
        <f>VLOOKUP(J17,corpsSet!$B$5:$C$46,2,0)</f>
        <v>刘岱</v>
      </c>
      <c r="L17" s="4">
        <v>1</v>
      </c>
      <c r="M17" s="4">
        <v>100000</v>
      </c>
      <c r="N17" s="4">
        <v>500000</v>
      </c>
      <c r="O17" s="4">
        <v>20000</v>
      </c>
      <c r="P17" s="4">
        <v>200000</v>
      </c>
      <c r="Q17" s="4">
        <v>12</v>
      </c>
      <c r="R17" s="4">
        <v>10</v>
      </c>
      <c r="S17" s="4">
        <v>3</v>
      </c>
      <c r="T17" s="4">
        <v>500</v>
      </c>
      <c r="U17" s="4">
        <v>5600</v>
      </c>
      <c r="V17" s="4">
        <v>3000</v>
      </c>
      <c r="W17" s="4">
        <v>200</v>
      </c>
      <c r="X17" s="4">
        <v>200</v>
      </c>
      <c r="Y17" s="4">
        <v>136</v>
      </c>
      <c r="Z17" s="2">
        <v>107</v>
      </c>
      <c r="AA17" s="2" t="s">
        <v>60</v>
      </c>
      <c r="AB17" s="2" t="s">
        <v>60</v>
      </c>
      <c r="AC17" s="2">
        <v>22000</v>
      </c>
      <c r="AD17" s="2" t="s">
        <v>60</v>
      </c>
      <c r="AE17" s="4" t="s">
        <v>2883</v>
      </c>
      <c r="AF17" s="4">
        <v>30000</v>
      </c>
      <c r="AG17" s="2">
        <v>4800</v>
      </c>
      <c r="AH17" s="2">
        <v>48000</v>
      </c>
      <c r="AI17" s="2" t="s">
        <v>3309</v>
      </c>
      <c r="AJ17" s="2" t="s">
        <v>60</v>
      </c>
      <c r="AK17" s="2" t="s">
        <v>60</v>
      </c>
      <c r="AM17" s="2" t="s">
        <v>2855</v>
      </c>
      <c r="AN17" s="7" t="s">
        <v>60</v>
      </c>
      <c r="AO17" s="2">
        <v>4</v>
      </c>
      <c r="AP17" s="4" t="s">
        <v>163</v>
      </c>
      <c r="AQ17" s="4">
        <v>0</v>
      </c>
      <c r="AR17" s="4">
        <v>0</v>
      </c>
      <c r="AS17" s="4">
        <v>100</v>
      </c>
      <c r="AT17" s="4">
        <v>90</v>
      </c>
      <c r="AU17" s="4">
        <v>100</v>
      </c>
      <c r="AV17" s="4">
        <v>100</v>
      </c>
      <c r="AW17" s="2" t="s">
        <v>3248</v>
      </c>
      <c r="AX17" s="2" t="s">
        <v>127</v>
      </c>
      <c r="AY17" s="2" t="s">
        <v>121</v>
      </c>
      <c r="AZ17" s="2" t="s">
        <v>3213</v>
      </c>
      <c r="BA17" s="2" t="s">
        <v>34</v>
      </c>
      <c r="BB17" s="4" t="s">
        <v>140</v>
      </c>
      <c r="BC17" s="2" t="s">
        <v>32</v>
      </c>
      <c r="BD17" s="4" t="s">
        <v>155</v>
      </c>
      <c r="BE17" s="4" t="s">
        <v>20</v>
      </c>
      <c r="BF17" s="4" t="s">
        <v>2333</v>
      </c>
      <c r="BG17" s="2" t="s">
        <v>17</v>
      </c>
      <c r="BH17" s="4" t="s">
        <v>165</v>
      </c>
      <c r="BI17" s="2" t="s">
        <v>18</v>
      </c>
      <c r="BJ17" s="2" t="s">
        <v>166</v>
      </c>
      <c r="BK17" s="2" t="s">
        <v>103</v>
      </c>
      <c r="BL17" s="2" t="s">
        <v>167</v>
      </c>
      <c r="BM17" s="2" t="s">
        <v>213</v>
      </c>
    </row>
    <row r="18" spans="2:65" x14ac:dyDescent="0.15">
      <c r="B18" s="2" t="s">
        <v>17</v>
      </c>
      <c r="C18" s="2" t="s">
        <v>165</v>
      </c>
      <c r="D18" s="4" t="s">
        <v>511</v>
      </c>
      <c r="E18" s="4" t="str">
        <f>VLOOKUP(D18,personSet!$B$5:$C$836,2,0)</f>
        <v>曹操</v>
      </c>
      <c r="F18" s="4">
        <v>1</v>
      </c>
      <c r="G18" s="2" t="s">
        <v>2847</v>
      </c>
      <c r="H18" s="2" t="s">
        <v>27</v>
      </c>
      <c r="I18" s="4" t="str">
        <f>VLOOKUP(H18,forceSet!$B$5:$D$46,3,0)</f>
        <v>曹操</v>
      </c>
      <c r="J18" s="4" t="s">
        <v>27</v>
      </c>
      <c r="K18" s="4" t="str">
        <f>VLOOKUP(J18,corpsSet!$B$5:$C$46,2,0)</f>
        <v>曹操</v>
      </c>
      <c r="L18" s="4">
        <v>2</v>
      </c>
      <c r="M18" s="4">
        <v>100000</v>
      </c>
      <c r="N18" s="4">
        <v>500000</v>
      </c>
      <c r="O18" s="4">
        <v>20000</v>
      </c>
      <c r="P18" s="4">
        <v>200000</v>
      </c>
      <c r="Q18" s="4">
        <v>12</v>
      </c>
      <c r="R18" s="4">
        <v>10</v>
      </c>
      <c r="S18" s="4">
        <v>3</v>
      </c>
      <c r="T18" s="4">
        <v>500</v>
      </c>
      <c r="U18" s="4">
        <v>5600</v>
      </c>
      <c r="V18" s="4">
        <v>3000</v>
      </c>
      <c r="W18" s="4">
        <v>200</v>
      </c>
      <c r="X18" s="4">
        <v>200</v>
      </c>
      <c r="Y18" s="4">
        <v>127</v>
      </c>
      <c r="Z18" s="2">
        <v>120</v>
      </c>
      <c r="AA18" s="2" t="s">
        <v>60</v>
      </c>
      <c r="AB18" s="2" t="s">
        <v>60</v>
      </c>
      <c r="AC18" s="2">
        <v>28000</v>
      </c>
      <c r="AD18" s="2" t="s">
        <v>60</v>
      </c>
      <c r="AE18" s="4" t="s">
        <v>2884</v>
      </c>
      <c r="AF18" s="4">
        <v>30000</v>
      </c>
      <c r="AG18" s="2">
        <v>5600</v>
      </c>
      <c r="AH18" s="2">
        <v>56000</v>
      </c>
      <c r="AI18" s="2" t="s">
        <v>3309</v>
      </c>
      <c r="AJ18" s="2" t="s">
        <v>60</v>
      </c>
      <c r="AK18" s="2" t="s">
        <v>60</v>
      </c>
      <c r="AM18" s="2" t="s">
        <v>2855</v>
      </c>
      <c r="AN18" s="7" t="s">
        <v>60</v>
      </c>
      <c r="AO18" s="2">
        <v>4</v>
      </c>
      <c r="AP18" s="4" t="s">
        <v>163</v>
      </c>
      <c r="AQ18" s="4">
        <v>0</v>
      </c>
      <c r="AR18" s="4">
        <v>0</v>
      </c>
      <c r="AS18" s="4">
        <v>100</v>
      </c>
      <c r="AT18" s="4">
        <v>90</v>
      </c>
      <c r="AU18" s="4">
        <v>100</v>
      </c>
      <c r="AV18" s="4">
        <v>100</v>
      </c>
      <c r="AW18" s="2" t="s">
        <v>3248</v>
      </c>
      <c r="AX18" s="2" t="s">
        <v>145</v>
      </c>
      <c r="AY18" s="2" t="s">
        <v>121</v>
      </c>
      <c r="AZ18" s="2" t="s">
        <v>3214</v>
      </c>
      <c r="BA18" s="2" t="s">
        <v>41</v>
      </c>
      <c r="BB18" s="4" t="s">
        <v>149</v>
      </c>
      <c r="BC18" s="2" t="s">
        <v>8</v>
      </c>
      <c r="BD18" s="4" t="s">
        <v>161</v>
      </c>
      <c r="BE18" s="4" t="s">
        <v>18</v>
      </c>
      <c r="BF18" s="4" t="s">
        <v>166</v>
      </c>
      <c r="BG18" s="2" t="s">
        <v>103</v>
      </c>
      <c r="BH18" s="4" t="s">
        <v>167</v>
      </c>
      <c r="BI18" s="2" t="s">
        <v>60</v>
      </c>
      <c r="BK18" s="2" t="s">
        <v>60</v>
      </c>
      <c r="BM18" s="2" t="s">
        <v>213</v>
      </c>
    </row>
    <row r="19" spans="2:65" x14ac:dyDescent="0.15">
      <c r="B19" s="2" t="s">
        <v>8</v>
      </c>
      <c r="C19" s="2" t="s">
        <v>161</v>
      </c>
      <c r="D19" s="4" t="s">
        <v>578</v>
      </c>
      <c r="E19" s="4" t="str">
        <f>VLOOKUP(D19,personSet!$B$5:$C$836,2,0)</f>
        <v>孔胄</v>
      </c>
      <c r="F19" s="4">
        <v>1</v>
      </c>
      <c r="G19" s="2" t="s">
        <v>2847</v>
      </c>
      <c r="H19" s="2" t="s">
        <v>106</v>
      </c>
      <c r="I19" s="4" t="str">
        <f>VLOOKUP(H19,forceSet!$B$5:$D$46,3,0)</f>
        <v>孔胄</v>
      </c>
      <c r="J19" s="4" t="s">
        <v>106</v>
      </c>
      <c r="K19" s="4" t="str">
        <f>VLOOKUP(J19,corpsSet!$B$5:$C$46,2,0)</f>
        <v>孔胄</v>
      </c>
      <c r="L19" s="4">
        <v>1</v>
      </c>
      <c r="M19" s="4">
        <v>100000</v>
      </c>
      <c r="N19" s="4">
        <v>500000</v>
      </c>
      <c r="O19" s="4">
        <v>20000</v>
      </c>
      <c r="P19" s="4">
        <v>200000</v>
      </c>
      <c r="Q19" s="4">
        <v>12</v>
      </c>
      <c r="R19" s="4">
        <v>10</v>
      </c>
      <c r="S19" s="4">
        <v>3</v>
      </c>
      <c r="T19" s="4">
        <v>500</v>
      </c>
      <c r="U19" s="4">
        <v>5600</v>
      </c>
      <c r="V19" s="4">
        <v>3000</v>
      </c>
      <c r="W19" s="4">
        <v>200</v>
      </c>
      <c r="X19" s="4">
        <v>200</v>
      </c>
      <c r="Y19" s="4">
        <v>141</v>
      </c>
      <c r="Z19" s="2">
        <v>135</v>
      </c>
      <c r="AA19" s="2" t="s">
        <v>60</v>
      </c>
      <c r="AB19" s="2" t="s">
        <v>60</v>
      </c>
      <c r="AC19" s="2">
        <v>24000</v>
      </c>
      <c r="AD19" s="2" t="s">
        <v>60</v>
      </c>
      <c r="AE19" s="4" t="s">
        <v>2885</v>
      </c>
      <c r="AF19" s="4">
        <v>30000</v>
      </c>
      <c r="AG19" s="2">
        <v>4800</v>
      </c>
      <c r="AH19" s="2">
        <v>48000</v>
      </c>
      <c r="AI19" s="2" t="s">
        <v>3309</v>
      </c>
      <c r="AJ19" s="2" t="s">
        <v>60</v>
      </c>
      <c r="AK19" s="2" t="s">
        <v>60</v>
      </c>
      <c r="AM19" s="2" t="s">
        <v>2855</v>
      </c>
      <c r="AN19" s="7" t="s">
        <v>60</v>
      </c>
      <c r="AO19" s="2">
        <v>4</v>
      </c>
      <c r="AP19" s="4" t="s">
        <v>163</v>
      </c>
      <c r="AQ19" s="4">
        <v>0</v>
      </c>
      <c r="AR19" s="4">
        <v>0</v>
      </c>
      <c r="AS19" s="4">
        <v>100</v>
      </c>
      <c r="AT19" s="4">
        <v>90</v>
      </c>
      <c r="AU19" s="4">
        <v>100</v>
      </c>
      <c r="AV19" s="4">
        <v>100</v>
      </c>
      <c r="AW19" s="2" t="s">
        <v>3248</v>
      </c>
      <c r="AX19" s="2" t="s">
        <v>127</v>
      </c>
      <c r="AY19" s="2" t="s">
        <v>128</v>
      </c>
      <c r="AZ19" s="2" t="s">
        <v>3215</v>
      </c>
      <c r="BA19" s="2" t="s">
        <v>24</v>
      </c>
      <c r="BB19" s="4" t="s">
        <v>156</v>
      </c>
      <c r="BC19" s="2" t="s">
        <v>17</v>
      </c>
      <c r="BD19" s="4" t="s">
        <v>165</v>
      </c>
      <c r="BE19" s="4" t="s">
        <v>208</v>
      </c>
      <c r="BF19" s="4" t="s">
        <v>170</v>
      </c>
      <c r="BG19" s="2" t="s">
        <v>60</v>
      </c>
      <c r="BH19" s="4"/>
      <c r="BI19" s="2" t="s">
        <v>60</v>
      </c>
      <c r="BK19" s="2" t="s">
        <v>60</v>
      </c>
      <c r="BM19" s="2" t="s">
        <v>213</v>
      </c>
    </row>
    <row r="20" spans="2:65" x14ac:dyDescent="0.15">
      <c r="B20" s="2" t="s">
        <v>18</v>
      </c>
      <c r="C20" s="2" t="s">
        <v>166</v>
      </c>
      <c r="D20" s="4" t="s">
        <v>395</v>
      </c>
      <c r="E20" s="4" t="str">
        <f>VLOOKUP(D20,personSet!$B$5:$C$836,2,0)</f>
        <v>司马懿</v>
      </c>
      <c r="F20" s="4">
        <v>1</v>
      </c>
      <c r="G20" s="2" t="s">
        <v>2847</v>
      </c>
      <c r="H20" s="2" t="s">
        <v>18</v>
      </c>
      <c r="I20" s="4" t="str">
        <f>VLOOKUP(H20,forceSet!$B$5:$D$46,3,0)</f>
        <v>司马懿</v>
      </c>
      <c r="J20" s="4" t="s">
        <v>18</v>
      </c>
      <c r="K20" s="4" t="str">
        <f>VLOOKUP(J20,corpsSet!$B$5:$C$46,2,0)</f>
        <v>司马懿</v>
      </c>
      <c r="L20" s="4">
        <v>3</v>
      </c>
      <c r="M20" s="4">
        <v>100000</v>
      </c>
      <c r="N20" s="4">
        <v>500000</v>
      </c>
      <c r="O20" s="4">
        <v>20000</v>
      </c>
      <c r="P20" s="4">
        <v>200000</v>
      </c>
      <c r="Q20" s="4">
        <v>12</v>
      </c>
      <c r="R20" s="4">
        <v>10</v>
      </c>
      <c r="S20" s="4">
        <v>3</v>
      </c>
      <c r="T20" s="4">
        <v>500</v>
      </c>
      <c r="U20" s="4">
        <v>5600</v>
      </c>
      <c r="V20" s="4">
        <v>3000</v>
      </c>
      <c r="W20" s="4">
        <v>200</v>
      </c>
      <c r="X20" s="4">
        <v>200</v>
      </c>
      <c r="Y20" s="4">
        <v>107</v>
      </c>
      <c r="Z20" s="2">
        <v>104</v>
      </c>
      <c r="AA20" s="2" t="s">
        <v>60</v>
      </c>
      <c r="AB20" s="2" t="s">
        <v>60</v>
      </c>
      <c r="AC20" s="2">
        <v>18000</v>
      </c>
      <c r="AD20" s="2" t="s">
        <v>60</v>
      </c>
      <c r="AE20" s="4" t="s">
        <v>2886</v>
      </c>
      <c r="AF20" s="4">
        <v>30000</v>
      </c>
      <c r="AG20" s="2">
        <v>5200</v>
      </c>
      <c r="AH20" s="2">
        <v>52000</v>
      </c>
      <c r="AI20" s="2" t="s">
        <v>3309</v>
      </c>
      <c r="AJ20" s="2" t="s">
        <v>60</v>
      </c>
      <c r="AK20" s="2" t="s">
        <v>60</v>
      </c>
      <c r="AM20" s="2" t="s">
        <v>2855</v>
      </c>
      <c r="AN20" s="7" t="s">
        <v>60</v>
      </c>
      <c r="AO20" s="2">
        <v>5</v>
      </c>
      <c r="AP20" s="4" t="s">
        <v>173</v>
      </c>
      <c r="AQ20" s="4">
        <v>0</v>
      </c>
      <c r="AR20" s="4">
        <v>0</v>
      </c>
      <c r="AS20" s="4">
        <v>100</v>
      </c>
      <c r="AT20" s="4">
        <v>90</v>
      </c>
      <c r="AU20" s="4">
        <v>100</v>
      </c>
      <c r="AV20" s="4">
        <v>100</v>
      </c>
      <c r="AW20" s="2" t="s">
        <v>3248</v>
      </c>
      <c r="AX20" s="2" t="s">
        <v>172</v>
      </c>
      <c r="AY20" s="2" t="s">
        <v>143</v>
      </c>
      <c r="AZ20" s="2" t="s">
        <v>3216</v>
      </c>
      <c r="BA20" s="2" t="s">
        <v>41</v>
      </c>
      <c r="BB20" s="4" t="s">
        <v>149</v>
      </c>
      <c r="BC20" s="2" t="s">
        <v>17</v>
      </c>
      <c r="BD20" s="4" t="s">
        <v>165</v>
      </c>
      <c r="BE20" s="4" t="s">
        <v>103</v>
      </c>
      <c r="BF20" s="4" t="s">
        <v>167</v>
      </c>
      <c r="BG20" s="2" t="s">
        <v>104</v>
      </c>
      <c r="BH20" s="4" t="s">
        <v>174</v>
      </c>
      <c r="BI20" s="2" t="s">
        <v>60</v>
      </c>
      <c r="BK20" s="2" t="s">
        <v>60</v>
      </c>
      <c r="BM20" s="2" t="s">
        <v>213</v>
      </c>
    </row>
    <row r="21" spans="2:65" x14ac:dyDescent="0.15">
      <c r="B21" s="2" t="s">
        <v>103</v>
      </c>
      <c r="C21" s="2" t="s">
        <v>167</v>
      </c>
      <c r="D21" s="4" t="s">
        <v>1062</v>
      </c>
      <c r="E21" s="4" t="str">
        <f>VLOOKUP(D21,personSet!$B$5:$C$836,2,0)</f>
        <v>张绣</v>
      </c>
      <c r="F21" s="4">
        <v>1</v>
      </c>
      <c r="G21" s="2" t="s">
        <v>2847</v>
      </c>
      <c r="H21" s="2" t="s">
        <v>196</v>
      </c>
      <c r="I21" s="4" t="str">
        <f>VLOOKUP(H21,forceSet!$B$5:$D$46,3,0)</f>
        <v>张绣</v>
      </c>
      <c r="J21" s="4" t="s">
        <v>196</v>
      </c>
      <c r="K21" s="4" t="str">
        <f>VLOOKUP(J21,corpsSet!$B$5:$C$46,2,0)</f>
        <v>张绣</v>
      </c>
      <c r="L21" s="4">
        <v>1</v>
      </c>
      <c r="M21" s="4">
        <v>100000</v>
      </c>
      <c r="N21" s="4">
        <v>500000</v>
      </c>
      <c r="O21" s="4">
        <v>20000</v>
      </c>
      <c r="P21" s="4">
        <v>200000</v>
      </c>
      <c r="Q21" s="4">
        <v>12</v>
      </c>
      <c r="R21" s="4">
        <v>10</v>
      </c>
      <c r="S21" s="4">
        <v>3</v>
      </c>
      <c r="T21" s="4">
        <v>500</v>
      </c>
      <c r="U21" s="4">
        <v>5600</v>
      </c>
      <c r="V21" s="4">
        <v>3000</v>
      </c>
      <c r="W21" s="4">
        <v>200</v>
      </c>
      <c r="X21" s="4">
        <v>200</v>
      </c>
      <c r="Y21" s="4">
        <v>105</v>
      </c>
      <c r="Z21" s="2">
        <v>120</v>
      </c>
      <c r="AA21" s="2" t="s">
        <v>60</v>
      </c>
      <c r="AB21" s="2" t="s">
        <v>60</v>
      </c>
      <c r="AC21" s="2">
        <v>24000</v>
      </c>
      <c r="AD21" s="2" t="s">
        <v>60</v>
      </c>
      <c r="AE21" s="4" t="s">
        <v>2887</v>
      </c>
      <c r="AF21" s="4">
        <v>30000</v>
      </c>
      <c r="AG21" s="2">
        <v>4800</v>
      </c>
      <c r="AH21" s="2">
        <v>48000</v>
      </c>
      <c r="AI21" s="2" t="s">
        <v>3309</v>
      </c>
      <c r="AJ21" s="2" t="s">
        <v>60</v>
      </c>
      <c r="AK21" s="2" t="s">
        <v>60</v>
      </c>
      <c r="AM21" s="2" t="s">
        <v>2855</v>
      </c>
      <c r="AN21" s="7" t="s">
        <v>60</v>
      </c>
      <c r="AO21" s="2">
        <v>6</v>
      </c>
      <c r="AP21" s="4" t="s">
        <v>177</v>
      </c>
      <c r="AQ21" s="4">
        <v>0</v>
      </c>
      <c r="AR21" s="4">
        <v>0</v>
      </c>
      <c r="AS21" s="4">
        <v>100</v>
      </c>
      <c r="AT21" s="4">
        <v>90</v>
      </c>
      <c r="AU21" s="4">
        <v>100</v>
      </c>
      <c r="AV21" s="4">
        <v>100</v>
      </c>
      <c r="AW21" s="2" t="s">
        <v>3248</v>
      </c>
      <c r="AX21" s="2" t="s">
        <v>127</v>
      </c>
      <c r="AY21" s="2" t="s">
        <v>121</v>
      </c>
      <c r="AZ21" s="2" t="s">
        <v>3217</v>
      </c>
      <c r="BA21" s="2" t="s">
        <v>17</v>
      </c>
      <c r="BB21" s="4" t="s">
        <v>165</v>
      </c>
      <c r="BC21" s="2" t="s">
        <v>18</v>
      </c>
      <c r="BD21" s="4" t="s">
        <v>166</v>
      </c>
      <c r="BE21" s="4" t="s">
        <v>104</v>
      </c>
      <c r="BF21" s="4" t="s">
        <v>174</v>
      </c>
      <c r="BG21" s="2" t="s">
        <v>105</v>
      </c>
      <c r="BH21" s="4" t="s">
        <v>178</v>
      </c>
      <c r="BI21" s="2" t="s">
        <v>208</v>
      </c>
      <c r="BJ21" s="2" t="s">
        <v>170</v>
      </c>
      <c r="BK21" s="2" t="s">
        <v>41</v>
      </c>
      <c r="BL21" s="2" t="s">
        <v>149</v>
      </c>
      <c r="BM21" s="2" t="s">
        <v>213</v>
      </c>
    </row>
    <row r="22" spans="2:65" x14ac:dyDescent="0.15">
      <c r="B22" s="2" t="s">
        <v>104</v>
      </c>
      <c r="C22" s="2" t="s">
        <v>174</v>
      </c>
      <c r="D22" s="4" t="s">
        <v>150</v>
      </c>
      <c r="E22" s="4" t="str">
        <f>VLOOKUP(D22,personSet!$B$5:$C$836,2,0)</f>
        <v>何进</v>
      </c>
      <c r="F22" s="4">
        <v>1</v>
      </c>
      <c r="G22" s="2" t="s">
        <v>2847</v>
      </c>
      <c r="H22" s="2" t="s">
        <v>208</v>
      </c>
      <c r="I22" s="4" t="str">
        <f>VLOOKUP(H22,forceSet!$B$5:$D$46,3,0)</f>
        <v>何进</v>
      </c>
      <c r="J22" s="4" t="s">
        <v>208</v>
      </c>
      <c r="K22" s="4" t="str">
        <f>VLOOKUP(J22,corpsSet!$B$5:$C$46,2,0)</f>
        <v>何进</v>
      </c>
      <c r="L22" s="4">
        <v>3</v>
      </c>
      <c r="M22" s="4">
        <v>100000</v>
      </c>
      <c r="N22" s="4">
        <v>500000</v>
      </c>
      <c r="O22" s="4">
        <v>20000</v>
      </c>
      <c r="P22" s="4">
        <v>200000</v>
      </c>
      <c r="Q22" s="4">
        <v>12</v>
      </c>
      <c r="R22" s="4">
        <v>10</v>
      </c>
      <c r="S22" s="4">
        <v>3</v>
      </c>
      <c r="T22" s="4">
        <v>500</v>
      </c>
      <c r="U22" s="4">
        <v>5600</v>
      </c>
      <c r="V22" s="4">
        <v>3000</v>
      </c>
      <c r="W22" s="4">
        <v>200</v>
      </c>
      <c r="X22" s="4">
        <v>200</v>
      </c>
      <c r="Y22" s="4">
        <v>81</v>
      </c>
      <c r="Z22" s="2">
        <v>101</v>
      </c>
      <c r="AA22" s="2" t="s">
        <v>60</v>
      </c>
      <c r="AB22" s="2" t="s">
        <v>60</v>
      </c>
      <c r="AC22" s="2">
        <v>24000</v>
      </c>
      <c r="AD22" s="2" t="s">
        <v>60</v>
      </c>
      <c r="AE22" s="4" t="s">
        <v>2888</v>
      </c>
      <c r="AF22" s="4">
        <v>30000</v>
      </c>
      <c r="AG22" s="2">
        <v>6000</v>
      </c>
      <c r="AH22" s="2">
        <v>60000</v>
      </c>
      <c r="AI22" s="2" t="s">
        <v>3309</v>
      </c>
      <c r="AJ22" s="2" t="s">
        <v>60</v>
      </c>
      <c r="AK22" s="2" t="s">
        <v>60</v>
      </c>
      <c r="AM22" s="2" t="s">
        <v>2855</v>
      </c>
      <c r="AN22" s="7" t="s">
        <v>60</v>
      </c>
      <c r="AO22" s="2">
        <v>6</v>
      </c>
      <c r="AP22" s="4" t="s">
        <v>177</v>
      </c>
      <c r="AQ22" s="4">
        <v>0</v>
      </c>
      <c r="AR22" s="4">
        <v>0</v>
      </c>
      <c r="AS22" s="4">
        <v>100</v>
      </c>
      <c r="AT22" s="4">
        <v>90</v>
      </c>
      <c r="AU22" s="4">
        <v>100</v>
      </c>
      <c r="AV22" s="4">
        <v>100</v>
      </c>
      <c r="AW22" s="2" t="s">
        <v>3248</v>
      </c>
      <c r="AX22" s="2" t="s">
        <v>145</v>
      </c>
      <c r="AY22" s="2" t="s">
        <v>121</v>
      </c>
      <c r="AZ22" s="2" t="s">
        <v>3218</v>
      </c>
      <c r="BA22" s="2" t="s">
        <v>18</v>
      </c>
      <c r="BB22" s="4" t="s">
        <v>166</v>
      </c>
      <c r="BC22" s="2" t="s">
        <v>103</v>
      </c>
      <c r="BD22" s="4" t="s">
        <v>167</v>
      </c>
      <c r="BE22" s="4" t="s">
        <v>106</v>
      </c>
      <c r="BF22" s="4" t="s">
        <v>180</v>
      </c>
      <c r="BG22" s="2" t="s">
        <v>226</v>
      </c>
      <c r="BH22" s="4" t="s">
        <v>181</v>
      </c>
      <c r="BI22" s="2" t="s">
        <v>60</v>
      </c>
      <c r="BK22" s="2" t="s">
        <v>60</v>
      </c>
      <c r="BM22" s="2" t="s">
        <v>213</v>
      </c>
    </row>
    <row r="23" spans="2:65" x14ac:dyDescent="0.15">
      <c r="B23" s="2" t="s">
        <v>105</v>
      </c>
      <c r="C23" s="2" t="s">
        <v>178</v>
      </c>
      <c r="D23" s="2">
        <v>0</v>
      </c>
      <c r="E23" s="4" t="e">
        <f>VLOOKUP(D23,personSet!$B$5:$C$836,2,0)</f>
        <v>#N/A</v>
      </c>
      <c r="F23" s="4">
        <v>1</v>
      </c>
      <c r="G23" s="2" t="s">
        <v>2847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>
        <v>1</v>
      </c>
      <c r="M23" s="4">
        <v>100000</v>
      </c>
      <c r="N23" s="4">
        <v>500000</v>
      </c>
      <c r="O23" s="4">
        <v>20000</v>
      </c>
      <c r="P23" s="4">
        <v>200000</v>
      </c>
      <c r="Q23" s="4">
        <v>12</v>
      </c>
      <c r="R23" s="4">
        <v>10</v>
      </c>
      <c r="S23" s="4">
        <v>3</v>
      </c>
      <c r="T23" s="4">
        <v>500</v>
      </c>
      <c r="U23" s="4">
        <v>5600</v>
      </c>
      <c r="V23" s="4">
        <v>3000</v>
      </c>
      <c r="W23" s="4">
        <v>200</v>
      </c>
      <c r="X23" s="4">
        <v>200</v>
      </c>
      <c r="Y23" s="4">
        <v>82</v>
      </c>
      <c r="Z23" s="2">
        <v>130</v>
      </c>
      <c r="AA23" s="2" t="s">
        <v>60</v>
      </c>
      <c r="AB23" s="2" t="s">
        <v>60</v>
      </c>
      <c r="AC23" s="2">
        <v>0</v>
      </c>
      <c r="AD23" s="2" t="s">
        <v>60</v>
      </c>
      <c r="AE23" s="4" t="s">
        <v>2889</v>
      </c>
      <c r="AF23" s="4">
        <v>30000</v>
      </c>
      <c r="AG23" s="2">
        <v>0</v>
      </c>
      <c r="AH23" s="2">
        <v>0</v>
      </c>
      <c r="AI23" s="2" t="s">
        <v>3309</v>
      </c>
      <c r="AJ23" s="2" t="s">
        <v>60</v>
      </c>
      <c r="AK23" s="2" t="s">
        <v>60</v>
      </c>
      <c r="AM23" s="2" t="s">
        <v>2855</v>
      </c>
      <c r="AN23" s="7" t="s">
        <v>60</v>
      </c>
      <c r="AO23" s="2">
        <v>6</v>
      </c>
      <c r="AP23" s="4" t="s">
        <v>177</v>
      </c>
      <c r="AQ23" s="4">
        <v>0</v>
      </c>
      <c r="AR23" s="4">
        <v>0</v>
      </c>
      <c r="AS23" s="4">
        <v>100</v>
      </c>
      <c r="AT23" s="4">
        <v>90</v>
      </c>
      <c r="AU23" s="4">
        <v>100</v>
      </c>
      <c r="AV23" s="4">
        <v>100</v>
      </c>
      <c r="AW23" s="2" t="s">
        <v>3248</v>
      </c>
      <c r="AX23" s="2" t="s">
        <v>158</v>
      </c>
      <c r="AY23" s="2" t="s">
        <v>128</v>
      </c>
      <c r="AZ23" s="2" t="s">
        <v>3219</v>
      </c>
      <c r="BA23" s="2" t="s">
        <v>103</v>
      </c>
      <c r="BB23" s="4" t="s">
        <v>167</v>
      </c>
      <c r="BC23" s="2" t="s">
        <v>208</v>
      </c>
      <c r="BD23" s="4" t="s">
        <v>170</v>
      </c>
      <c r="BE23" s="4" t="s">
        <v>226</v>
      </c>
      <c r="BF23" s="4" t="s">
        <v>181</v>
      </c>
      <c r="BG23" s="2" t="s">
        <v>60</v>
      </c>
      <c r="BH23" s="4"/>
      <c r="BI23" s="2" t="s">
        <v>60</v>
      </c>
      <c r="BK23" s="2" t="s">
        <v>60</v>
      </c>
      <c r="BM23" s="2" t="s">
        <v>213</v>
      </c>
    </row>
    <row r="24" spans="2:65" x14ac:dyDescent="0.15">
      <c r="B24" s="2" t="s">
        <v>106</v>
      </c>
      <c r="C24" s="2" t="s">
        <v>180</v>
      </c>
      <c r="D24" s="4" t="s">
        <v>1054</v>
      </c>
      <c r="E24" s="4" t="str">
        <f>VLOOKUP(D24,personSet!$B$5:$C$836,2,0)</f>
        <v>董卓</v>
      </c>
      <c r="F24" s="4">
        <v>1</v>
      </c>
      <c r="G24" s="2" t="s">
        <v>2847</v>
      </c>
      <c r="H24" s="2" t="s">
        <v>36</v>
      </c>
      <c r="I24" s="4" t="str">
        <f>VLOOKUP(H24,forceSet!$B$5:$D$46,3,0)</f>
        <v>董卓</v>
      </c>
      <c r="J24" s="4" t="s">
        <v>36</v>
      </c>
      <c r="K24" s="4" t="str">
        <f>VLOOKUP(J24,corpsSet!$B$5:$C$46,2,0)</f>
        <v>董卓</v>
      </c>
      <c r="L24" s="4">
        <v>1</v>
      </c>
      <c r="M24" s="4">
        <v>100000</v>
      </c>
      <c r="N24" s="4">
        <v>500000</v>
      </c>
      <c r="O24" s="4">
        <v>20000</v>
      </c>
      <c r="P24" s="4">
        <v>200000</v>
      </c>
      <c r="Q24" s="4">
        <v>12</v>
      </c>
      <c r="R24" s="4">
        <v>10</v>
      </c>
      <c r="S24" s="4">
        <v>3</v>
      </c>
      <c r="T24" s="4">
        <v>500</v>
      </c>
      <c r="U24" s="4">
        <v>5600</v>
      </c>
      <c r="V24" s="4">
        <v>3000</v>
      </c>
      <c r="W24" s="4">
        <v>200</v>
      </c>
      <c r="X24" s="4">
        <v>200</v>
      </c>
      <c r="Y24" s="4">
        <v>56</v>
      </c>
      <c r="Z24" s="2">
        <v>83</v>
      </c>
      <c r="AA24" s="2" t="s">
        <v>60</v>
      </c>
      <c r="AB24" s="2" t="s">
        <v>60</v>
      </c>
      <c r="AC24" s="2">
        <v>30000</v>
      </c>
      <c r="AD24" s="2" t="s">
        <v>60</v>
      </c>
      <c r="AE24" s="4" t="s">
        <v>2890</v>
      </c>
      <c r="AF24" s="4">
        <v>30000</v>
      </c>
      <c r="AG24" s="2">
        <v>6000</v>
      </c>
      <c r="AH24" s="2">
        <v>60000</v>
      </c>
      <c r="AI24" s="2" t="s">
        <v>3309</v>
      </c>
      <c r="AJ24" s="2" t="s">
        <v>60</v>
      </c>
      <c r="AK24" s="2" t="s">
        <v>60</v>
      </c>
      <c r="AM24" s="2" t="s">
        <v>2855</v>
      </c>
      <c r="AN24" s="7" t="s">
        <v>60</v>
      </c>
      <c r="AO24" s="2">
        <v>7</v>
      </c>
      <c r="AP24" s="4" t="s">
        <v>182</v>
      </c>
      <c r="AQ24" s="4">
        <v>0</v>
      </c>
      <c r="AR24" s="4">
        <v>0</v>
      </c>
      <c r="AS24" s="4">
        <v>100</v>
      </c>
      <c r="AT24" s="4">
        <v>90</v>
      </c>
      <c r="AU24" s="4">
        <v>100</v>
      </c>
      <c r="AV24" s="4">
        <v>100</v>
      </c>
      <c r="AW24" s="2" t="s">
        <v>3248</v>
      </c>
      <c r="AX24" s="2" t="s">
        <v>120</v>
      </c>
      <c r="AY24" s="2" t="s">
        <v>121</v>
      </c>
      <c r="AZ24" s="2" t="s">
        <v>3220</v>
      </c>
      <c r="BA24" s="2" t="s">
        <v>104</v>
      </c>
      <c r="BB24" s="4" t="s">
        <v>174</v>
      </c>
      <c r="BC24" s="2" t="s">
        <v>107</v>
      </c>
      <c r="BD24" s="4" t="s">
        <v>2915</v>
      </c>
      <c r="BE24" s="4" t="s">
        <v>10</v>
      </c>
      <c r="BF24" s="4" t="s">
        <v>183</v>
      </c>
      <c r="BG24" s="2" t="s">
        <v>60</v>
      </c>
      <c r="BH24" s="4"/>
      <c r="BI24" s="2" t="s">
        <v>60</v>
      </c>
      <c r="BK24" s="2" t="s">
        <v>60</v>
      </c>
      <c r="BM24" s="2" t="s">
        <v>213</v>
      </c>
    </row>
    <row r="25" spans="2:65" x14ac:dyDescent="0.15">
      <c r="B25" s="2" t="s">
        <v>107</v>
      </c>
      <c r="C25" s="2" t="s">
        <v>2915</v>
      </c>
      <c r="D25" s="4" t="s">
        <v>319</v>
      </c>
      <c r="E25" s="4" t="str">
        <f>VLOOKUP(D25,personSet!$B$5:$C$836,2,0)</f>
        <v>韩遂</v>
      </c>
      <c r="F25" s="4">
        <v>1</v>
      </c>
      <c r="G25" s="2" t="s">
        <v>2847</v>
      </c>
      <c r="H25" s="2" t="s">
        <v>107</v>
      </c>
      <c r="I25" s="4" t="str">
        <f>VLOOKUP(H25,forceSet!$B$5:$D$46,3,0)</f>
        <v>韩遂</v>
      </c>
      <c r="J25" s="4" t="s">
        <v>107</v>
      </c>
      <c r="K25" s="4" t="str">
        <f>VLOOKUP(J25,corpsSet!$B$5:$C$46,2,0)</f>
        <v>韩遂</v>
      </c>
      <c r="L25" s="4">
        <v>1</v>
      </c>
      <c r="M25" s="4">
        <v>100000</v>
      </c>
      <c r="N25" s="4">
        <v>500000</v>
      </c>
      <c r="O25" s="4">
        <v>20000</v>
      </c>
      <c r="P25" s="4">
        <v>200000</v>
      </c>
      <c r="Q25" s="4">
        <v>12</v>
      </c>
      <c r="R25" s="4">
        <v>10</v>
      </c>
      <c r="S25" s="4">
        <v>3</v>
      </c>
      <c r="T25" s="4">
        <v>500</v>
      </c>
      <c r="U25" s="4">
        <v>5600</v>
      </c>
      <c r="V25" s="4">
        <v>3000</v>
      </c>
      <c r="W25" s="4">
        <v>200</v>
      </c>
      <c r="X25" s="4">
        <v>200</v>
      </c>
      <c r="Y25" s="4">
        <v>38</v>
      </c>
      <c r="Z25" s="2">
        <v>99</v>
      </c>
      <c r="AA25" s="2" t="s">
        <v>60</v>
      </c>
      <c r="AB25" s="2" t="s">
        <v>60</v>
      </c>
      <c r="AC25" s="2">
        <v>24000</v>
      </c>
      <c r="AD25" s="2" t="s">
        <v>60</v>
      </c>
      <c r="AE25" s="4" t="s">
        <v>2891</v>
      </c>
      <c r="AF25" s="4">
        <v>30000</v>
      </c>
      <c r="AG25" s="2">
        <v>4800</v>
      </c>
      <c r="AH25" s="2">
        <v>48000</v>
      </c>
      <c r="AI25" s="2" t="s">
        <v>3309</v>
      </c>
      <c r="AJ25" s="2" t="s">
        <v>60</v>
      </c>
      <c r="AK25" s="2" t="s">
        <v>60</v>
      </c>
      <c r="AM25" s="2" t="s">
        <v>2855</v>
      </c>
      <c r="AN25" s="7" t="s">
        <v>60</v>
      </c>
      <c r="AO25" s="2">
        <v>7</v>
      </c>
      <c r="AP25" s="4" t="s">
        <v>182</v>
      </c>
      <c r="AQ25" s="4">
        <v>0</v>
      </c>
      <c r="AR25" s="4">
        <v>0</v>
      </c>
      <c r="AS25" s="4">
        <v>100</v>
      </c>
      <c r="AT25" s="4">
        <v>90</v>
      </c>
      <c r="AU25" s="4">
        <v>100</v>
      </c>
      <c r="AV25" s="4">
        <v>100</v>
      </c>
      <c r="AW25" s="2" t="s">
        <v>3248</v>
      </c>
      <c r="AX25" s="2" t="s">
        <v>120</v>
      </c>
      <c r="AY25" s="2" t="s">
        <v>128</v>
      </c>
      <c r="AZ25" s="2" t="s">
        <v>3221</v>
      </c>
      <c r="BA25" s="2" t="s">
        <v>106</v>
      </c>
      <c r="BB25" s="4" t="s">
        <v>180</v>
      </c>
      <c r="BC25" s="2" t="s">
        <v>10</v>
      </c>
      <c r="BD25" s="4" t="s">
        <v>183</v>
      </c>
      <c r="BE25" s="4" t="s">
        <v>226</v>
      </c>
      <c r="BF25" s="4" t="s">
        <v>181</v>
      </c>
      <c r="BG25" s="2" t="s">
        <v>60</v>
      </c>
      <c r="BH25" s="4"/>
      <c r="BI25" s="2" t="s">
        <v>60</v>
      </c>
      <c r="BK25" s="2" t="s">
        <v>60</v>
      </c>
      <c r="BM25" s="2" t="s">
        <v>213</v>
      </c>
    </row>
    <row r="26" spans="2:65" x14ac:dyDescent="0.15">
      <c r="B26" s="2" t="s">
        <v>10</v>
      </c>
      <c r="C26" s="2" t="s">
        <v>183</v>
      </c>
      <c r="D26" s="4" t="s">
        <v>543</v>
      </c>
      <c r="E26" s="4" t="str">
        <f>VLOOKUP(D26,personSet!$B$5:$C$836,2,0)</f>
        <v>马腾</v>
      </c>
      <c r="F26" s="4">
        <v>1</v>
      </c>
      <c r="G26" s="2" t="s">
        <v>2847</v>
      </c>
      <c r="H26" s="2" t="s">
        <v>37</v>
      </c>
      <c r="I26" s="4" t="str">
        <f>VLOOKUP(H26,forceSet!$B$5:$D$46,3,0)</f>
        <v>马腾</v>
      </c>
      <c r="J26" s="4" t="s">
        <v>37</v>
      </c>
      <c r="K26" s="4" t="str">
        <f>VLOOKUP(J26,corpsSet!$B$5:$C$46,2,0)</f>
        <v>马腾</v>
      </c>
      <c r="L26" s="4">
        <v>1</v>
      </c>
      <c r="M26" s="4">
        <v>100000</v>
      </c>
      <c r="N26" s="4">
        <v>500000</v>
      </c>
      <c r="O26" s="4">
        <v>20000</v>
      </c>
      <c r="P26" s="4">
        <v>200000</v>
      </c>
      <c r="Q26" s="4">
        <v>12</v>
      </c>
      <c r="R26" s="4">
        <v>10</v>
      </c>
      <c r="S26" s="4">
        <v>3</v>
      </c>
      <c r="T26" s="4">
        <v>500</v>
      </c>
      <c r="U26" s="4">
        <v>5600</v>
      </c>
      <c r="V26" s="4">
        <v>3000</v>
      </c>
      <c r="W26" s="4">
        <v>200</v>
      </c>
      <c r="X26" s="4">
        <v>200</v>
      </c>
      <c r="Y26" s="4">
        <v>37</v>
      </c>
      <c r="Z26" s="2">
        <v>69</v>
      </c>
      <c r="AA26" s="2" t="s">
        <v>60</v>
      </c>
      <c r="AB26" s="2" t="s">
        <v>60</v>
      </c>
      <c r="AC26" s="2">
        <v>26000</v>
      </c>
      <c r="AD26" s="2" t="s">
        <v>60</v>
      </c>
      <c r="AE26" s="4" t="s">
        <v>2892</v>
      </c>
      <c r="AF26" s="4">
        <v>30000</v>
      </c>
      <c r="AG26" s="2">
        <v>5200</v>
      </c>
      <c r="AH26" s="2">
        <v>52000</v>
      </c>
      <c r="AI26" s="2" t="s">
        <v>3309</v>
      </c>
      <c r="AJ26" s="2" t="s">
        <v>60</v>
      </c>
      <c r="AK26" s="2" t="s">
        <v>60</v>
      </c>
      <c r="AM26" s="2" t="s">
        <v>2855</v>
      </c>
      <c r="AN26" s="7" t="s">
        <v>60</v>
      </c>
      <c r="AO26" s="2">
        <v>7</v>
      </c>
      <c r="AP26" s="4" t="s">
        <v>182</v>
      </c>
      <c r="AQ26" s="4">
        <v>0</v>
      </c>
      <c r="AR26" s="4">
        <v>0</v>
      </c>
      <c r="AS26" s="4">
        <v>100</v>
      </c>
      <c r="AT26" s="4">
        <v>90</v>
      </c>
      <c r="AU26" s="4">
        <v>100</v>
      </c>
      <c r="AV26" s="4">
        <v>100</v>
      </c>
      <c r="AW26" s="2" t="s">
        <v>3248</v>
      </c>
      <c r="AX26" s="2" t="s">
        <v>127</v>
      </c>
      <c r="AY26" s="2" t="s">
        <v>146</v>
      </c>
      <c r="AZ26" s="2" t="s">
        <v>3222</v>
      </c>
      <c r="BA26" s="2" t="s">
        <v>106</v>
      </c>
      <c r="BB26" s="4" t="s">
        <v>180</v>
      </c>
      <c r="BC26" s="2" t="s">
        <v>107</v>
      </c>
      <c r="BD26" s="4" t="s">
        <v>2915</v>
      </c>
      <c r="BE26" s="4" t="s">
        <v>60</v>
      </c>
      <c r="BF26" s="4"/>
      <c r="BG26" s="2" t="s">
        <v>60</v>
      </c>
      <c r="BH26" s="4"/>
      <c r="BI26" s="2" t="s">
        <v>60</v>
      </c>
      <c r="BK26" s="2" t="s">
        <v>60</v>
      </c>
      <c r="BM26" s="2" t="s">
        <v>213</v>
      </c>
    </row>
    <row r="27" spans="2:65" x14ac:dyDescent="0.15">
      <c r="B27" s="2" t="s">
        <v>189</v>
      </c>
      <c r="C27" s="2" t="s">
        <v>2916</v>
      </c>
      <c r="D27" s="4" t="s">
        <v>2351</v>
      </c>
      <c r="E27" s="4" t="str">
        <f>VLOOKUP(D27,personSet!$B$5:$C$836,2,0)</f>
        <v>刘繇</v>
      </c>
      <c r="F27" s="4">
        <v>1</v>
      </c>
      <c r="G27" s="2" t="s">
        <v>2847</v>
      </c>
      <c r="H27" s="2" t="s">
        <v>193</v>
      </c>
      <c r="I27" s="4" t="str">
        <f>VLOOKUP(H27,forceSet!$B$5:$D$46,3,0)</f>
        <v>刘繇</v>
      </c>
      <c r="J27" s="4" t="s">
        <v>193</v>
      </c>
      <c r="K27" s="4" t="str">
        <f>VLOOKUP(J27,corpsSet!$B$5:$C$46,2,0)</f>
        <v>刘繇</v>
      </c>
      <c r="L27" s="4">
        <v>2</v>
      </c>
      <c r="M27" s="4">
        <v>100000</v>
      </c>
      <c r="N27" s="4">
        <v>500000</v>
      </c>
      <c r="O27" s="4">
        <v>20000</v>
      </c>
      <c r="P27" s="4">
        <v>200000</v>
      </c>
      <c r="Q27" s="4">
        <v>12</v>
      </c>
      <c r="R27" s="4">
        <v>10</v>
      </c>
      <c r="S27" s="4">
        <v>3</v>
      </c>
      <c r="T27" s="4">
        <v>500</v>
      </c>
      <c r="U27" s="4">
        <v>5600</v>
      </c>
      <c r="V27" s="4">
        <v>3000</v>
      </c>
      <c r="W27" s="4">
        <v>200</v>
      </c>
      <c r="X27" s="4">
        <v>200</v>
      </c>
      <c r="Y27" s="4">
        <v>190</v>
      </c>
      <c r="Z27" s="2">
        <v>132</v>
      </c>
      <c r="AA27" s="2" t="s">
        <v>60</v>
      </c>
      <c r="AB27" s="2" t="s">
        <v>60</v>
      </c>
      <c r="AC27" s="2">
        <v>20000</v>
      </c>
      <c r="AD27" s="2" t="s">
        <v>60</v>
      </c>
      <c r="AE27" s="4" t="s">
        <v>2893</v>
      </c>
      <c r="AF27" s="4">
        <v>30000</v>
      </c>
      <c r="AG27" s="2">
        <v>4800</v>
      </c>
      <c r="AH27" s="2">
        <v>48000</v>
      </c>
      <c r="AI27" s="2" t="s">
        <v>3309</v>
      </c>
      <c r="AJ27" s="2" t="s">
        <v>60</v>
      </c>
      <c r="AK27" s="2" t="s">
        <v>60</v>
      </c>
      <c r="AM27" s="2" t="s">
        <v>2855</v>
      </c>
      <c r="AN27" s="7" t="s">
        <v>60</v>
      </c>
      <c r="AO27" s="2">
        <v>8</v>
      </c>
      <c r="AP27" s="4" t="s">
        <v>186</v>
      </c>
      <c r="AQ27" s="4">
        <v>0</v>
      </c>
      <c r="AR27" s="4">
        <v>0</v>
      </c>
      <c r="AS27" s="4">
        <v>100</v>
      </c>
      <c r="AT27" s="4">
        <v>90</v>
      </c>
      <c r="AU27" s="4">
        <v>100</v>
      </c>
      <c r="AV27" s="4">
        <v>100</v>
      </c>
      <c r="AW27" s="2" t="s">
        <v>3248</v>
      </c>
      <c r="AX27" s="2" t="s">
        <v>127</v>
      </c>
      <c r="AY27" s="2" t="s">
        <v>154</v>
      </c>
      <c r="AZ27" s="2" t="s">
        <v>3223</v>
      </c>
      <c r="BA27" s="2" t="s">
        <v>24</v>
      </c>
      <c r="BB27" s="4" t="s">
        <v>156</v>
      </c>
      <c r="BC27" s="2" t="s">
        <v>193</v>
      </c>
      <c r="BD27" s="4" t="s">
        <v>187</v>
      </c>
      <c r="BE27" s="4" t="s">
        <v>200</v>
      </c>
      <c r="BF27" s="4" t="s">
        <v>162</v>
      </c>
      <c r="BG27" s="2" t="s">
        <v>204</v>
      </c>
      <c r="BH27" s="4" t="s">
        <v>188</v>
      </c>
      <c r="BI27" s="2" t="s">
        <v>60</v>
      </c>
      <c r="BK27" s="2" t="s">
        <v>60</v>
      </c>
      <c r="BM27" s="2" t="s">
        <v>213</v>
      </c>
    </row>
    <row r="28" spans="2:65" x14ac:dyDescent="0.15">
      <c r="B28" s="2" t="s">
        <v>193</v>
      </c>
      <c r="C28" s="2" t="s">
        <v>187</v>
      </c>
      <c r="D28" s="4" t="s">
        <v>759</v>
      </c>
      <c r="E28" s="4" t="str">
        <f>VLOOKUP(D28,personSet!$B$5:$C$836,2,0)</f>
        <v>严白虎</v>
      </c>
      <c r="F28" s="4">
        <v>1</v>
      </c>
      <c r="G28" s="2" t="s">
        <v>2847</v>
      </c>
      <c r="H28" s="2" t="s">
        <v>189</v>
      </c>
      <c r="I28" s="4" t="str">
        <f>VLOOKUP(H28,forceSet!$B$5:$D$46,3,0)</f>
        <v>严白虎</v>
      </c>
      <c r="J28" s="4" t="s">
        <v>189</v>
      </c>
      <c r="K28" s="4" t="str">
        <f>VLOOKUP(J28,corpsSet!$B$5:$C$46,2,0)</f>
        <v>严白虎</v>
      </c>
      <c r="L28" s="4">
        <v>1</v>
      </c>
      <c r="M28" s="4">
        <v>100000</v>
      </c>
      <c r="N28" s="4">
        <v>500000</v>
      </c>
      <c r="O28" s="4">
        <v>20000</v>
      </c>
      <c r="P28" s="4">
        <v>200000</v>
      </c>
      <c r="Q28" s="4">
        <v>12</v>
      </c>
      <c r="R28" s="4">
        <v>10</v>
      </c>
      <c r="S28" s="4">
        <v>3</v>
      </c>
      <c r="T28" s="4">
        <v>500</v>
      </c>
      <c r="U28" s="4">
        <v>5600</v>
      </c>
      <c r="V28" s="4">
        <v>3000</v>
      </c>
      <c r="W28" s="4">
        <v>200</v>
      </c>
      <c r="X28" s="4">
        <v>200</v>
      </c>
      <c r="Y28" s="4">
        <v>210</v>
      </c>
      <c r="Z28" s="2">
        <v>137</v>
      </c>
      <c r="AA28" s="2" t="s">
        <v>60</v>
      </c>
      <c r="AB28" s="2" t="s">
        <v>60</v>
      </c>
      <c r="AC28" s="2">
        <v>20000</v>
      </c>
      <c r="AD28" s="2" t="s">
        <v>60</v>
      </c>
      <c r="AE28" s="4" t="s">
        <v>2894</v>
      </c>
      <c r="AF28" s="4">
        <v>30000</v>
      </c>
      <c r="AG28" s="2">
        <v>4400</v>
      </c>
      <c r="AH28" s="2">
        <v>44000</v>
      </c>
      <c r="AI28" s="2" t="s">
        <v>3309</v>
      </c>
      <c r="AJ28" s="2" t="s">
        <v>60</v>
      </c>
      <c r="AK28" s="2" t="s">
        <v>60</v>
      </c>
      <c r="AM28" s="2" t="s">
        <v>2855</v>
      </c>
      <c r="AN28" s="7" t="s">
        <v>60</v>
      </c>
      <c r="AO28" s="2">
        <v>8</v>
      </c>
      <c r="AP28" s="4" t="s">
        <v>186</v>
      </c>
      <c r="AQ28" s="4">
        <v>0</v>
      </c>
      <c r="AR28" s="4">
        <v>0</v>
      </c>
      <c r="AS28" s="4">
        <v>100</v>
      </c>
      <c r="AT28" s="4">
        <v>90</v>
      </c>
      <c r="AU28" s="4">
        <v>100</v>
      </c>
      <c r="AV28" s="4">
        <v>100</v>
      </c>
      <c r="AW28" s="2" t="s">
        <v>3248</v>
      </c>
      <c r="AX28" s="2" t="s">
        <v>120</v>
      </c>
      <c r="AY28" s="2" t="s">
        <v>146</v>
      </c>
      <c r="AZ28" s="2" t="s">
        <v>3224</v>
      </c>
      <c r="BA28" s="2" t="s">
        <v>189</v>
      </c>
      <c r="BB28" s="4" t="s">
        <v>2916</v>
      </c>
      <c r="BC28" s="2" t="s">
        <v>196</v>
      </c>
      <c r="BD28" s="4" t="s">
        <v>192</v>
      </c>
      <c r="BE28" s="4" t="s">
        <v>60</v>
      </c>
      <c r="BF28" s="4"/>
      <c r="BG28" s="2" t="s">
        <v>60</v>
      </c>
      <c r="BH28" s="4"/>
      <c r="BI28" s="2" t="s">
        <v>60</v>
      </c>
      <c r="BK28" s="2" t="s">
        <v>60</v>
      </c>
      <c r="BM28" s="2" t="s">
        <v>213</v>
      </c>
    </row>
    <row r="29" spans="2:65" x14ac:dyDescent="0.15">
      <c r="B29" s="2" t="s">
        <v>196</v>
      </c>
      <c r="C29" s="2" t="s">
        <v>192</v>
      </c>
      <c r="D29" s="4" t="s">
        <v>7</v>
      </c>
      <c r="E29" s="4" t="str">
        <f>VLOOKUP(D29,personSet!$B$5:$C$836,2,0)</f>
        <v>王朗</v>
      </c>
      <c r="F29" s="4">
        <v>1</v>
      </c>
      <c r="G29" s="2" t="s">
        <v>2847</v>
      </c>
      <c r="H29" s="2" t="s">
        <v>10</v>
      </c>
      <c r="I29" s="4" t="str">
        <f>VLOOKUP(H29,forceSet!$B$5:$D$46,3,0)</f>
        <v>王朗</v>
      </c>
      <c r="J29" s="4" t="s">
        <v>10</v>
      </c>
      <c r="K29" s="4" t="str">
        <f>VLOOKUP(J29,corpsSet!$B$5:$C$46,2,0)</f>
        <v>王朗</v>
      </c>
      <c r="L29" s="4">
        <v>1</v>
      </c>
      <c r="M29" s="4">
        <v>100000</v>
      </c>
      <c r="N29" s="4">
        <v>500000</v>
      </c>
      <c r="O29" s="4">
        <v>20000</v>
      </c>
      <c r="P29" s="4">
        <v>200000</v>
      </c>
      <c r="Q29" s="4">
        <v>12</v>
      </c>
      <c r="R29" s="4">
        <v>10</v>
      </c>
      <c r="S29" s="4">
        <v>3</v>
      </c>
      <c r="T29" s="4">
        <v>500</v>
      </c>
      <c r="U29" s="4">
        <v>5600</v>
      </c>
      <c r="V29" s="4">
        <v>3000</v>
      </c>
      <c r="W29" s="4">
        <v>200</v>
      </c>
      <c r="X29" s="4">
        <v>200</v>
      </c>
      <c r="Y29" s="4">
        <v>212</v>
      </c>
      <c r="Z29" s="2">
        <v>153</v>
      </c>
      <c r="AA29" s="2" t="s">
        <v>60</v>
      </c>
      <c r="AB29" s="2" t="s">
        <v>60</v>
      </c>
      <c r="AC29" s="2">
        <v>20000</v>
      </c>
      <c r="AD29" s="2" t="s">
        <v>60</v>
      </c>
      <c r="AE29" s="4" t="s">
        <v>2895</v>
      </c>
      <c r="AF29" s="4">
        <v>30000</v>
      </c>
      <c r="AG29" s="2">
        <v>4400</v>
      </c>
      <c r="AH29" s="2">
        <v>44000</v>
      </c>
      <c r="AI29" s="2" t="s">
        <v>3309</v>
      </c>
      <c r="AJ29" s="2" t="s">
        <v>60</v>
      </c>
      <c r="AK29" s="2" t="s">
        <v>60</v>
      </c>
      <c r="AM29" s="2" t="s">
        <v>2855</v>
      </c>
      <c r="AN29" s="7" t="s">
        <v>60</v>
      </c>
      <c r="AO29" s="2">
        <v>8</v>
      </c>
      <c r="AP29" s="4" t="s">
        <v>186</v>
      </c>
      <c r="AQ29" s="4">
        <v>0</v>
      </c>
      <c r="AR29" s="4">
        <v>0</v>
      </c>
      <c r="AS29" s="4">
        <v>100</v>
      </c>
      <c r="AT29" s="4">
        <v>90</v>
      </c>
      <c r="AU29" s="4">
        <v>100</v>
      </c>
      <c r="AV29" s="4">
        <v>100</v>
      </c>
      <c r="AW29" s="2" t="s">
        <v>3248</v>
      </c>
      <c r="AX29" s="2" t="s">
        <v>127</v>
      </c>
      <c r="AY29" s="2" t="s">
        <v>128</v>
      </c>
      <c r="AZ29" s="2" t="s">
        <v>193</v>
      </c>
      <c r="BA29" s="2" t="s">
        <v>193</v>
      </c>
      <c r="BB29" s="4" t="s">
        <v>187</v>
      </c>
      <c r="BC29" s="2" t="s">
        <v>60</v>
      </c>
      <c r="BD29" s="4"/>
      <c r="BE29" s="4" t="s">
        <v>60</v>
      </c>
      <c r="BF29" s="4"/>
      <c r="BG29" s="2" t="s">
        <v>60</v>
      </c>
      <c r="BH29" s="4"/>
      <c r="BI29" s="2" t="s">
        <v>60</v>
      </c>
      <c r="BK29" s="2" t="s">
        <v>60</v>
      </c>
      <c r="BM29" s="2" t="s">
        <v>213</v>
      </c>
    </row>
    <row r="30" spans="2:65" x14ac:dyDescent="0.15">
      <c r="B30" s="2" t="s">
        <v>200</v>
      </c>
      <c r="C30" s="2" t="s">
        <v>162</v>
      </c>
      <c r="D30" s="4" t="s">
        <v>103</v>
      </c>
      <c r="E30" s="4" t="str">
        <f>VLOOKUP(D30,personSet!$B$5:$C$836,2,0)</f>
        <v>袁术</v>
      </c>
      <c r="F30" s="4">
        <v>1</v>
      </c>
      <c r="G30" s="2" t="s">
        <v>2847</v>
      </c>
      <c r="H30" s="2" t="s">
        <v>29</v>
      </c>
      <c r="I30" s="4" t="str">
        <f>VLOOKUP(H30,forceSet!$B$5:$D$46,3,0)</f>
        <v>袁术</v>
      </c>
      <c r="J30" s="4" t="s">
        <v>29</v>
      </c>
      <c r="K30" s="4" t="str">
        <f>VLOOKUP(J30,corpsSet!$B$5:$C$46,2,0)</f>
        <v>袁术</v>
      </c>
      <c r="L30" s="4">
        <v>1</v>
      </c>
      <c r="M30" s="4">
        <v>100000</v>
      </c>
      <c r="N30" s="4">
        <v>500000</v>
      </c>
      <c r="O30" s="4">
        <v>20000</v>
      </c>
      <c r="P30" s="4">
        <v>200000</v>
      </c>
      <c r="Q30" s="4">
        <v>12</v>
      </c>
      <c r="R30" s="4">
        <v>10</v>
      </c>
      <c r="S30" s="4">
        <v>3</v>
      </c>
      <c r="T30" s="4">
        <v>500</v>
      </c>
      <c r="U30" s="4">
        <v>5600</v>
      </c>
      <c r="V30" s="4">
        <v>3000</v>
      </c>
      <c r="W30" s="4">
        <v>200</v>
      </c>
      <c r="X30" s="4">
        <v>200</v>
      </c>
      <c r="Y30" s="4">
        <v>174</v>
      </c>
      <c r="Z30" s="2">
        <v>146</v>
      </c>
      <c r="AA30" s="2" t="s">
        <v>60</v>
      </c>
      <c r="AB30" s="2" t="s">
        <v>60</v>
      </c>
      <c r="AC30" s="2">
        <v>28000</v>
      </c>
      <c r="AD30" s="2" t="s">
        <v>60</v>
      </c>
      <c r="AE30" s="4" t="s">
        <v>2896</v>
      </c>
      <c r="AF30" s="4">
        <v>30000</v>
      </c>
      <c r="AG30" s="2">
        <v>6000</v>
      </c>
      <c r="AH30" s="2">
        <v>60000</v>
      </c>
      <c r="AI30" s="2" t="s">
        <v>3309</v>
      </c>
      <c r="AJ30" s="2" t="s">
        <v>60</v>
      </c>
      <c r="AK30" s="2" t="s">
        <v>60</v>
      </c>
      <c r="AM30" s="2" t="s">
        <v>2855</v>
      </c>
      <c r="AN30" s="7" t="s">
        <v>60</v>
      </c>
      <c r="AO30" s="2">
        <v>8</v>
      </c>
      <c r="AP30" s="4" t="s">
        <v>186</v>
      </c>
      <c r="AQ30" s="4">
        <v>0</v>
      </c>
      <c r="AR30" s="4">
        <v>0</v>
      </c>
      <c r="AS30" s="4">
        <v>100</v>
      </c>
      <c r="AT30" s="4">
        <v>90</v>
      </c>
      <c r="AU30" s="4">
        <v>100</v>
      </c>
      <c r="AV30" s="4">
        <v>100</v>
      </c>
      <c r="AW30" s="2" t="s">
        <v>3248</v>
      </c>
      <c r="AX30" s="2" t="s">
        <v>120</v>
      </c>
      <c r="AY30" s="2" t="s">
        <v>128</v>
      </c>
      <c r="AZ30" s="2" t="s">
        <v>3225</v>
      </c>
      <c r="BA30" s="2" t="s">
        <v>24</v>
      </c>
      <c r="BB30" s="4" t="s">
        <v>156</v>
      </c>
      <c r="BC30" s="2" t="s">
        <v>189</v>
      </c>
      <c r="BD30" s="4" t="s">
        <v>2916</v>
      </c>
      <c r="BE30" s="4" t="s">
        <v>204</v>
      </c>
      <c r="BF30" s="4" t="s">
        <v>188</v>
      </c>
      <c r="BG30" s="2" t="s">
        <v>25</v>
      </c>
      <c r="BH30" s="4" t="s">
        <v>199</v>
      </c>
      <c r="BI30" s="2" t="s">
        <v>60</v>
      </c>
      <c r="BK30" s="2" t="s">
        <v>60</v>
      </c>
      <c r="BM30" s="2" t="s">
        <v>213</v>
      </c>
    </row>
    <row r="31" spans="2:65" x14ac:dyDescent="0.15">
      <c r="B31" s="2" t="s">
        <v>204</v>
      </c>
      <c r="C31" s="2" t="s">
        <v>188</v>
      </c>
      <c r="D31" s="4" t="s">
        <v>876</v>
      </c>
      <c r="E31" s="4" t="str">
        <f>VLOOKUP(D31,personSet!$B$5:$C$836,2,0)</f>
        <v>孙坚</v>
      </c>
      <c r="F31" s="4">
        <v>1</v>
      </c>
      <c r="G31" s="2" t="s">
        <v>2847</v>
      </c>
      <c r="H31" s="2" t="s">
        <v>31</v>
      </c>
      <c r="I31" s="4" t="str">
        <f>VLOOKUP(H31,forceSet!$B$5:$D$46,3,0)</f>
        <v>孙坚</v>
      </c>
      <c r="J31" s="4" t="s">
        <v>31</v>
      </c>
      <c r="K31" s="4" t="str">
        <f>VLOOKUP(J31,corpsSet!$B$5:$C$46,2,0)</f>
        <v>孙坚</v>
      </c>
      <c r="L31" s="4">
        <v>1</v>
      </c>
      <c r="M31" s="4">
        <v>100000</v>
      </c>
      <c r="N31" s="4">
        <v>500000</v>
      </c>
      <c r="O31" s="4">
        <v>20000</v>
      </c>
      <c r="P31" s="4">
        <v>200000</v>
      </c>
      <c r="Q31" s="4">
        <v>12</v>
      </c>
      <c r="R31" s="4">
        <v>10</v>
      </c>
      <c r="S31" s="4">
        <v>3</v>
      </c>
      <c r="T31" s="4">
        <v>500</v>
      </c>
      <c r="U31" s="4">
        <v>5600</v>
      </c>
      <c r="V31" s="4">
        <v>3000</v>
      </c>
      <c r="W31" s="4">
        <v>200</v>
      </c>
      <c r="X31" s="4">
        <v>200</v>
      </c>
      <c r="Y31" s="4">
        <v>154</v>
      </c>
      <c r="Z31" s="2">
        <v>161</v>
      </c>
      <c r="AA31" s="2" t="s">
        <v>60</v>
      </c>
      <c r="AB31" s="2" t="s">
        <v>60</v>
      </c>
      <c r="AC31" s="2">
        <v>20000</v>
      </c>
      <c r="AD31" s="2" t="s">
        <v>60</v>
      </c>
      <c r="AE31" s="4" t="s">
        <v>2897</v>
      </c>
      <c r="AF31" s="4">
        <v>30000</v>
      </c>
      <c r="AG31" s="2">
        <v>5600</v>
      </c>
      <c r="AH31" s="2">
        <v>56000</v>
      </c>
      <c r="AI31" s="2" t="s">
        <v>3309</v>
      </c>
      <c r="AJ31" s="2" t="s">
        <v>60</v>
      </c>
      <c r="AK31" s="2" t="s">
        <v>60</v>
      </c>
      <c r="AM31" s="2" t="s">
        <v>2855</v>
      </c>
      <c r="AN31" s="7" t="s">
        <v>60</v>
      </c>
      <c r="AO31" s="2">
        <v>8</v>
      </c>
      <c r="AP31" s="4" t="s">
        <v>186</v>
      </c>
      <c r="AQ31" s="4">
        <v>0</v>
      </c>
      <c r="AR31" s="4">
        <v>0</v>
      </c>
      <c r="AS31" s="4">
        <v>100</v>
      </c>
      <c r="AT31" s="4">
        <v>90</v>
      </c>
      <c r="AU31" s="4">
        <v>100</v>
      </c>
      <c r="AV31" s="4">
        <v>100</v>
      </c>
      <c r="AW31" s="2" t="s">
        <v>3248</v>
      </c>
      <c r="AX31" s="2" t="s">
        <v>120</v>
      </c>
      <c r="AY31" s="2" t="s">
        <v>128</v>
      </c>
      <c r="AZ31" s="2" t="s">
        <v>3226</v>
      </c>
      <c r="BA31" s="2" t="s">
        <v>189</v>
      </c>
      <c r="BB31" s="4" t="s">
        <v>2916</v>
      </c>
      <c r="BC31" s="2" t="s">
        <v>200</v>
      </c>
      <c r="BD31" s="4" t="s">
        <v>162</v>
      </c>
      <c r="BE31" s="4" t="s">
        <v>25</v>
      </c>
      <c r="BF31" s="4" t="s">
        <v>199</v>
      </c>
      <c r="BG31" s="2" t="s">
        <v>213</v>
      </c>
      <c r="BH31" s="4" t="s">
        <v>202</v>
      </c>
      <c r="BI31" s="2" t="s">
        <v>5</v>
      </c>
      <c r="BJ31" s="2" t="s">
        <v>203</v>
      </c>
      <c r="BK31" s="2" t="s">
        <v>60</v>
      </c>
      <c r="BM31" s="2" t="s">
        <v>213</v>
      </c>
    </row>
    <row r="32" spans="2:65" x14ac:dyDescent="0.15">
      <c r="B32" s="2" t="s">
        <v>25</v>
      </c>
      <c r="C32" s="2" t="s">
        <v>199</v>
      </c>
      <c r="D32" s="2">
        <v>0</v>
      </c>
      <c r="E32" s="4" t="e">
        <f>VLOOKUP(D32,personSet!$B$5:$C$836,2,0)</f>
        <v>#N/A</v>
      </c>
      <c r="F32" s="4">
        <v>1</v>
      </c>
      <c r="G32" s="2" t="s">
        <v>2847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>
        <v>1</v>
      </c>
      <c r="M32" s="4">
        <v>100000</v>
      </c>
      <c r="N32" s="4">
        <v>500000</v>
      </c>
      <c r="O32" s="4">
        <v>20000</v>
      </c>
      <c r="P32" s="4">
        <v>200000</v>
      </c>
      <c r="Q32" s="4">
        <v>12</v>
      </c>
      <c r="R32" s="4">
        <v>10</v>
      </c>
      <c r="S32" s="4">
        <v>3</v>
      </c>
      <c r="T32" s="4">
        <v>500</v>
      </c>
      <c r="U32" s="4">
        <v>5600</v>
      </c>
      <c r="V32" s="4">
        <v>3000</v>
      </c>
      <c r="W32" s="4">
        <v>200</v>
      </c>
      <c r="X32" s="4">
        <v>200</v>
      </c>
      <c r="Y32" s="4">
        <v>143</v>
      </c>
      <c r="Z32" s="2">
        <v>149</v>
      </c>
      <c r="AA32" s="2" t="s">
        <v>60</v>
      </c>
      <c r="AB32" s="2" t="s">
        <v>60</v>
      </c>
      <c r="AC32" s="2">
        <v>0</v>
      </c>
      <c r="AD32" s="2" t="s">
        <v>60</v>
      </c>
      <c r="AE32" s="4" t="s">
        <v>2898</v>
      </c>
      <c r="AF32" s="4">
        <v>30000</v>
      </c>
      <c r="AG32" s="2">
        <v>0</v>
      </c>
      <c r="AH32" s="2">
        <v>0</v>
      </c>
      <c r="AI32" s="2" t="s">
        <v>3309</v>
      </c>
      <c r="AJ32" s="2" t="s">
        <v>60</v>
      </c>
      <c r="AK32" s="2" t="s">
        <v>60</v>
      </c>
      <c r="AM32" s="2" t="s">
        <v>2855</v>
      </c>
      <c r="AN32" s="7" t="s">
        <v>60</v>
      </c>
      <c r="AO32" s="2">
        <v>9</v>
      </c>
      <c r="AP32" s="4" t="s">
        <v>205</v>
      </c>
      <c r="AQ32" s="4">
        <v>0</v>
      </c>
      <c r="AR32" s="4">
        <v>0</v>
      </c>
      <c r="AS32" s="4">
        <v>100</v>
      </c>
      <c r="AT32" s="4">
        <v>90</v>
      </c>
      <c r="AU32" s="4">
        <v>100</v>
      </c>
      <c r="AV32" s="4">
        <v>100</v>
      </c>
      <c r="AW32" s="2" t="s">
        <v>3248</v>
      </c>
      <c r="AX32" s="2" t="s">
        <v>127</v>
      </c>
      <c r="AY32" s="2" t="s">
        <v>121</v>
      </c>
      <c r="AZ32" s="2" t="s">
        <v>3227</v>
      </c>
      <c r="BA32" s="2" t="s">
        <v>200</v>
      </c>
      <c r="BB32" s="4" t="s">
        <v>162</v>
      </c>
      <c r="BC32" s="2" t="s">
        <v>204</v>
      </c>
      <c r="BD32" s="4" t="s">
        <v>188</v>
      </c>
      <c r="BE32" s="4" t="s">
        <v>119</v>
      </c>
      <c r="BF32" s="4" t="s">
        <v>206</v>
      </c>
      <c r="BG32" s="2" t="s">
        <v>213</v>
      </c>
      <c r="BH32" s="4" t="s">
        <v>202</v>
      </c>
      <c r="BI32" s="2" t="s">
        <v>5</v>
      </c>
      <c r="BJ32" s="2" t="s">
        <v>203</v>
      </c>
      <c r="BK32" s="2" t="s">
        <v>60</v>
      </c>
      <c r="BM32" s="2" t="s">
        <v>213</v>
      </c>
    </row>
    <row r="33" spans="2:65" x14ac:dyDescent="0.15">
      <c r="B33" s="2" t="s">
        <v>208</v>
      </c>
      <c r="C33" s="2" t="s">
        <v>170</v>
      </c>
      <c r="D33" s="2">
        <v>0</v>
      </c>
      <c r="E33" s="4" t="e">
        <f>VLOOKUP(D33,personSet!$B$5:$C$836,2,0)</f>
        <v>#N/A</v>
      </c>
      <c r="F33" s="4">
        <v>1</v>
      </c>
      <c r="G33" s="2" t="s">
        <v>2847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>
        <v>1</v>
      </c>
      <c r="M33" s="4">
        <v>100000</v>
      </c>
      <c r="N33" s="4">
        <v>500000</v>
      </c>
      <c r="O33" s="4">
        <v>20000</v>
      </c>
      <c r="P33" s="4">
        <v>200000</v>
      </c>
      <c r="Q33" s="4">
        <v>12</v>
      </c>
      <c r="R33" s="4">
        <v>10</v>
      </c>
      <c r="S33" s="4">
        <v>3</v>
      </c>
      <c r="T33" s="4">
        <v>500</v>
      </c>
      <c r="U33" s="4">
        <v>5600</v>
      </c>
      <c r="V33" s="4">
        <v>3000</v>
      </c>
      <c r="W33" s="4">
        <v>200</v>
      </c>
      <c r="X33" s="4">
        <v>200</v>
      </c>
      <c r="Y33" s="4">
        <v>115</v>
      </c>
      <c r="Z33" s="2">
        <v>137</v>
      </c>
      <c r="AA33" s="2" t="s">
        <v>60</v>
      </c>
      <c r="AB33" s="2" t="s">
        <v>60</v>
      </c>
      <c r="AC33" s="2">
        <v>0</v>
      </c>
      <c r="AD33" s="2" t="s">
        <v>60</v>
      </c>
      <c r="AE33" s="4" t="s">
        <v>2899</v>
      </c>
      <c r="AF33" s="4">
        <v>30000</v>
      </c>
      <c r="AG33" s="2">
        <v>0</v>
      </c>
      <c r="AH33" s="2">
        <v>0</v>
      </c>
      <c r="AI33" s="2" t="s">
        <v>3309</v>
      </c>
      <c r="AJ33" s="2" t="s">
        <v>60</v>
      </c>
      <c r="AK33" s="2" t="s">
        <v>60</v>
      </c>
      <c r="AM33" s="2" t="s">
        <v>2855</v>
      </c>
      <c r="AN33" s="7" t="s">
        <v>60</v>
      </c>
      <c r="AO33" s="2">
        <v>9</v>
      </c>
      <c r="AP33" s="4" t="s">
        <v>205</v>
      </c>
      <c r="AQ33" s="4">
        <v>0</v>
      </c>
      <c r="AR33" s="4">
        <v>0</v>
      </c>
      <c r="AS33" s="4">
        <v>100</v>
      </c>
      <c r="AT33" s="4">
        <v>90</v>
      </c>
      <c r="AU33" s="4">
        <v>100</v>
      </c>
      <c r="AV33" s="4">
        <v>100</v>
      </c>
      <c r="AW33" s="2" t="s">
        <v>3248</v>
      </c>
      <c r="AX33" s="2" t="s">
        <v>120</v>
      </c>
      <c r="AY33" s="2" t="s">
        <v>128</v>
      </c>
      <c r="AZ33" s="2" t="s">
        <v>3228</v>
      </c>
      <c r="BA33" s="2" t="s">
        <v>8</v>
      </c>
      <c r="BB33" s="4" t="s">
        <v>161</v>
      </c>
      <c r="BC33" s="2" t="s">
        <v>103</v>
      </c>
      <c r="BD33" s="4" t="s">
        <v>167</v>
      </c>
      <c r="BE33" s="4" t="s">
        <v>105</v>
      </c>
      <c r="BF33" s="4" t="s">
        <v>178</v>
      </c>
      <c r="BG33" s="2" t="s">
        <v>119</v>
      </c>
      <c r="BH33" s="4" t="s">
        <v>206</v>
      </c>
      <c r="BI33" s="2" t="s">
        <v>60</v>
      </c>
      <c r="BK33" s="2" t="s">
        <v>60</v>
      </c>
      <c r="BM33" s="2" t="s">
        <v>213</v>
      </c>
    </row>
    <row r="34" spans="2:65" x14ac:dyDescent="0.15">
      <c r="B34" s="2" t="s">
        <v>119</v>
      </c>
      <c r="C34" s="2" t="s">
        <v>206</v>
      </c>
      <c r="D34" s="4" t="s">
        <v>2269</v>
      </c>
      <c r="E34" s="4" t="str">
        <f>VLOOKUP(D34,personSet!$B$5:$C$836,2,0)</f>
        <v>刘表</v>
      </c>
      <c r="F34" s="4">
        <v>1</v>
      </c>
      <c r="G34" s="2" t="s">
        <v>2847</v>
      </c>
      <c r="H34" s="2" t="s">
        <v>34</v>
      </c>
      <c r="I34" s="4" t="str">
        <f>VLOOKUP(H34,forceSet!$B$5:$D$46,3,0)</f>
        <v>刘表</v>
      </c>
      <c r="J34" s="4" t="s">
        <v>34</v>
      </c>
      <c r="K34" s="4" t="str">
        <f>VLOOKUP(J34,corpsSet!$B$5:$C$46,2,0)</f>
        <v>刘表</v>
      </c>
      <c r="L34" s="4">
        <v>2</v>
      </c>
      <c r="M34" s="4">
        <v>100000</v>
      </c>
      <c r="N34" s="4">
        <v>500000</v>
      </c>
      <c r="O34" s="4">
        <v>20000</v>
      </c>
      <c r="P34" s="4">
        <v>200000</v>
      </c>
      <c r="Q34" s="4">
        <v>12</v>
      </c>
      <c r="R34" s="4">
        <v>10</v>
      </c>
      <c r="S34" s="4">
        <v>3</v>
      </c>
      <c r="T34" s="4">
        <v>500</v>
      </c>
      <c r="U34" s="4">
        <v>5600</v>
      </c>
      <c r="V34" s="4">
        <v>3000</v>
      </c>
      <c r="W34" s="4">
        <v>200</v>
      </c>
      <c r="X34" s="4">
        <v>200</v>
      </c>
      <c r="Y34" s="4">
        <v>105</v>
      </c>
      <c r="Z34" s="2">
        <v>145</v>
      </c>
      <c r="AA34" s="2" t="s">
        <v>60</v>
      </c>
      <c r="AB34" s="2" t="s">
        <v>60</v>
      </c>
      <c r="AC34" s="2">
        <v>24000</v>
      </c>
      <c r="AD34" s="2" t="s">
        <v>60</v>
      </c>
      <c r="AE34" s="4" t="s">
        <v>2900</v>
      </c>
      <c r="AF34" s="4">
        <v>30000</v>
      </c>
      <c r="AG34" s="2">
        <v>5200</v>
      </c>
      <c r="AH34" s="2">
        <v>52000</v>
      </c>
      <c r="AI34" s="2" t="s">
        <v>3309</v>
      </c>
      <c r="AJ34" s="2" t="s">
        <v>60</v>
      </c>
      <c r="AK34" s="2" t="s">
        <v>60</v>
      </c>
      <c r="AM34" s="2" t="s">
        <v>2855</v>
      </c>
      <c r="AN34" s="7" t="s">
        <v>60</v>
      </c>
      <c r="AO34" s="2">
        <v>9</v>
      </c>
      <c r="AP34" s="4" t="s">
        <v>205</v>
      </c>
      <c r="AQ34" s="4">
        <v>0</v>
      </c>
      <c r="AR34" s="4">
        <v>0</v>
      </c>
      <c r="AS34" s="4">
        <v>100</v>
      </c>
      <c r="AT34" s="4">
        <v>90</v>
      </c>
      <c r="AU34" s="4">
        <v>100</v>
      </c>
      <c r="AV34" s="4">
        <v>100</v>
      </c>
      <c r="AW34" s="2" t="s">
        <v>3248</v>
      </c>
      <c r="AX34" s="2" t="s">
        <v>145</v>
      </c>
      <c r="AY34" s="2" t="s">
        <v>146</v>
      </c>
      <c r="AZ34" s="2" t="s">
        <v>3229</v>
      </c>
      <c r="BA34" s="2" t="s">
        <v>25</v>
      </c>
      <c r="BB34" s="4" t="s">
        <v>199</v>
      </c>
      <c r="BC34" s="2" t="s">
        <v>208</v>
      </c>
      <c r="BD34" s="4" t="s">
        <v>170</v>
      </c>
      <c r="BE34" s="4" t="s">
        <v>213</v>
      </c>
      <c r="BF34" s="4" t="s">
        <v>202</v>
      </c>
      <c r="BG34" s="2" t="s">
        <v>60</v>
      </c>
      <c r="BH34" s="4"/>
      <c r="BI34" s="2" t="s">
        <v>60</v>
      </c>
      <c r="BK34" s="2" t="s">
        <v>60</v>
      </c>
      <c r="BM34" s="2" t="s">
        <v>213</v>
      </c>
    </row>
    <row r="35" spans="2:65" x14ac:dyDescent="0.15">
      <c r="B35" s="2" t="s">
        <v>213</v>
      </c>
      <c r="C35" s="2" t="s">
        <v>202</v>
      </c>
      <c r="D35" s="4" t="s">
        <v>999</v>
      </c>
      <c r="E35" s="4" t="str">
        <f>VLOOKUP(D35,personSet!$B$5:$C$836,2,0)</f>
        <v>刘备</v>
      </c>
      <c r="F35" s="4">
        <v>1</v>
      </c>
      <c r="G35" s="2" t="s">
        <v>2847</v>
      </c>
      <c r="H35" s="2" t="s">
        <v>35</v>
      </c>
      <c r="I35" s="4" t="str">
        <f>VLOOKUP(H35,forceSet!$B$5:$D$46,3,0)</f>
        <v>刘备</v>
      </c>
      <c r="J35" s="4" t="s">
        <v>35</v>
      </c>
      <c r="K35" s="4" t="str">
        <f>VLOOKUP(J35,corpsSet!$B$5:$C$46,2,0)</f>
        <v>刘备</v>
      </c>
      <c r="L35" s="4">
        <v>1</v>
      </c>
      <c r="M35" s="4">
        <v>100000</v>
      </c>
      <c r="N35" s="4">
        <v>500000</v>
      </c>
      <c r="O35" s="4">
        <v>20000</v>
      </c>
      <c r="P35" s="4">
        <v>200000</v>
      </c>
      <c r="Q35" s="4">
        <v>12</v>
      </c>
      <c r="R35" s="4">
        <v>10</v>
      </c>
      <c r="S35" s="4">
        <v>3</v>
      </c>
      <c r="T35" s="4">
        <v>500</v>
      </c>
      <c r="U35" s="4">
        <v>5600</v>
      </c>
      <c r="V35" s="4">
        <v>3000</v>
      </c>
      <c r="W35" s="4">
        <v>200</v>
      </c>
      <c r="X35" s="4">
        <v>200</v>
      </c>
      <c r="Y35" s="4">
        <v>110</v>
      </c>
      <c r="Z35" s="2">
        <v>165</v>
      </c>
      <c r="AA35" s="2" t="s">
        <v>60</v>
      </c>
      <c r="AB35" s="2" t="s">
        <v>60</v>
      </c>
      <c r="AC35" s="2">
        <v>20000</v>
      </c>
      <c r="AD35" s="2" t="s">
        <v>60</v>
      </c>
      <c r="AE35" s="4" t="s">
        <v>2901</v>
      </c>
      <c r="AF35" s="4">
        <v>30000</v>
      </c>
      <c r="AG35" s="2">
        <v>5600</v>
      </c>
      <c r="AH35" s="2">
        <v>56000</v>
      </c>
      <c r="AI35" s="2" t="s">
        <v>3309</v>
      </c>
      <c r="AJ35" s="2" t="s">
        <v>60</v>
      </c>
      <c r="AK35" s="2" t="s">
        <v>60</v>
      </c>
      <c r="AM35" s="2" t="s">
        <v>2855</v>
      </c>
      <c r="AN35" s="7" t="s">
        <v>60</v>
      </c>
      <c r="AO35" s="2">
        <v>9</v>
      </c>
      <c r="AP35" s="4" t="s">
        <v>205</v>
      </c>
      <c r="AQ35" s="4">
        <v>0</v>
      </c>
      <c r="AR35" s="4">
        <v>0</v>
      </c>
      <c r="AS35" s="4">
        <v>100</v>
      </c>
      <c r="AT35" s="4">
        <v>90</v>
      </c>
      <c r="AU35" s="4">
        <v>100</v>
      </c>
      <c r="AV35" s="4">
        <v>100</v>
      </c>
      <c r="AW35" s="2" t="s">
        <v>3248</v>
      </c>
      <c r="AX35" s="2" t="s">
        <v>127</v>
      </c>
      <c r="AY35" s="2" t="s">
        <v>146</v>
      </c>
      <c r="AZ35" s="2" t="s">
        <v>3230</v>
      </c>
      <c r="BA35" s="2" t="s">
        <v>204</v>
      </c>
      <c r="BB35" s="4" t="s">
        <v>188</v>
      </c>
      <c r="BC35" s="2" t="s">
        <v>25</v>
      </c>
      <c r="BD35" s="4" t="s">
        <v>199</v>
      </c>
      <c r="BE35" s="4" t="s">
        <v>119</v>
      </c>
      <c r="BF35" s="4" t="s">
        <v>206</v>
      </c>
      <c r="BG35" s="2" t="s">
        <v>5</v>
      </c>
      <c r="BH35" s="4" t="s">
        <v>203</v>
      </c>
      <c r="BI35" s="2" t="s">
        <v>95</v>
      </c>
      <c r="BJ35" s="2" t="s">
        <v>211</v>
      </c>
      <c r="BK35" s="2" t="s">
        <v>15</v>
      </c>
      <c r="BL35" s="2" t="s">
        <v>212</v>
      </c>
      <c r="BM35" s="2" t="s">
        <v>213</v>
      </c>
    </row>
    <row r="36" spans="2:65" x14ac:dyDescent="0.15">
      <c r="B36" s="2" t="s">
        <v>5</v>
      </c>
      <c r="C36" s="2" t="s">
        <v>203</v>
      </c>
      <c r="D36" s="4" t="s">
        <v>384</v>
      </c>
      <c r="E36" s="4" t="str">
        <f>VLOOKUP(D36,personSet!$B$5:$C$836,2,0)</f>
        <v>韩玄</v>
      </c>
      <c r="F36" s="4">
        <v>1</v>
      </c>
      <c r="G36" s="2" t="s">
        <v>2847</v>
      </c>
      <c r="H36" s="2" t="s">
        <v>3260</v>
      </c>
      <c r="I36" s="4" t="str">
        <f>VLOOKUP(H36,forceSet!$B$5:$D$46,3,0)</f>
        <v>韩玄</v>
      </c>
      <c r="J36" s="2" t="s">
        <v>3260</v>
      </c>
      <c r="K36" s="4" t="str">
        <f>VLOOKUP(J36,corpsSet!$B$5:$C$46,2,0)</f>
        <v>韩玄</v>
      </c>
      <c r="L36" s="4">
        <v>1</v>
      </c>
      <c r="M36" s="4">
        <v>100000</v>
      </c>
      <c r="N36" s="4">
        <v>500000</v>
      </c>
      <c r="O36" s="4">
        <v>20000</v>
      </c>
      <c r="P36" s="4">
        <v>200000</v>
      </c>
      <c r="Q36" s="4">
        <v>12</v>
      </c>
      <c r="R36" s="4">
        <v>10</v>
      </c>
      <c r="S36" s="4">
        <v>3</v>
      </c>
      <c r="T36" s="4">
        <v>500</v>
      </c>
      <c r="U36" s="4">
        <v>5600</v>
      </c>
      <c r="V36" s="4">
        <v>3000</v>
      </c>
      <c r="W36" s="4">
        <v>200</v>
      </c>
      <c r="X36" s="4">
        <v>200</v>
      </c>
      <c r="Y36" s="4">
        <v>136</v>
      </c>
      <c r="Z36" s="2">
        <v>192</v>
      </c>
      <c r="AA36" s="2" t="s">
        <v>60</v>
      </c>
      <c r="AB36" s="2" t="s">
        <v>60</v>
      </c>
      <c r="AC36" s="2">
        <v>22000</v>
      </c>
      <c r="AD36" s="2" t="s">
        <v>60</v>
      </c>
      <c r="AE36" s="4" t="s">
        <v>2902</v>
      </c>
      <c r="AF36" s="4">
        <v>30000</v>
      </c>
      <c r="AG36" s="2">
        <v>4800</v>
      </c>
      <c r="AH36" s="2">
        <v>48000</v>
      </c>
      <c r="AI36" s="2" t="s">
        <v>3309</v>
      </c>
      <c r="AJ36" s="2" t="s">
        <v>60</v>
      </c>
      <c r="AK36" s="2" t="s">
        <v>60</v>
      </c>
      <c r="AM36" s="2" t="s">
        <v>2855</v>
      </c>
      <c r="AN36" s="7" t="s">
        <v>60</v>
      </c>
      <c r="AO36" s="2">
        <v>10</v>
      </c>
      <c r="AP36" s="4" t="s">
        <v>216</v>
      </c>
      <c r="AQ36" s="4">
        <v>0</v>
      </c>
      <c r="AR36" s="4">
        <v>0</v>
      </c>
      <c r="AS36" s="4">
        <v>100</v>
      </c>
      <c r="AT36" s="4">
        <v>90</v>
      </c>
      <c r="AU36" s="4">
        <v>100</v>
      </c>
      <c r="AV36" s="4">
        <v>100</v>
      </c>
      <c r="AW36" s="2" t="s">
        <v>3248</v>
      </c>
      <c r="AX36" s="2" t="s">
        <v>127</v>
      </c>
      <c r="AY36" s="2" t="s">
        <v>143</v>
      </c>
      <c r="AZ36" s="2" t="s">
        <v>3231</v>
      </c>
      <c r="BA36" s="2" t="s">
        <v>204</v>
      </c>
      <c r="BB36" s="4" t="s">
        <v>188</v>
      </c>
      <c r="BC36" s="2" t="s">
        <v>25</v>
      </c>
      <c r="BD36" s="4" t="s">
        <v>199</v>
      </c>
      <c r="BE36" s="4" t="s">
        <v>213</v>
      </c>
      <c r="BF36" s="4" t="s">
        <v>202</v>
      </c>
      <c r="BG36" s="2" t="s">
        <v>95</v>
      </c>
      <c r="BH36" s="4" t="s">
        <v>211</v>
      </c>
      <c r="BI36" s="2" t="s">
        <v>219</v>
      </c>
      <c r="BJ36" s="2" t="s">
        <v>217</v>
      </c>
      <c r="BK36" s="2" t="s">
        <v>60</v>
      </c>
      <c r="BM36" s="2" t="s">
        <v>213</v>
      </c>
    </row>
    <row r="37" spans="2:65" x14ac:dyDescent="0.15">
      <c r="B37" s="2" t="s">
        <v>95</v>
      </c>
      <c r="C37" s="2" t="s">
        <v>211</v>
      </c>
      <c r="D37" s="4" t="s">
        <v>466</v>
      </c>
      <c r="E37" s="4" t="str">
        <f>VLOOKUP(D37,personSet!$B$5:$C$836,2,0)</f>
        <v>金旋</v>
      </c>
      <c r="F37" s="4">
        <v>1</v>
      </c>
      <c r="G37" s="2" t="s">
        <v>2847</v>
      </c>
      <c r="H37" s="2" t="s">
        <v>3300</v>
      </c>
      <c r="I37" s="4" t="str">
        <f>VLOOKUP(H37,forceSet!$B$5:$D$46,3,0)</f>
        <v>金旋</v>
      </c>
      <c r="J37" s="2" t="s">
        <v>3300</v>
      </c>
      <c r="K37" s="4" t="str">
        <f>VLOOKUP(J37,corpsSet!$B$5:$C$46,2,0)</f>
        <v>金旋</v>
      </c>
      <c r="L37" s="4">
        <v>1</v>
      </c>
      <c r="M37" s="4">
        <v>100000</v>
      </c>
      <c r="N37" s="4">
        <v>500000</v>
      </c>
      <c r="O37" s="4">
        <v>20000</v>
      </c>
      <c r="P37" s="4">
        <v>200000</v>
      </c>
      <c r="Q37" s="4">
        <v>12</v>
      </c>
      <c r="R37" s="4">
        <v>10</v>
      </c>
      <c r="S37" s="4">
        <v>3</v>
      </c>
      <c r="T37" s="4">
        <v>500</v>
      </c>
      <c r="U37" s="4">
        <v>5600</v>
      </c>
      <c r="V37" s="4">
        <v>3000</v>
      </c>
      <c r="W37" s="4">
        <v>200</v>
      </c>
      <c r="X37" s="4">
        <v>200</v>
      </c>
      <c r="Y37" s="4">
        <v>97</v>
      </c>
      <c r="Z37" s="2">
        <v>183</v>
      </c>
      <c r="AA37" s="2" t="s">
        <v>60</v>
      </c>
      <c r="AB37" s="2" t="s">
        <v>60</v>
      </c>
      <c r="AC37" s="2">
        <v>20000</v>
      </c>
      <c r="AD37" s="2" t="s">
        <v>60</v>
      </c>
      <c r="AE37" s="4" t="s">
        <v>2903</v>
      </c>
      <c r="AF37" s="4">
        <v>30000</v>
      </c>
      <c r="AG37" s="2">
        <v>4800</v>
      </c>
      <c r="AH37" s="2">
        <v>48000</v>
      </c>
      <c r="AI37" s="2" t="s">
        <v>3309</v>
      </c>
      <c r="AJ37" s="2" t="s">
        <v>60</v>
      </c>
      <c r="AK37" s="2" t="s">
        <v>60</v>
      </c>
      <c r="AM37" s="2" t="s">
        <v>2855</v>
      </c>
      <c r="AN37" s="7" t="s">
        <v>60</v>
      </c>
      <c r="AO37" s="2">
        <v>10</v>
      </c>
      <c r="AP37" s="4" t="s">
        <v>216</v>
      </c>
      <c r="AQ37" s="4">
        <v>0</v>
      </c>
      <c r="AR37" s="4">
        <v>0</v>
      </c>
      <c r="AS37" s="4">
        <v>100</v>
      </c>
      <c r="AT37" s="4">
        <v>90</v>
      </c>
      <c r="AU37" s="4">
        <v>100</v>
      </c>
      <c r="AV37" s="4">
        <v>100</v>
      </c>
      <c r="AW37" s="2" t="s">
        <v>3248</v>
      </c>
      <c r="AX37" s="2" t="s">
        <v>120</v>
      </c>
      <c r="AY37" s="2" t="s">
        <v>121</v>
      </c>
      <c r="AZ37" s="2" t="s">
        <v>3232</v>
      </c>
      <c r="BA37" s="2" t="s">
        <v>213</v>
      </c>
      <c r="BB37" s="4" t="s">
        <v>202</v>
      </c>
      <c r="BC37" s="2" t="s">
        <v>5</v>
      </c>
      <c r="BD37" s="4" t="s">
        <v>203</v>
      </c>
      <c r="BE37" s="4" t="s">
        <v>220</v>
      </c>
      <c r="BF37" s="4" t="s">
        <v>218</v>
      </c>
      <c r="BG37" s="2" t="s">
        <v>15</v>
      </c>
      <c r="BH37" s="4" t="s">
        <v>212</v>
      </c>
      <c r="BI37" s="2" t="s">
        <v>60</v>
      </c>
      <c r="BK37" s="2" t="s">
        <v>60</v>
      </c>
      <c r="BM37" s="2" t="s">
        <v>213</v>
      </c>
    </row>
    <row r="38" spans="2:65" x14ac:dyDescent="0.15">
      <c r="B38" s="2" t="s">
        <v>219</v>
      </c>
      <c r="C38" s="2" t="s">
        <v>217</v>
      </c>
      <c r="D38" s="4" t="s">
        <v>1603</v>
      </c>
      <c r="E38" s="4" t="str">
        <f>VLOOKUP(D38,personSet!$B$5:$C$836,2,0)</f>
        <v>赵范</v>
      </c>
      <c r="F38" s="4">
        <v>1</v>
      </c>
      <c r="G38" s="2" t="s">
        <v>2847</v>
      </c>
      <c r="H38" s="2" t="s">
        <v>3301</v>
      </c>
      <c r="I38" s="4" t="str">
        <f>VLOOKUP(H38,forceSet!$B$5:$D$46,3,0)</f>
        <v>赵范</v>
      </c>
      <c r="J38" s="2" t="s">
        <v>3301</v>
      </c>
      <c r="K38" s="4" t="str">
        <f>VLOOKUP(J38,corpsSet!$B$5:$C$46,2,0)</f>
        <v>赵范</v>
      </c>
      <c r="L38" s="4">
        <v>1</v>
      </c>
      <c r="M38" s="4">
        <v>100000</v>
      </c>
      <c r="N38" s="4">
        <v>500000</v>
      </c>
      <c r="O38" s="4">
        <v>20000</v>
      </c>
      <c r="P38" s="4">
        <v>200000</v>
      </c>
      <c r="Q38" s="4">
        <v>12</v>
      </c>
      <c r="R38" s="4">
        <v>10</v>
      </c>
      <c r="S38" s="4">
        <v>3</v>
      </c>
      <c r="T38" s="4">
        <v>500</v>
      </c>
      <c r="U38" s="4">
        <v>5600</v>
      </c>
      <c r="V38" s="4">
        <v>3000</v>
      </c>
      <c r="W38" s="4">
        <v>200</v>
      </c>
      <c r="X38" s="4">
        <v>200</v>
      </c>
      <c r="Y38" s="4">
        <v>127</v>
      </c>
      <c r="Z38" s="2">
        <v>216</v>
      </c>
      <c r="AA38" s="2" t="s">
        <v>60</v>
      </c>
      <c r="AB38" s="2" t="s">
        <v>60</v>
      </c>
      <c r="AC38" s="2">
        <v>24000</v>
      </c>
      <c r="AD38" s="2" t="s">
        <v>60</v>
      </c>
      <c r="AE38" s="4" t="s">
        <v>2904</v>
      </c>
      <c r="AF38" s="4">
        <v>30000</v>
      </c>
      <c r="AG38" s="2">
        <v>4800</v>
      </c>
      <c r="AH38" s="2">
        <v>48000</v>
      </c>
      <c r="AI38" s="2" t="s">
        <v>3309</v>
      </c>
      <c r="AJ38" s="2" t="s">
        <v>60</v>
      </c>
      <c r="AK38" s="2" t="s">
        <v>60</v>
      </c>
      <c r="AM38" s="2" t="s">
        <v>2855</v>
      </c>
      <c r="AN38" s="7" t="s">
        <v>60</v>
      </c>
      <c r="AO38" s="2">
        <v>10</v>
      </c>
      <c r="AP38" s="4" t="s">
        <v>216</v>
      </c>
      <c r="AQ38" s="4">
        <v>0</v>
      </c>
      <c r="AR38" s="4">
        <v>0</v>
      </c>
      <c r="AS38" s="4">
        <v>100</v>
      </c>
      <c r="AT38" s="4">
        <v>90</v>
      </c>
      <c r="AU38" s="4">
        <v>100</v>
      </c>
      <c r="AV38" s="4">
        <v>100</v>
      </c>
      <c r="AW38" s="2" t="s">
        <v>3248</v>
      </c>
      <c r="AX38" s="2" t="s">
        <v>158</v>
      </c>
      <c r="AY38" s="2" t="s">
        <v>128</v>
      </c>
      <c r="AZ38" s="2" t="s">
        <v>3233</v>
      </c>
      <c r="BA38" s="2" t="s">
        <v>5</v>
      </c>
      <c r="BB38" s="4" t="s">
        <v>203</v>
      </c>
      <c r="BC38" s="2" t="s">
        <v>220</v>
      </c>
      <c r="BD38" s="4" t="s">
        <v>218</v>
      </c>
      <c r="BE38" s="4" t="s">
        <v>60</v>
      </c>
      <c r="BF38" s="4"/>
      <c r="BG38" s="2" t="s">
        <v>60</v>
      </c>
      <c r="BH38" s="4"/>
      <c r="BI38" s="2" t="s">
        <v>60</v>
      </c>
      <c r="BK38" s="2" t="s">
        <v>60</v>
      </c>
      <c r="BM38" s="2" t="s">
        <v>213</v>
      </c>
    </row>
    <row r="39" spans="2:65" x14ac:dyDescent="0.15">
      <c r="B39" s="2" t="s">
        <v>220</v>
      </c>
      <c r="C39" s="2" t="s">
        <v>218</v>
      </c>
      <c r="D39" s="4" t="s">
        <v>839</v>
      </c>
      <c r="E39" s="4" t="str">
        <f>VLOOKUP(D39,personSet!$B$5:$C$836,2,0)</f>
        <v>刘度</v>
      </c>
      <c r="F39" s="4">
        <v>1</v>
      </c>
      <c r="G39" s="2" t="s">
        <v>2847</v>
      </c>
      <c r="H39" s="2" t="s">
        <v>3302</v>
      </c>
      <c r="I39" s="4" t="str">
        <f>VLOOKUP(H39,forceSet!$B$5:$D$46,3,0)</f>
        <v>刘度</v>
      </c>
      <c r="J39" s="2" t="s">
        <v>3302</v>
      </c>
      <c r="K39" s="4" t="str">
        <f>VLOOKUP(J39,corpsSet!$B$5:$C$46,2,0)</f>
        <v>刘度</v>
      </c>
      <c r="L39" s="4">
        <v>1</v>
      </c>
      <c r="M39" s="4">
        <v>100000</v>
      </c>
      <c r="N39" s="4">
        <v>500000</v>
      </c>
      <c r="O39" s="4">
        <v>20000</v>
      </c>
      <c r="P39" s="4">
        <v>200000</v>
      </c>
      <c r="Q39" s="4">
        <v>12</v>
      </c>
      <c r="R39" s="4">
        <v>10</v>
      </c>
      <c r="S39" s="4">
        <v>3</v>
      </c>
      <c r="T39" s="4">
        <v>500</v>
      </c>
      <c r="U39" s="4">
        <v>5600</v>
      </c>
      <c r="V39" s="4">
        <v>3000</v>
      </c>
      <c r="W39" s="4">
        <v>200</v>
      </c>
      <c r="X39" s="4">
        <v>200</v>
      </c>
      <c r="Y39" s="4">
        <v>98</v>
      </c>
      <c r="Z39" s="2">
        <v>213</v>
      </c>
      <c r="AA39" s="2" t="s">
        <v>60</v>
      </c>
      <c r="AB39" s="2" t="s">
        <v>60</v>
      </c>
      <c r="AC39" s="2">
        <v>24000</v>
      </c>
      <c r="AD39" s="2" t="s">
        <v>60</v>
      </c>
      <c r="AE39" s="4" t="s">
        <v>2905</v>
      </c>
      <c r="AF39" s="4">
        <v>30000</v>
      </c>
      <c r="AG39" s="2">
        <v>4800</v>
      </c>
      <c r="AH39" s="2">
        <v>48000</v>
      </c>
      <c r="AI39" s="2" t="s">
        <v>3309</v>
      </c>
      <c r="AJ39" s="2" t="s">
        <v>60</v>
      </c>
      <c r="AK39" s="2" t="s">
        <v>60</v>
      </c>
      <c r="AM39" s="2" t="s">
        <v>2855</v>
      </c>
      <c r="AN39" s="7" t="s">
        <v>60</v>
      </c>
      <c r="AO39" s="2">
        <v>10</v>
      </c>
      <c r="AP39" s="4" t="s">
        <v>216</v>
      </c>
      <c r="AQ39" s="4">
        <v>0</v>
      </c>
      <c r="AR39" s="4">
        <v>0</v>
      </c>
      <c r="AS39" s="4">
        <v>100</v>
      </c>
      <c r="AT39" s="4">
        <v>90</v>
      </c>
      <c r="AU39" s="4">
        <v>100</v>
      </c>
      <c r="AV39" s="4">
        <v>100</v>
      </c>
      <c r="AW39" s="2" t="s">
        <v>3248</v>
      </c>
      <c r="AX39" s="2" t="s">
        <v>120</v>
      </c>
      <c r="AY39" s="2" t="s">
        <v>121</v>
      </c>
      <c r="AZ39" s="2" t="s">
        <v>3234</v>
      </c>
      <c r="BA39" s="2" t="s">
        <v>95</v>
      </c>
      <c r="BB39" s="4" t="s">
        <v>211</v>
      </c>
      <c r="BC39" s="2" t="s">
        <v>219</v>
      </c>
      <c r="BD39" s="4" t="s">
        <v>217</v>
      </c>
      <c r="BE39" s="4" t="s">
        <v>60</v>
      </c>
      <c r="BF39" s="4"/>
      <c r="BG39" s="2" t="s">
        <v>60</v>
      </c>
      <c r="BH39" s="4"/>
      <c r="BI39" s="2" t="s">
        <v>60</v>
      </c>
      <c r="BK39" s="2" t="s">
        <v>60</v>
      </c>
      <c r="BM39" s="2" t="s">
        <v>213</v>
      </c>
    </row>
    <row r="40" spans="2:65" x14ac:dyDescent="0.15">
      <c r="B40" s="2" t="s">
        <v>15</v>
      </c>
      <c r="C40" s="2" t="s">
        <v>212</v>
      </c>
      <c r="D40" s="2">
        <v>0</v>
      </c>
      <c r="E40" s="4" t="e">
        <f>VLOOKUP(D40,personSet!$B$5:$C$836,2,0)</f>
        <v>#N/A</v>
      </c>
      <c r="F40" s="4">
        <v>1</v>
      </c>
      <c r="G40" s="2" t="s">
        <v>2847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>
        <v>1</v>
      </c>
      <c r="M40" s="4">
        <v>100000</v>
      </c>
      <c r="N40" s="4">
        <v>500000</v>
      </c>
      <c r="O40" s="4">
        <v>20000</v>
      </c>
      <c r="P40" s="4">
        <v>200000</v>
      </c>
      <c r="Q40" s="4">
        <v>12</v>
      </c>
      <c r="R40" s="4">
        <v>10</v>
      </c>
      <c r="S40" s="4">
        <v>3</v>
      </c>
      <c r="T40" s="4">
        <v>500</v>
      </c>
      <c r="U40" s="4">
        <v>5600</v>
      </c>
      <c r="V40" s="4">
        <v>3000</v>
      </c>
      <c r="W40" s="4">
        <v>200</v>
      </c>
      <c r="X40" s="4">
        <v>200</v>
      </c>
      <c r="Y40" s="4">
        <v>74</v>
      </c>
      <c r="Z40" s="2">
        <v>156</v>
      </c>
      <c r="AA40" s="2" t="s">
        <v>60</v>
      </c>
      <c r="AB40" s="2" t="s">
        <v>60</v>
      </c>
      <c r="AC40" s="2">
        <v>0</v>
      </c>
      <c r="AD40" s="2" t="s">
        <v>60</v>
      </c>
      <c r="AE40" s="4" t="s">
        <v>2906</v>
      </c>
      <c r="AF40" s="4">
        <v>30000</v>
      </c>
      <c r="AG40" s="2">
        <v>0</v>
      </c>
      <c r="AH40" s="2">
        <v>0</v>
      </c>
      <c r="AI40" s="2" t="s">
        <v>3309</v>
      </c>
      <c r="AJ40" s="2" t="s">
        <v>60</v>
      </c>
      <c r="AK40" s="2" t="s">
        <v>60</v>
      </c>
      <c r="AM40" s="2" t="s">
        <v>2855</v>
      </c>
      <c r="AN40" s="7" t="s">
        <v>60</v>
      </c>
      <c r="AO40" s="2">
        <v>11</v>
      </c>
      <c r="AP40" s="4" t="s">
        <v>222</v>
      </c>
      <c r="AQ40" s="4">
        <v>0</v>
      </c>
      <c r="AR40" s="4">
        <v>0</v>
      </c>
      <c r="AS40" s="4">
        <v>100</v>
      </c>
      <c r="AT40" s="4">
        <v>90</v>
      </c>
      <c r="AU40" s="4">
        <v>100</v>
      </c>
      <c r="AV40" s="4">
        <v>100</v>
      </c>
      <c r="AW40" s="2" t="s">
        <v>3248</v>
      </c>
      <c r="AX40" s="2" t="s">
        <v>120</v>
      </c>
      <c r="AY40" s="2" t="s">
        <v>146</v>
      </c>
      <c r="AZ40" s="2" t="s">
        <v>3235</v>
      </c>
      <c r="BA40" s="2" t="s">
        <v>213</v>
      </c>
      <c r="BB40" s="4" t="s">
        <v>202</v>
      </c>
      <c r="BC40" s="2" t="s">
        <v>95</v>
      </c>
      <c r="BD40" s="4" t="s">
        <v>211</v>
      </c>
      <c r="BE40" s="4" t="s">
        <v>21</v>
      </c>
      <c r="BF40" s="4" t="s">
        <v>223</v>
      </c>
      <c r="BG40" s="2" t="s">
        <v>60</v>
      </c>
      <c r="BH40" s="4"/>
      <c r="BI40" s="2" t="s">
        <v>60</v>
      </c>
      <c r="BK40" s="2" t="s">
        <v>60</v>
      </c>
      <c r="BM40" s="2" t="s">
        <v>213</v>
      </c>
    </row>
    <row r="41" spans="2:65" x14ac:dyDescent="0.15">
      <c r="B41" s="2" t="s">
        <v>226</v>
      </c>
      <c r="C41" s="2" t="s">
        <v>181</v>
      </c>
      <c r="D41" s="4" t="s">
        <v>1192</v>
      </c>
      <c r="E41" s="4" t="str">
        <f>VLOOKUP(D41,personSet!$B$5:$C$836,2,0)</f>
        <v>张鲁</v>
      </c>
      <c r="F41" s="4">
        <v>1</v>
      </c>
      <c r="G41" s="2" t="s">
        <v>2847</v>
      </c>
      <c r="H41" s="2" t="s">
        <v>32</v>
      </c>
      <c r="I41" s="4" t="str">
        <f>VLOOKUP(H41,forceSet!$B$5:$D$46,3,0)</f>
        <v>张鲁</v>
      </c>
      <c r="J41" s="4" t="s">
        <v>32</v>
      </c>
      <c r="K41" s="4" t="str">
        <f>VLOOKUP(J41,corpsSet!$B$5:$C$46,2,0)</f>
        <v>张鲁</v>
      </c>
      <c r="L41" s="4">
        <v>1</v>
      </c>
      <c r="M41" s="4">
        <v>100000</v>
      </c>
      <c r="N41" s="4">
        <v>500000</v>
      </c>
      <c r="O41" s="4">
        <v>20000</v>
      </c>
      <c r="P41" s="4">
        <v>200000</v>
      </c>
      <c r="Q41" s="4">
        <v>12</v>
      </c>
      <c r="R41" s="4">
        <v>10</v>
      </c>
      <c r="S41" s="4">
        <v>3</v>
      </c>
      <c r="T41" s="4">
        <v>500</v>
      </c>
      <c r="U41" s="4">
        <v>5600</v>
      </c>
      <c r="V41" s="4">
        <v>3000</v>
      </c>
      <c r="W41" s="4">
        <v>200</v>
      </c>
      <c r="X41" s="4">
        <v>200</v>
      </c>
      <c r="Y41" s="4">
        <v>55</v>
      </c>
      <c r="Z41" s="2">
        <v>117</v>
      </c>
      <c r="AA41" s="2" t="s">
        <v>60</v>
      </c>
      <c r="AB41" s="2" t="s">
        <v>60</v>
      </c>
      <c r="AC41" s="2">
        <v>24000</v>
      </c>
      <c r="AD41" s="2" t="s">
        <v>60</v>
      </c>
      <c r="AE41" s="4" t="s">
        <v>2907</v>
      </c>
      <c r="AF41" s="4">
        <v>30000</v>
      </c>
      <c r="AG41" s="2">
        <v>4800</v>
      </c>
      <c r="AH41" s="2">
        <v>48000</v>
      </c>
      <c r="AI41" s="2" t="s">
        <v>3309</v>
      </c>
      <c r="AJ41" s="2" t="s">
        <v>60</v>
      </c>
      <c r="AK41" s="2" t="s">
        <v>60</v>
      </c>
      <c r="AM41" s="2" t="s">
        <v>2855</v>
      </c>
      <c r="AN41" s="7" t="s">
        <v>60</v>
      </c>
      <c r="AO41" s="2">
        <v>11</v>
      </c>
      <c r="AP41" s="4" t="s">
        <v>222</v>
      </c>
      <c r="AQ41" s="4">
        <v>0</v>
      </c>
      <c r="AR41" s="4">
        <v>0</v>
      </c>
      <c r="AS41" s="4">
        <v>100</v>
      </c>
      <c r="AT41" s="4">
        <v>90</v>
      </c>
      <c r="AU41" s="4">
        <v>100</v>
      </c>
      <c r="AV41" s="4">
        <v>100</v>
      </c>
      <c r="AW41" s="2" t="s">
        <v>3248</v>
      </c>
      <c r="AX41" s="2" t="s">
        <v>127</v>
      </c>
      <c r="AY41" s="2" t="s">
        <v>154</v>
      </c>
      <c r="AZ41" s="2" t="s">
        <v>3236</v>
      </c>
      <c r="BA41" s="2" t="s">
        <v>104</v>
      </c>
      <c r="BB41" s="4" t="s">
        <v>174</v>
      </c>
      <c r="BC41" s="2" t="s">
        <v>105</v>
      </c>
      <c r="BD41" s="4" t="s">
        <v>178</v>
      </c>
      <c r="BE41" s="4" t="s">
        <v>107</v>
      </c>
      <c r="BF41" s="4" t="s">
        <v>2915</v>
      </c>
      <c r="BG41" s="2" t="s">
        <v>207</v>
      </c>
      <c r="BH41" s="4" t="s">
        <v>225</v>
      </c>
      <c r="BI41" s="2" t="s">
        <v>60</v>
      </c>
      <c r="BK41" s="2" t="s">
        <v>60</v>
      </c>
      <c r="BM41" s="2" t="s">
        <v>213</v>
      </c>
    </row>
    <row r="42" spans="2:65" x14ac:dyDescent="0.15">
      <c r="B42" s="2" t="s">
        <v>207</v>
      </c>
      <c r="C42" s="2" t="s">
        <v>225</v>
      </c>
      <c r="D42" s="4" t="s">
        <v>491</v>
      </c>
      <c r="E42" s="4" t="str">
        <f>VLOOKUP(D42,personSet!$B$5:$C$836,2,0)</f>
        <v>锺会</v>
      </c>
      <c r="F42" s="4">
        <v>1</v>
      </c>
      <c r="G42" s="2" t="s">
        <v>2847</v>
      </c>
      <c r="H42" s="2" t="s">
        <v>3303</v>
      </c>
      <c r="I42" s="4" t="str">
        <f>VLOOKUP(H42,forceSet!$B$5:$D$46,3,0)</f>
        <v>锺会</v>
      </c>
      <c r="J42" s="2" t="s">
        <v>3303</v>
      </c>
      <c r="K42" s="4" t="str">
        <f>VLOOKUP(J42,corpsSet!$B$5:$C$46,2,0)</f>
        <v>锺会</v>
      </c>
      <c r="L42" s="4">
        <v>1</v>
      </c>
      <c r="M42" s="4">
        <v>100000</v>
      </c>
      <c r="N42" s="4">
        <v>500000</v>
      </c>
      <c r="O42" s="4">
        <v>20000</v>
      </c>
      <c r="P42" s="4">
        <v>200000</v>
      </c>
      <c r="Q42" s="4">
        <v>12</v>
      </c>
      <c r="R42" s="4">
        <v>10</v>
      </c>
      <c r="S42" s="4">
        <v>3</v>
      </c>
      <c r="T42" s="4">
        <v>500</v>
      </c>
      <c r="U42" s="4">
        <v>5600</v>
      </c>
      <c r="V42" s="4">
        <v>3000</v>
      </c>
      <c r="W42" s="4">
        <v>200</v>
      </c>
      <c r="X42" s="4">
        <v>200</v>
      </c>
      <c r="Y42" s="4">
        <v>44</v>
      </c>
      <c r="Z42" s="2">
        <v>138</v>
      </c>
      <c r="AA42" s="2" t="s">
        <v>60</v>
      </c>
      <c r="AB42" s="2" t="s">
        <v>60</v>
      </c>
      <c r="AC42" s="2">
        <v>20000</v>
      </c>
      <c r="AD42" s="2" t="s">
        <v>60</v>
      </c>
      <c r="AE42" s="4" t="s">
        <v>2908</v>
      </c>
      <c r="AF42" s="4">
        <v>30000</v>
      </c>
      <c r="AG42" s="2">
        <v>4800</v>
      </c>
      <c r="AH42" s="2">
        <v>48000</v>
      </c>
      <c r="AI42" s="2" t="s">
        <v>3309</v>
      </c>
      <c r="AJ42" s="2" t="s">
        <v>60</v>
      </c>
      <c r="AK42" s="2" t="s">
        <v>60</v>
      </c>
      <c r="AM42" s="2" t="s">
        <v>2855</v>
      </c>
      <c r="AN42" s="7" t="s">
        <v>60</v>
      </c>
      <c r="AO42" s="2">
        <v>11</v>
      </c>
      <c r="AP42" s="4" t="s">
        <v>222</v>
      </c>
      <c r="AQ42" s="4">
        <v>0</v>
      </c>
      <c r="AR42" s="4">
        <v>0</v>
      </c>
      <c r="AS42" s="4">
        <v>100</v>
      </c>
      <c r="AT42" s="4">
        <v>90</v>
      </c>
      <c r="AU42" s="4">
        <v>100</v>
      </c>
      <c r="AV42" s="4">
        <v>100</v>
      </c>
      <c r="AW42" s="2" t="s">
        <v>3248</v>
      </c>
      <c r="AX42" s="2" t="s">
        <v>120</v>
      </c>
      <c r="AY42" s="2" t="s">
        <v>146</v>
      </c>
      <c r="AZ42" s="2" t="s">
        <v>3237</v>
      </c>
      <c r="BA42" s="2" t="s">
        <v>226</v>
      </c>
      <c r="BB42" s="4" t="s">
        <v>181</v>
      </c>
      <c r="BC42" s="2" t="s">
        <v>21</v>
      </c>
      <c r="BD42" s="4" t="s">
        <v>223</v>
      </c>
      <c r="BE42" s="4" t="s">
        <v>126</v>
      </c>
      <c r="BF42" s="4" t="s">
        <v>229</v>
      </c>
      <c r="BG42" s="2" t="s">
        <v>60</v>
      </c>
      <c r="BH42" s="4"/>
      <c r="BI42" s="2" t="s">
        <v>60</v>
      </c>
      <c r="BK42" s="2" t="s">
        <v>60</v>
      </c>
      <c r="BM42" s="2" t="s">
        <v>213</v>
      </c>
    </row>
    <row r="43" spans="2:65" x14ac:dyDescent="0.15">
      <c r="B43" s="2" t="s">
        <v>21</v>
      </c>
      <c r="C43" s="2" t="s">
        <v>223</v>
      </c>
      <c r="D43" s="4" t="s">
        <v>1843</v>
      </c>
      <c r="E43" s="4" t="str">
        <f>VLOOKUP(D43,personSet!$B$5:$C$836,2,0)</f>
        <v>邓艾</v>
      </c>
      <c r="F43" s="4">
        <v>1</v>
      </c>
      <c r="G43" s="2" t="s">
        <v>2847</v>
      </c>
      <c r="H43" s="2" t="s">
        <v>3304</v>
      </c>
      <c r="I43" s="4" t="str">
        <f>VLOOKUP(H43,forceSet!$B$5:$D$46,3,0)</f>
        <v>邓艾</v>
      </c>
      <c r="J43" s="2" t="s">
        <v>3304</v>
      </c>
      <c r="K43" s="4" t="str">
        <f>VLOOKUP(J43,corpsSet!$B$5:$C$46,2,0)</f>
        <v>邓艾</v>
      </c>
      <c r="L43" s="4">
        <v>1</v>
      </c>
      <c r="M43" s="4">
        <v>100000</v>
      </c>
      <c r="N43" s="4">
        <v>500000</v>
      </c>
      <c r="O43" s="4">
        <v>20000</v>
      </c>
      <c r="P43" s="4">
        <v>200000</v>
      </c>
      <c r="Q43" s="4">
        <v>12</v>
      </c>
      <c r="R43" s="4">
        <v>10</v>
      </c>
      <c r="S43" s="4">
        <v>3</v>
      </c>
      <c r="T43" s="4">
        <v>500</v>
      </c>
      <c r="U43" s="4">
        <v>5600</v>
      </c>
      <c r="V43" s="4">
        <v>3000</v>
      </c>
      <c r="W43" s="4">
        <v>200</v>
      </c>
      <c r="X43" s="4">
        <v>200</v>
      </c>
      <c r="Y43" s="4">
        <v>58</v>
      </c>
      <c r="Z43" s="2">
        <v>175</v>
      </c>
      <c r="AA43" s="2" t="s">
        <v>60</v>
      </c>
      <c r="AB43" s="2" t="s">
        <v>60</v>
      </c>
      <c r="AC43" s="2">
        <v>24000</v>
      </c>
      <c r="AD43" s="2" t="s">
        <v>60</v>
      </c>
      <c r="AE43" s="4" t="s">
        <v>2909</v>
      </c>
      <c r="AF43" s="4">
        <v>30000</v>
      </c>
      <c r="AG43" s="2">
        <v>4800</v>
      </c>
      <c r="AH43" s="2">
        <v>48000</v>
      </c>
      <c r="AI43" s="2" t="s">
        <v>3309</v>
      </c>
      <c r="AJ43" s="2" t="s">
        <v>60</v>
      </c>
      <c r="AK43" s="2" t="s">
        <v>60</v>
      </c>
      <c r="AM43" s="2" t="s">
        <v>2855</v>
      </c>
      <c r="AN43" s="7" t="s">
        <v>60</v>
      </c>
      <c r="AO43" s="2">
        <v>11</v>
      </c>
      <c r="AP43" s="4" t="s">
        <v>222</v>
      </c>
      <c r="AQ43" s="4">
        <v>0</v>
      </c>
      <c r="AR43" s="4">
        <v>0</v>
      </c>
      <c r="AS43" s="4">
        <v>100</v>
      </c>
      <c r="AT43" s="4">
        <v>90</v>
      </c>
      <c r="AU43" s="4">
        <v>100</v>
      </c>
      <c r="AV43" s="4">
        <v>100</v>
      </c>
      <c r="AW43" s="2" t="s">
        <v>3248</v>
      </c>
      <c r="AX43" s="2" t="s">
        <v>158</v>
      </c>
      <c r="AY43" s="2" t="s">
        <v>146</v>
      </c>
      <c r="AZ43" s="2" t="s">
        <v>3238</v>
      </c>
      <c r="BA43" s="2" t="s">
        <v>15</v>
      </c>
      <c r="BB43" s="4" t="s">
        <v>212</v>
      </c>
      <c r="BC43" s="2" t="s">
        <v>207</v>
      </c>
      <c r="BD43" s="4" t="s">
        <v>225</v>
      </c>
      <c r="BE43" s="4" t="s">
        <v>126</v>
      </c>
      <c r="BF43" s="4" t="s">
        <v>229</v>
      </c>
      <c r="BG43" s="2" t="s">
        <v>237</v>
      </c>
      <c r="BH43" s="4" t="s">
        <v>3068</v>
      </c>
      <c r="BI43" s="2" t="s">
        <v>60</v>
      </c>
      <c r="BK43" s="2" t="s">
        <v>60</v>
      </c>
      <c r="BM43" s="2" t="s">
        <v>213</v>
      </c>
    </row>
    <row r="44" spans="2:65" x14ac:dyDescent="0.15">
      <c r="B44" s="2" t="s">
        <v>126</v>
      </c>
      <c r="C44" s="2" t="s">
        <v>229</v>
      </c>
      <c r="D44" s="4" t="s">
        <v>2462</v>
      </c>
      <c r="E44" s="4" t="str">
        <f>VLOOKUP(D44,personSet!$B$5:$C$836,2,0)</f>
        <v>刘焉</v>
      </c>
      <c r="F44" s="4">
        <v>1</v>
      </c>
      <c r="G44" s="2" t="s">
        <v>2847</v>
      </c>
      <c r="H44" s="2" t="s">
        <v>33</v>
      </c>
      <c r="I44" s="4" t="str">
        <f>VLOOKUP(H44,forceSet!$B$5:$D$46,3,0)</f>
        <v>刘焉</v>
      </c>
      <c r="J44" s="4" t="s">
        <v>33</v>
      </c>
      <c r="K44" s="4" t="str">
        <f>VLOOKUP(J44,corpsSet!$B$5:$C$46,2,0)</f>
        <v>刘焉</v>
      </c>
      <c r="L44" s="4">
        <v>2</v>
      </c>
      <c r="M44" s="4">
        <v>100000</v>
      </c>
      <c r="N44" s="4">
        <v>500000</v>
      </c>
      <c r="O44" s="4">
        <v>20000</v>
      </c>
      <c r="P44" s="4">
        <v>200000</v>
      </c>
      <c r="Q44" s="4">
        <v>12</v>
      </c>
      <c r="R44" s="4">
        <v>10</v>
      </c>
      <c r="S44" s="4">
        <v>3</v>
      </c>
      <c r="T44" s="4">
        <v>500</v>
      </c>
      <c r="U44" s="4">
        <v>5600</v>
      </c>
      <c r="V44" s="4">
        <v>3000</v>
      </c>
      <c r="W44" s="4">
        <v>200</v>
      </c>
      <c r="X44" s="4">
        <v>200</v>
      </c>
      <c r="Y44" s="4">
        <v>38</v>
      </c>
      <c r="Z44" s="2">
        <v>160</v>
      </c>
      <c r="AA44" s="2" t="s">
        <v>60</v>
      </c>
      <c r="AB44" s="2" t="s">
        <v>60</v>
      </c>
      <c r="AC44" s="2">
        <v>22000</v>
      </c>
      <c r="AD44" s="2" t="s">
        <v>60</v>
      </c>
      <c r="AE44" s="4" t="s">
        <v>2910</v>
      </c>
      <c r="AF44" s="4">
        <v>30000</v>
      </c>
      <c r="AG44" s="2">
        <v>5200</v>
      </c>
      <c r="AH44" s="2">
        <v>52000</v>
      </c>
      <c r="AI44" s="2" t="s">
        <v>3309</v>
      </c>
      <c r="AJ44" s="2" t="s">
        <v>60</v>
      </c>
      <c r="AK44" s="2" t="s">
        <v>60</v>
      </c>
      <c r="AM44" s="2" t="s">
        <v>2855</v>
      </c>
      <c r="AN44" s="7" t="s">
        <v>60</v>
      </c>
      <c r="AO44" s="2">
        <v>11</v>
      </c>
      <c r="AP44" s="4" t="s">
        <v>222</v>
      </c>
      <c r="AQ44" s="4">
        <v>0</v>
      </c>
      <c r="AR44" s="4">
        <v>0</v>
      </c>
      <c r="AS44" s="4">
        <v>100</v>
      </c>
      <c r="AT44" s="4">
        <v>90</v>
      </c>
      <c r="AU44" s="4">
        <v>100</v>
      </c>
      <c r="AV44" s="4">
        <v>100</v>
      </c>
      <c r="AW44" s="2" t="s">
        <v>3248</v>
      </c>
      <c r="AX44" s="2" t="s">
        <v>127</v>
      </c>
      <c r="AY44" s="2" t="s">
        <v>154</v>
      </c>
      <c r="AZ44" s="2" t="s">
        <v>3239</v>
      </c>
      <c r="BA44" s="2" t="s">
        <v>207</v>
      </c>
      <c r="BB44" s="4" t="s">
        <v>225</v>
      </c>
      <c r="BC44" s="2" t="s">
        <v>21</v>
      </c>
      <c r="BD44" s="4" t="s">
        <v>223</v>
      </c>
      <c r="BE44" s="4" t="s">
        <v>237</v>
      </c>
      <c r="BF44" s="4" t="s">
        <v>3068</v>
      </c>
      <c r="BG44" s="2" t="s">
        <v>60</v>
      </c>
      <c r="BH44" s="4"/>
      <c r="BI44" s="2" t="s">
        <v>60</v>
      </c>
      <c r="BK44" s="2" t="s">
        <v>60</v>
      </c>
      <c r="BM44" s="2" t="s">
        <v>213</v>
      </c>
    </row>
    <row r="45" spans="2:65" x14ac:dyDescent="0.15">
      <c r="B45" s="2" t="s">
        <v>237</v>
      </c>
      <c r="C45" s="2" t="s">
        <v>3075</v>
      </c>
      <c r="D45" s="4" t="s">
        <v>2363</v>
      </c>
      <c r="E45" s="4" t="str">
        <f>VLOOKUP(D45,personSet!$B$5:$C$836,2,0)</f>
        <v>雍闿</v>
      </c>
      <c r="F45" s="4">
        <v>1</v>
      </c>
      <c r="G45" s="2" t="s">
        <v>2847</v>
      </c>
      <c r="H45" s="2" t="s">
        <v>204</v>
      </c>
      <c r="I45" s="4" t="str">
        <f>VLOOKUP(H45,forceSet!$B$5:$D$46,3,0)</f>
        <v>雍闿</v>
      </c>
      <c r="J45" s="4" t="s">
        <v>204</v>
      </c>
      <c r="K45" s="4" t="str">
        <f>VLOOKUP(J45,corpsSet!$B$5:$C$46,2,0)</f>
        <v>雍闿</v>
      </c>
      <c r="L45" s="4">
        <v>1</v>
      </c>
      <c r="M45" s="4">
        <v>100000</v>
      </c>
      <c r="N45" s="4">
        <v>500000</v>
      </c>
      <c r="O45" s="4">
        <v>20000</v>
      </c>
      <c r="P45" s="4">
        <v>200000</v>
      </c>
      <c r="Q45" s="4">
        <v>12</v>
      </c>
      <c r="R45" s="4">
        <v>10</v>
      </c>
      <c r="S45" s="4">
        <v>3</v>
      </c>
      <c r="T45" s="4">
        <v>500</v>
      </c>
      <c r="U45" s="4">
        <v>5600</v>
      </c>
      <c r="V45" s="4">
        <v>3000</v>
      </c>
      <c r="W45" s="4">
        <v>200</v>
      </c>
      <c r="X45" s="4">
        <v>200</v>
      </c>
      <c r="Y45" s="4">
        <v>55</v>
      </c>
      <c r="Z45" s="2">
        <v>202</v>
      </c>
      <c r="AA45" s="2" t="s">
        <v>60</v>
      </c>
      <c r="AB45" s="2" t="s">
        <v>60</v>
      </c>
      <c r="AC45" s="2">
        <v>24000</v>
      </c>
      <c r="AD45" s="2" t="s">
        <v>60</v>
      </c>
      <c r="AE45" s="4" t="s">
        <v>2911</v>
      </c>
      <c r="AF45" s="4">
        <v>30000</v>
      </c>
      <c r="AG45" s="2">
        <v>4800</v>
      </c>
      <c r="AH45" s="2">
        <v>48000</v>
      </c>
      <c r="AI45" s="2" t="s">
        <v>3309</v>
      </c>
      <c r="AJ45" s="2" t="s">
        <v>60</v>
      </c>
      <c r="AK45" s="2" t="s">
        <v>60</v>
      </c>
      <c r="AM45" s="2" t="s">
        <v>2855</v>
      </c>
      <c r="AN45" s="7" t="s">
        <v>60</v>
      </c>
      <c r="AO45" s="2">
        <v>12</v>
      </c>
      <c r="AP45" s="4" t="s">
        <v>236</v>
      </c>
      <c r="AQ45" s="4">
        <v>0</v>
      </c>
      <c r="AR45" s="4">
        <v>0</v>
      </c>
      <c r="AS45" s="4">
        <v>100</v>
      </c>
      <c r="AT45" s="4">
        <v>90</v>
      </c>
      <c r="AU45" s="4">
        <v>100</v>
      </c>
      <c r="AV45" s="4">
        <v>100</v>
      </c>
      <c r="AW45" s="2" t="s">
        <v>3248</v>
      </c>
      <c r="AX45" s="2" t="s">
        <v>158</v>
      </c>
      <c r="AY45" s="2" t="s">
        <v>154</v>
      </c>
      <c r="AZ45" s="2" t="s">
        <v>3240</v>
      </c>
      <c r="BA45" s="2" t="s">
        <v>126</v>
      </c>
      <c r="BB45" s="4" t="s">
        <v>229</v>
      </c>
      <c r="BC45" s="2" t="s">
        <v>98</v>
      </c>
      <c r="BD45" s="4" t="s">
        <v>3069</v>
      </c>
      <c r="BE45" s="4" t="s">
        <v>21</v>
      </c>
      <c r="BF45" s="4" t="s">
        <v>223</v>
      </c>
      <c r="BG45" s="2" t="s">
        <v>60</v>
      </c>
      <c r="BH45" s="4"/>
      <c r="BI45" s="2" t="s">
        <v>60</v>
      </c>
      <c r="BK45" s="2" t="s">
        <v>60</v>
      </c>
      <c r="BM45" s="2" t="s">
        <v>213</v>
      </c>
    </row>
    <row r="46" spans="2:65" x14ac:dyDescent="0.15">
      <c r="B46" s="2" t="s">
        <v>98</v>
      </c>
      <c r="C46" s="2" t="s">
        <v>3076</v>
      </c>
      <c r="D46" s="2" t="s">
        <v>1317</v>
      </c>
      <c r="E46" s="4" t="str">
        <f>VLOOKUP(D46,personSet!$B$5:$C$836,2,0)</f>
        <v>孟获</v>
      </c>
      <c r="F46" s="4">
        <v>1</v>
      </c>
      <c r="G46" s="2" t="s">
        <v>2847</v>
      </c>
      <c r="H46" s="2" t="s">
        <v>200</v>
      </c>
      <c r="I46" s="4" t="str">
        <f>VLOOKUP(H46,forceSet!$B$5:$D$46,3,0)</f>
        <v>孟获</v>
      </c>
      <c r="J46" s="4" t="s">
        <v>200</v>
      </c>
      <c r="K46" s="4" t="str">
        <f>VLOOKUP(J46,corpsSet!$B$5:$C$46,2,0)</f>
        <v>孟获</v>
      </c>
      <c r="L46" s="4">
        <v>1</v>
      </c>
      <c r="M46" s="4">
        <v>100000</v>
      </c>
      <c r="N46" s="4">
        <v>500000</v>
      </c>
      <c r="O46" s="4">
        <v>20000</v>
      </c>
      <c r="P46" s="4">
        <v>200000</v>
      </c>
      <c r="Q46" s="4">
        <v>12</v>
      </c>
      <c r="R46" s="4">
        <v>10</v>
      </c>
      <c r="S46" s="4">
        <v>3</v>
      </c>
      <c r="T46" s="4">
        <v>500</v>
      </c>
      <c r="U46" s="4">
        <v>5600</v>
      </c>
      <c r="V46" s="4">
        <v>3000</v>
      </c>
      <c r="W46" s="4">
        <v>200</v>
      </c>
      <c r="X46" s="4">
        <v>200</v>
      </c>
      <c r="Y46" s="4">
        <v>33</v>
      </c>
      <c r="Z46" s="2">
        <v>219</v>
      </c>
      <c r="AA46" s="2" t="s">
        <v>60</v>
      </c>
      <c r="AB46" s="2" t="s">
        <v>60</v>
      </c>
      <c r="AC46" s="2">
        <v>28000</v>
      </c>
      <c r="AD46" s="2" t="s">
        <v>60</v>
      </c>
      <c r="AE46" s="4" t="s">
        <v>2912</v>
      </c>
      <c r="AF46" s="4">
        <v>30000</v>
      </c>
      <c r="AG46" s="2">
        <v>5600</v>
      </c>
      <c r="AH46" s="2">
        <v>56000</v>
      </c>
      <c r="AI46" s="2" t="s">
        <v>3309</v>
      </c>
      <c r="AJ46" s="2" t="s">
        <v>60</v>
      </c>
      <c r="AK46" s="2" t="s">
        <v>60</v>
      </c>
      <c r="AM46" s="2" t="s">
        <v>2855</v>
      </c>
      <c r="AN46" s="7" t="s">
        <v>60</v>
      </c>
      <c r="AO46" s="2">
        <v>12</v>
      </c>
      <c r="AP46" s="4" t="s">
        <v>236</v>
      </c>
      <c r="AQ46" s="4">
        <v>0</v>
      </c>
      <c r="AR46" s="4">
        <v>0</v>
      </c>
      <c r="AS46" s="4">
        <v>100</v>
      </c>
      <c r="AT46" s="4">
        <v>90</v>
      </c>
      <c r="AU46" s="4">
        <v>100</v>
      </c>
      <c r="AV46" s="4">
        <v>100</v>
      </c>
      <c r="AW46" s="2" t="s">
        <v>3248</v>
      </c>
      <c r="AX46" s="2" t="s">
        <v>120</v>
      </c>
      <c r="AY46" s="2" t="s">
        <v>146</v>
      </c>
      <c r="AZ46" s="2" t="s">
        <v>3241</v>
      </c>
      <c r="BA46" s="2" t="s">
        <v>237</v>
      </c>
      <c r="BB46" s="4" t="s">
        <v>3068</v>
      </c>
      <c r="BC46" s="2" t="s">
        <v>60</v>
      </c>
      <c r="BD46" s="4"/>
      <c r="BE46" s="2" t="s">
        <v>60</v>
      </c>
      <c r="BF46" s="4"/>
      <c r="BG46" s="2" t="s">
        <v>60</v>
      </c>
      <c r="BH46" s="4"/>
      <c r="BI46" s="2" t="s">
        <v>60</v>
      </c>
      <c r="BK46" s="2" t="s">
        <v>60</v>
      </c>
      <c r="BM46" s="2" t="s">
        <v>213</v>
      </c>
    </row>
    <row r="94" spans="1:65" x14ac:dyDescent="0.15">
      <c r="A94" s="3"/>
      <c r="B94" s="2" t="s">
        <v>99</v>
      </c>
      <c r="C94" s="2" t="s">
        <v>241</v>
      </c>
      <c r="D94" s="4">
        <v>0</v>
      </c>
      <c r="F94" s="4">
        <v>2</v>
      </c>
      <c r="G94" s="2" t="s">
        <v>2848</v>
      </c>
      <c r="H94" s="4" t="s">
        <v>107</v>
      </c>
      <c r="I94" s="4" t="s">
        <v>2074</v>
      </c>
      <c r="J94" s="4" t="s">
        <v>107</v>
      </c>
      <c r="K94" s="4" t="s">
        <v>2074</v>
      </c>
      <c r="L94" s="4">
        <v>1</v>
      </c>
      <c r="Y94" s="4">
        <v>120</v>
      </c>
      <c r="Z94" s="2">
        <v>85</v>
      </c>
      <c r="AA94" s="4">
        <v>1.57079637050629</v>
      </c>
      <c r="AB94" s="2" t="s">
        <v>60</v>
      </c>
      <c r="AC94" s="2" t="s">
        <v>263</v>
      </c>
      <c r="AD94" s="2" t="s">
        <v>263</v>
      </c>
      <c r="AE94" s="4">
        <v>50000</v>
      </c>
      <c r="AF94" s="4">
        <v>30000</v>
      </c>
      <c r="AG94" s="2" t="s">
        <v>120</v>
      </c>
      <c r="AH94" s="2" t="s">
        <v>143</v>
      </c>
      <c r="AJ94" s="2" t="s">
        <v>60</v>
      </c>
      <c r="AK94" s="2" t="s">
        <v>60</v>
      </c>
      <c r="AL94" s="2" t="s">
        <v>60</v>
      </c>
      <c r="AM94" s="2" t="s">
        <v>60</v>
      </c>
      <c r="AN94" s="2" t="s">
        <v>60</v>
      </c>
      <c r="AO94" s="2" t="s">
        <v>60</v>
      </c>
      <c r="AP94" s="2" t="s">
        <v>60</v>
      </c>
      <c r="AQ94" s="4">
        <v>0</v>
      </c>
      <c r="AR94" s="4">
        <v>0</v>
      </c>
      <c r="AS94" s="4">
        <v>50</v>
      </c>
      <c r="AT94" s="4">
        <v>50</v>
      </c>
      <c r="AU94" s="4">
        <v>100</v>
      </c>
      <c r="AV94" s="4">
        <v>100</v>
      </c>
      <c r="AW94" s="2" t="s">
        <v>3248</v>
      </c>
      <c r="AX94" s="2" t="s">
        <v>60</v>
      </c>
      <c r="AY94" s="2" t="s">
        <v>60</v>
      </c>
      <c r="BA94" s="2" t="s">
        <v>60</v>
      </c>
      <c r="BB94" s="2" t="s">
        <v>60</v>
      </c>
      <c r="BC94" s="2" t="s">
        <v>60</v>
      </c>
      <c r="BD94" s="2" t="s">
        <v>60</v>
      </c>
      <c r="BM94" s="2" t="s">
        <v>213</v>
      </c>
    </row>
    <row r="95" spans="1:65" x14ac:dyDescent="0.15">
      <c r="B95" s="2" t="s">
        <v>100</v>
      </c>
      <c r="C95" s="2" t="s">
        <v>242</v>
      </c>
      <c r="D95" s="4">
        <v>0</v>
      </c>
      <c r="F95" s="4">
        <v>2</v>
      </c>
      <c r="G95" s="2" t="s">
        <v>2848</v>
      </c>
      <c r="H95" s="4" t="s">
        <v>18</v>
      </c>
      <c r="I95" s="4" t="s">
        <v>1349</v>
      </c>
      <c r="J95" s="4" t="s">
        <v>18</v>
      </c>
      <c r="K95" s="4" t="s">
        <v>1349</v>
      </c>
      <c r="L95" s="4">
        <v>1</v>
      </c>
      <c r="Y95" s="4">
        <v>118</v>
      </c>
      <c r="Z95" s="2">
        <v>105</v>
      </c>
      <c r="AA95" s="4">
        <v>1.57079637050629</v>
      </c>
      <c r="AB95" s="2" t="s">
        <v>60</v>
      </c>
      <c r="AC95" s="2" t="s">
        <v>263</v>
      </c>
      <c r="AD95" s="2" t="s">
        <v>263</v>
      </c>
      <c r="AE95" s="4">
        <v>50000</v>
      </c>
      <c r="AF95" s="4">
        <v>30000</v>
      </c>
      <c r="AG95" s="2" t="s">
        <v>120</v>
      </c>
      <c r="AH95" s="2" t="s">
        <v>143</v>
      </c>
      <c r="AJ95" s="2" t="s">
        <v>60</v>
      </c>
      <c r="AK95" s="2" t="s">
        <v>60</v>
      </c>
      <c r="AL95" s="2" t="s">
        <v>60</v>
      </c>
      <c r="AM95" s="2" t="s">
        <v>60</v>
      </c>
      <c r="AN95" s="2" t="s">
        <v>60</v>
      </c>
      <c r="AO95" s="2" t="s">
        <v>60</v>
      </c>
      <c r="AP95" s="2" t="s">
        <v>60</v>
      </c>
      <c r="AQ95" s="4">
        <v>0</v>
      </c>
      <c r="AR95" s="4">
        <v>0</v>
      </c>
      <c r="AS95" s="4">
        <v>50</v>
      </c>
      <c r="AT95" s="4">
        <v>50</v>
      </c>
      <c r="AU95" s="4">
        <v>100</v>
      </c>
      <c r="AV95" s="4">
        <v>100</v>
      </c>
      <c r="AW95" s="2" t="s">
        <v>3248</v>
      </c>
      <c r="AX95" s="2" t="s">
        <v>60</v>
      </c>
      <c r="AY95" s="2" t="s">
        <v>60</v>
      </c>
      <c r="BA95" s="2" t="s">
        <v>60</v>
      </c>
      <c r="BB95" s="2" t="s">
        <v>60</v>
      </c>
      <c r="BC95" s="2" t="s">
        <v>60</v>
      </c>
      <c r="BD95" s="2" t="s">
        <v>60</v>
      </c>
      <c r="BM95" s="2" t="s">
        <v>213</v>
      </c>
    </row>
    <row r="96" spans="1:65" x14ac:dyDescent="0.15">
      <c r="B96" s="2" t="s">
        <v>101</v>
      </c>
      <c r="C96" s="2" t="s">
        <v>245</v>
      </c>
      <c r="D96" s="4">
        <v>0</v>
      </c>
      <c r="F96" s="4">
        <v>2</v>
      </c>
      <c r="G96" s="2" t="s">
        <v>2848</v>
      </c>
      <c r="H96" s="4" t="s">
        <v>208</v>
      </c>
      <c r="I96" s="4" t="s">
        <v>895</v>
      </c>
      <c r="J96" s="4" t="s">
        <v>208</v>
      </c>
      <c r="K96" s="4" t="s">
        <v>895</v>
      </c>
      <c r="L96" s="4">
        <v>1</v>
      </c>
      <c r="Y96" s="4">
        <v>89</v>
      </c>
      <c r="Z96" s="2">
        <v>105</v>
      </c>
      <c r="AA96" s="4">
        <v>1.57079637050629</v>
      </c>
      <c r="AB96" s="2" t="s">
        <v>60</v>
      </c>
      <c r="AC96" s="2" t="s">
        <v>263</v>
      </c>
      <c r="AD96" s="2" t="s">
        <v>263</v>
      </c>
      <c r="AE96" s="4">
        <v>50000</v>
      </c>
      <c r="AF96" s="4">
        <v>30000</v>
      </c>
      <c r="AG96" s="2" t="s">
        <v>120</v>
      </c>
      <c r="AH96" s="2" t="s">
        <v>143</v>
      </c>
      <c r="AJ96" s="2" t="s">
        <v>60</v>
      </c>
      <c r="AK96" s="2" t="s">
        <v>60</v>
      </c>
      <c r="AL96" s="2" t="s">
        <v>60</v>
      </c>
      <c r="AM96" s="2" t="s">
        <v>60</v>
      </c>
      <c r="AN96" s="2" t="s">
        <v>60</v>
      </c>
      <c r="AO96" s="2" t="s">
        <v>60</v>
      </c>
      <c r="AP96" s="2" t="s">
        <v>60</v>
      </c>
      <c r="AQ96" s="4">
        <v>0</v>
      </c>
      <c r="AR96" s="4">
        <v>0</v>
      </c>
      <c r="AS96" s="4">
        <v>50</v>
      </c>
      <c r="AT96" s="4">
        <v>50</v>
      </c>
      <c r="AU96" s="4">
        <v>100</v>
      </c>
      <c r="AV96" s="4">
        <v>100</v>
      </c>
      <c r="AW96" s="2" t="s">
        <v>3248</v>
      </c>
      <c r="AX96" s="2" t="s">
        <v>60</v>
      </c>
      <c r="AY96" s="2" t="s">
        <v>60</v>
      </c>
      <c r="BA96" s="2" t="s">
        <v>60</v>
      </c>
      <c r="BB96" s="2" t="s">
        <v>60</v>
      </c>
      <c r="BC96" s="2" t="s">
        <v>60</v>
      </c>
      <c r="BD96" s="2" t="s">
        <v>60</v>
      </c>
      <c r="BM96" s="2" t="s">
        <v>213</v>
      </c>
    </row>
    <row r="97" spans="2:65" x14ac:dyDescent="0.15">
      <c r="B97" s="2" t="s">
        <v>102</v>
      </c>
      <c r="C97" s="2" t="s">
        <v>246</v>
      </c>
      <c r="D97" s="4">
        <v>0</v>
      </c>
      <c r="F97" s="4">
        <v>2</v>
      </c>
      <c r="G97" s="2" t="s">
        <v>2848</v>
      </c>
      <c r="H97" s="4" t="s">
        <v>208</v>
      </c>
      <c r="I97" s="4" t="s">
        <v>895</v>
      </c>
      <c r="J97" s="4" t="s">
        <v>208</v>
      </c>
      <c r="K97" s="4" t="s">
        <v>895</v>
      </c>
      <c r="L97" s="4">
        <v>1</v>
      </c>
      <c r="Y97" s="4">
        <v>96</v>
      </c>
      <c r="Z97" s="2">
        <v>106</v>
      </c>
      <c r="AA97" s="4">
        <v>1.57079637050629</v>
      </c>
      <c r="AB97" s="2" t="s">
        <v>60</v>
      </c>
      <c r="AC97" s="2" t="s">
        <v>263</v>
      </c>
      <c r="AD97" s="2" t="s">
        <v>263</v>
      </c>
      <c r="AE97" s="4">
        <v>50000</v>
      </c>
      <c r="AF97" s="4">
        <v>30000</v>
      </c>
      <c r="AG97" s="2" t="s">
        <v>120</v>
      </c>
      <c r="AH97" s="2" t="s">
        <v>143</v>
      </c>
      <c r="AJ97" s="2" t="s">
        <v>60</v>
      </c>
      <c r="AK97" s="2" t="s">
        <v>60</v>
      </c>
      <c r="AL97" s="2" t="s">
        <v>60</v>
      </c>
      <c r="AM97" s="2" t="s">
        <v>60</v>
      </c>
      <c r="AN97" s="2" t="s">
        <v>60</v>
      </c>
      <c r="AO97" s="2" t="s">
        <v>60</v>
      </c>
      <c r="AP97" s="2" t="s">
        <v>60</v>
      </c>
      <c r="AQ97" s="4">
        <v>0</v>
      </c>
      <c r="AR97" s="4">
        <v>0</v>
      </c>
      <c r="AS97" s="4">
        <v>50</v>
      </c>
      <c r="AT97" s="4">
        <v>50</v>
      </c>
      <c r="AU97" s="4">
        <v>100</v>
      </c>
      <c r="AV97" s="4">
        <v>100</v>
      </c>
      <c r="AW97" s="2" t="s">
        <v>3248</v>
      </c>
      <c r="AX97" s="2" t="s">
        <v>60</v>
      </c>
      <c r="AY97" s="2" t="s">
        <v>60</v>
      </c>
      <c r="BA97" s="2" t="s">
        <v>60</v>
      </c>
      <c r="BB97" s="2" t="s">
        <v>60</v>
      </c>
      <c r="BC97" s="2" t="s">
        <v>60</v>
      </c>
      <c r="BD97" s="2" t="s">
        <v>60</v>
      </c>
      <c r="BM97" s="2" t="s">
        <v>213</v>
      </c>
    </row>
    <row r="98" spans="2:65" x14ac:dyDescent="0.15">
      <c r="B98" s="2" t="s">
        <v>191</v>
      </c>
      <c r="C98" s="2" t="s">
        <v>248</v>
      </c>
      <c r="D98" s="4">
        <v>0</v>
      </c>
      <c r="F98" s="4">
        <v>2</v>
      </c>
      <c r="G98" s="2" t="s">
        <v>2848</v>
      </c>
      <c r="H98" s="4" t="s">
        <v>208</v>
      </c>
      <c r="I98" s="4" t="s">
        <v>895</v>
      </c>
      <c r="J98" s="4" t="s">
        <v>208</v>
      </c>
      <c r="K98" s="4" t="s">
        <v>895</v>
      </c>
      <c r="L98" s="4">
        <v>1</v>
      </c>
      <c r="Y98" s="4">
        <v>96</v>
      </c>
      <c r="Z98" s="2">
        <v>114</v>
      </c>
      <c r="AA98" s="4">
        <v>1.57079637050629</v>
      </c>
      <c r="AB98" s="2" t="s">
        <v>60</v>
      </c>
      <c r="AC98" s="2" t="s">
        <v>263</v>
      </c>
      <c r="AD98" s="2" t="s">
        <v>263</v>
      </c>
      <c r="AE98" s="4">
        <v>50000</v>
      </c>
      <c r="AF98" s="4">
        <v>30000</v>
      </c>
      <c r="AG98" s="2" t="s">
        <v>120</v>
      </c>
      <c r="AH98" s="2" t="s">
        <v>143</v>
      </c>
      <c r="AJ98" s="2" t="s">
        <v>60</v>
      </c>
      <c r="AK98" s="2" t="s">
        <v>60</v>
      </c>
      <c r="AL98" s="2" t="s">
        <v>60</v>
      </c>
      <c r="AM98" s="2" t="s">
        <v>60</v>
      </c>
      <c r="AN98" s="2" t="s">
        <v>60</v>
      </c>
      <c r="AO98" s="2" t="s">
        <v>60</v>
      </c>
      <c r="AP98" s="2" t="s">
        <v>60</v>
      </c>
      <c r="AQ98" s="4">
        <v>0</v>
      </c>
      <c r="AR98" s="4">
        <v>0</v>
      </c>
      <c r="AS98" s="4">
        <v>50</v>
      </c>
      <c r="AT98" s="4">
        <v>50</v>
      </c>
      <c r="AU98" s="4">
        <v>100</v>
      </c>
      <c r="AV98" s="4">
        <v>100</v>
      </c>
      <c r="AW98" s="2" t="s">
        <v>3248</v>
      </c>
      <c r="AX98" s="2" t="s">
        <v>60</v>
      </c>
      <c r="AY98" s="2" t="s">
        <v>60</v>
      </c>
      <c r="BA98" s="2" t="s">
        <v>60</v>
      </c>
      <c r="BB98" s="2" t="s">
        <v>60</v>
      </c>
      <c r="BC98" s="2" t="s">
        <v>60</v>
      </c>
      <c r="BD98" s="2" t="s">
        <v>60</v>
      </c>
      <c r="BM98" s="2" t="s">
        <v>213</v>
      </c>
    </row>
    <row r="99" spans="2:65" x14ac:dyDescent="0.15">
      <c r="B99" s="2" t="s">
        <v>414</v>
      </c>
      <c r="C99" s="2" t="s">
        <v>250</v>
      </c>
      <c r="D99" s="4">
        <v>0</v>
      </c>
      <c r="F99" s="4">
        <v>2</v>
      </c>
      <c r="G99" s="2" t="s">
        <v>2848</v>
      </c>
      <c r="H99" s="4" t="s">
        <v>32</v>
      </c>
      <c r="I99" s="4" t="s">
        <v>2001</v>
      </c>
      <c r="J99" s="4" t="s">
        <v>32</v>
      </c>
      <c r="K99" s="4" t="s">
        <v>2001</v>
      </c>
      <c r="L99" s="4">
        <v>1</v>
      </c>
      <c r="Y99" s="4">
        <v>55</v>
      </c>
      <c r="Z99" s="2">
        <v>111</v>
      </c>
      <c r="AA99" s="4">
        <v>0</v>
      </c>
      <c r="AB99" s="2" t="s">
        <v>60</v>
      </c>
      <c r="AC99" s="2" t="s">
        <v>263</v>
      </c>
      <c r="AD99" s="2" t="s">
        <v>263</v>
      </c>
      <c r="AE99" s="4">
        <v>50000</v>
      </c>
      <c r="AF99" s="4">
        <v>30000</v>
      </c>
      <c r="AG99" s="2" t="s">
        <v>120</v>
      </c>
      <c r="AH99" s="2" t="s">
        <v>143</v>
      </c>
      <c r="AJ99" s="2" t="s">
        <v>60</v>
      </c>
      <c r="AK99" s="2" t="s">
        <v>60</v>
      </c>
      <c r="AL99" s="2" t="s">
        <v>60</v>
      </c>
      <c r="AM99" s="2" t="s">
        <v>60</v>
      </c>
      <c r="AN99" s="2" t="s">
        <v>60</v>
      </c>
      <c r="AO99" s="2" t="s">
        <v>60</v>
      </c>
      <c r="AP99" s="2" t="s">
        <v>60</v>
      </c>
      <c r="AQ99" s="4">
        <v>0</v>
      </c>
      <c r="AR99" s="4">
        <v>0</v>
      </c>
      <c r="AS99" s="4">
        <v>50</v>
      </c>
      <c r="AT99" s="4">
        <v>50</v>
      </c>
      <c r="AU99" s="4">
        <v>100</v>
      </c>
      <c r="AV99" s="4">
        <v>100</v>
      </c>
      <c r="AW99" s="2" t="s">
        <v>3248</v>
      </c>
      <c r="AX99" s="2" t="s">
        <v>60</v>
      </c>
      <c r="AY99" s="2" t="s">
        <v>60</v>
      </c>
      <c r="BA99" s="2" t="s">
        <v>60</v>
      </c>
      <c r="BB99" s="2" t="s">
        <v>60</v>
      </c>
      <c r="BC99" s="2" t="s">
        <v>60</v>
      </c>
      <c r="BD99" s="2" t="s">
        <v>60</v>
      </c>
      <c r="BM99" s="2" t="s">
        <v>213</v>
      </c>
    </row>
    <row r="100" spans="2:65" x14ac:dyDescent="0.15">
      <c r="B100" s="2" t="s">
        <v>233</v>
      </c>
      <c r="C100" s="2" t="s">
        <v>252</v>
      </c>
      <c r="D100" s="4">
        <v>0</v>
      </c>
      <c r="F100" s="4">
        <v>2</v>
      </c>
      <c r="G100" s="2" t="s">
        <v>2848</v>
      </c>
      <c r="H100" s="4" t="s">
        <v>219</v>
      </c>
      <c r="I100" s="4" t="s">
        <v>1479</v>
      </c>
      <c r="J100" s="4" t="s">
        <v>219</v>
      </c>
      <c r="K100" s="4" t="s">
        <v>1479</v>
      </c>
      <c r="L100" s="4">
        <v>1</v>
      </c>
      <c r="Y100" s="4">
        <v>42</v>
      </c>
      <c r="Z100" s="2">
        <v>125</v>
      </c>
      <c r="AA100" s="4">
        <v>0</v>
      </c>
      <c r="AB100" s="2" t="s">
        <v>60</v>
      </c>
      <c r="AC100" s="2" t="s">
        <v>263</v>
      </c>
      <c r="AD100" s="2" t="s">
        <v>263</v>
      </c>
      <c r="AE100" s="4">
        <v>50000</v>
      </c>
      <c r="AF100" s="4">
        <v>30000</v>
      </c>
      <c r="AG100" s="2" t="s">
        <v>120</v>
      </c>
      <c r="AH100" s="2" t="s">
        <v>143</v>
      </c>
      <c r="AJ100" s="2" t="s">
        <v>60</v>
      </c>
      <c r="AK100" s="2" t="s">
        <v>60</v>
      </c>
      <c r="AL100" s="2" t="s">
        <v>60</v>
      </c>
      <c r="AM100" s="2" t="s">
        <v>60</v>
      </c>
      <c r="AN100" s="2" t="s">
        <v>60</v>
      </c>
      <c r="AO100" s="2" t="s">
        <v>60</v>
      </c>
      <c r="AP100" s="2" t="s">
        <v>60</v>
      </c>
      <c r="AQ100" s="4">
        <v>0</v>
      </c>
      <c r="AR100" s="4">
        <v>0</v>
      </c>
      <c r="AS100" s="4">
        <v>50</v>
      </c>
      <c r="AT100" s="4">
        <v>50</v>
      </c>
      <c r="AU100" s="4">
        <v>100</v>
      </c>
      <c r="AV100" s="4">
        <v>100</v>
      </c>
      <c r="AW100" s="2" t="s">
        <v>3248</v>
      </c>
      <c r="AX100" s="2" t="s">
        <v>60</v>
      </c>
      <c r="AY100" s="2" t="s">
        <v>60</v>
      </c>
      <c r="BA100" s="2" t="s">
        <v>60</v>
      </c>
      <c r="BB100" s="2" t="s">
        <v>60</v>
      </c>
      <c r="BC100" s="2" t="s">
        <v>60</v>
      </c>
      <c r="BD100" s="2" t="s">
        <v>60</v>
      </c>
      <c r="BM100" s="2" t="s">
        <v>213</v>
      </c>
    </row>
    <row r="101" spans="2:65" x14ac:dyDescent="0.15">
      <c r="B101" s="2" t="s">
        <v>4</v>
      </c>
      <c r="C101" s="2" t="s">
        <v>253</v>
      </c>
      <c r="D101" s="4">
        <v>0</v>
      </c>
      <c r="F101" s="4">
        <v>2</v>
      </c>
      <c r="G101" s="2" t="s">
        <v>2848</v>
      </c>
      <c r="H101" s="4" t="s">
        <v>219</v>
      </c>
      <c r="I101" s="4" t="s">
        <v>1479</v>
      </c>
      <c r="J101" s="4" t="s">
        <v>219</v>
      </c>
      <c r="K101" s="4" t="s">
        <v>1479</v>
      </c>
      <c r="L101" s="4">
        <v>1</v>
      </c>
      <c r="Y101" s="4">
        <v>51</v>
      </c>
      <c r="Z101" s="2">
        <v>130</v>
      </c>
      <c r="AA101" s="4">
        <v>0</v>
      </c>
      <c r="AB101" s="2" t="s">
        <v>60</v>
      </c>
      <c r="AC101" s="2" t="s">
        <v>263</v>
      </c>
      <c r="AD101" s="2" t="s">
        <v>263</v>
      </c>
      <c r="AE101" s="4">
        <v>50000</v>
      </c>
      <c r="AF101" s="4">
        <v>30000</v>
      </c>
      <c r="AG101" s="2" t="s">
        <v>120</v>
      </c>
      <c r="AH101" s="2" t="s">
        <v>143</v>
      </c>
      <c r="AJ101" s="2" t="s">
        <v>60</v>
      </c>
      <c r="AK101" s="2" t="s">
        <v>60</v>
      </c>
      <c r="AL101" s="2" t="s">
        <v>60</v>
      </c>
      <c r="AM101" s="2" t="s">
        <v>60</v>
      </c>
      <c r="AN101" s="2" t="s">
        <v>60</v>
      </c>
      <c r="AO101" s="2" t="s">
        <v>60</v>
      </c>
      <c r="AP101" s="2" t="s">
        <v>60</v>
      </c>
      <c r="AQ101" s="4">
        <v>0</v>
      </c>
      <c r="AR101" s="4">
        <v>0</v>
      </c>
      <c r="AS101" s="4">
        <v>50</v>
      </c>
      <c r="AT101" s="4">
        <v>50</v>
      </c>
      <c r="AU101" s="4">
        <v>100</v>
      </c>
      <c r="AV101" s="4">
        <v>100</v>
      </c>
      <c r="AW101" s="2" t="s">
        <v>3248</v>
      </c>
      <c r="AX101" s="2" t="s">
        <v>60</v>
      </c>
      <c r="AY101" s="2" t="s">
        <v>60</v>
      </c>
      <c r="BA101" s="2" t="s">
        <v>60</v>
      </c>
      <c r="BB101" s="2" t="s">
        <v>60</v>
      </c>
      <c r="BC101" s="2" t="s">
        <v>60</v>
      </c>
      <c r="BD101" s="2" t="s">
        <v>60</v>
      </c>
      <c r="BM101" s="2" t="s">
        <v>213</v>
      </c>
    </row>
    <row r="102" spans="2:65" x14ac:dyDescent="0.15">
      <c r="B102" s="2" t="s">
        <v>7</v>
      </c>
      <c r="C102" s="2" t="s">
        <v>255</v>
      </c>
      <c r="D102" s="4">
        <v>0</v>
      </c>
      <c r="F102" s="4">
        <v>2</v>
      </c>
      <c r="G102" s="2" t="s">
        <v>2848</v>
      </c>
      <c r="H102" s="4" t="s">
        <v>33</v>
      </c>
      <c r="I102" s="4" t="s">
        <v>2458</v>
      </c>
      <c r="J102" s="4" t="s">
        <v>33</v>
      </c>
      <c r="K102" s="4" t="s">
        <v>2458</v>
      </c>
      <c r="L102" s="4">
        <v>1</v>
      </c>
      <c r="Y102" s="4">
        <v>39</v>
      </c>
      <c r="Z102" s="2">
        <v>147</v>
      </c>
      <c r="AA102" s="4">
        <v>1.57079637050629</v>
      </c>
      <c r="AB102" s="2" t="s">
        <v>60</v>
      </c>
      <c r="AC102" s="2" t="s">
        <v>263</v>
      </c>
      <c r="AD102" s="2" t="s">
        <v>263</v>
      </c>
      <c r="AE102" s="4">
        <v>50000</v>
      </c>
      <c r="AF102" s="4">
        <v>30000</v>
      </c>
      <c r="AG102" s="2" t="s">
        <v>120</v>
      </c>
      <c r="AH102" s="2" t="s">
        <v>143</v>
      </c>
      <c r="AJ102" s="2" t="s">
        <v>60</v>
      </c>
      <c r="AK102" s="2" t="s">
        <v>60</v>
      </c>
      <c r="AL102" s="2" t="s">
        <v>60</v>
      </c>
      <c r="AM102" s="2" t="s">
        <v>60</v>
      </c>
      <c r="AN102" s="2" t="s">
        <v>60</v>
      </c>
      <c r="AO102" s="2" t="s">
        <v>60</v>
      </c>
      <c r="AP102" s="2" t="s">
        <v>60</v>
      </c>
      <c r="AQ102" s="4">
        <v>0</v>
      </c>
      <c r="AR102" s="4">
        <v>0</v>
      </c>
      <c r="AS102" s="4">
        <v>50</v>
      </c>
      <c r="AT102" s="4">
        <v>50</v>
      </c>
      <c r="AU102" s="4">
        <v>100</v>
      </c>
      <c r="AV102" s="4">
        <v>100</v>
      </c>
      <c r="AW102" s="2" t="s">
        <v>3248</v>
      </c>
      <c r="AX102" s="2" t="s">
        <v>60</v>
      </c>
      <c r="AY102" s="2" t="s">
        <v>60</v>
      </c>
      <c r="BA102" s="2" t="s">
        <v>60</v>
      </c>
      <c r="BB102" s="2" t="s">
        <v>60</v>
      </c>
      <c r="BC102" s="2" t="s">
        <v>60</v>
      </c>
      <c r="BD102" s="2" t="s">
        <v>60</v>
      </c>
      <c r="BM102" s="2" t="s">
        <v>213</v>
      </c>
    </row>
    <row r="103" spans="2:65" x14ac:dyDescent="0.15">
      <c r="B103" s="2" t="s">
        <v>14</v>
      </c>
      <c r="C103" s="2" t="s">
        <v>260</v>
      </c>
      <c r="D103" s="4">
        <v>0</v>
      </c>
      <c r="F103" s="4">
        <v>2</v>
      </c>
      <c r="G103" s="2" t="s">
        <v>2848</v>
      </c>
      <c r="H103" s="4" t="s">
        <v>33</v>
      </c>
      <c r="I103" s="4" t="s">
        <v>2458</v>
      </c>
      <c r="J103" s="4" t="s">
        <v>33</v>
      </c>
      <c r="K103" s="4" t="s">
        <v>2458</v>
      </c>
      <c r="L103" s="4">
        <v>1</v>
      </c>
      <c r="Y103" s="4">
        <v>36</v>
      </c>
      <c r="Z103" s="2">
        <v>153</v>
      </c>
      <c r="AA103" s="4">
        <v>0</v>
      </c>
      <c r="AB103" s="2" t="s">
        <v>60</v>
      </c>
      <c r="AC103" s="2" t="s">
        <v>263</v>
      </c>
      <c r="AD103" s="2" t="s">
        <v>263</v>
      </c>
      <c r="AE103" s="4">
        <v>50000</v>
      </c>
      <c r="AF103" s="4">
        <v>30000</v>
      </c>
      <c r="AG103" s="2" t="s">
        <v>120</v>
      </c>
      <c r="AH103" s="2" t="s">
        <v>143</v>
      </c>
      <c r="AJ103" s="2" t="s">
        <v>60</v>
      </c>
      <c r="AK103" s="2" t="s">
        <v>60</v>
      </c>
      <c r="AL103" s="2" t="s">
        <v>60</v>
      </c>
      <c r="AM103" s="2" t="s">
        <v>60</v>
      </c>
      <c r="AN103" s="2" t="s">
        <v>60</v>
      </c>
      <c r="AO103" s="2" t="s">
        <v>60</v>
      </c>
      <c r="AP103" s="2" t="s">
        <v>60</v>
      </c>
      <c r="AQ103" s="4">
        <v>0</v>
      </c>
      <c r="AR103" s="4">
        <v>0</v>
      </c>
      <c r="AS103" s="4">
        <v>50</v>
      </c>
      <c r="AT103" s="4">
        <v>50</v>
      </c>
      <c r="AU103" s="4">
        <v>100</v>
      </c>
      <c r="AV103" s="4">
        <v>100</v>
      </c>
      <c r="AW103" s="2" t="s">
        <v>3248</v>
      </c>
      <c r="AX103" s="2" t="s">
        <v>60</v>
      </c>
      <c r="AY103" s="2" t="s">
        <v>60</v>
      </c>
      <c r="BA103" s="2" t="s">
        <v>60</v>
      </c>
      <c r="BB103" s="2" t="s">
        <v>60</v>
      </c>
      <c r="BC103" s="2" t="s">
        <v>60</v>
      </c>
      <c r="BD103" s="2" t="s">
        <v>60</v>
      </c>
      <c r="BM103" s="2" t="s">
        <v>213</v>
      </c>
    </row>
    <row r="104" spans="2:65" x14ac:dyDescent="0.15">
      <c r="B104" s="2" t="s">
        <v>19</v>
      </c>
      <c r="C104" s="2" t="s">
        <v>262</v>
      </c>
      <c r="D104" s="4">
        <v>0</v>
      </c>
      <c r="F104" s="4">
        <v>3</v>
      </c>
      <c r="G104" s="2" t="s">
        <v>2849</v>
      </c>
      <c r="H104" s="4" t="s">
        <v>41</v>
      </c>
      <c r="I104" s="4" t="s">
        <v>84</v>
      </c>
      <c r="J104" s="4" t="s">
        <v>41</v>
      </c>
      <c r="K104" s="4" t="s">
        <v>84</v>
      </c>
      <c r="L104" s="4">
        <v>1</v>
      </c>
      <c r="Y104" s="4">
        <v>196</v>
      </c>
      <c r="Z104" s="2">
        <v>56</v>
      </c>
      <c r="AA104" s="5">
        <v>3.1415927410125701</v>
      </c>
      <c r="AB104" s="2" t="s">
        <v>2857</v>
      </c>
      <c r="AC104" s="2" t="s">
        <v>571</v>
      </c>
      <c r="AD104" s="2" t="s">
        <v>571</v>
      </c>
      <c r="AE104" s="2" t="s">
        <v>3052</v>
      </c>
      <c r="AF104" s="4">
        <v>30000</v>
      </c>
      <c r="AG104" s="2" t="s">
        <v>950</v>
      </c>
      <c r="AH104" s="2" t="s">
        <v>263</v>
      </c>
      <c r="AJ104" s="2" t="s">
        <v>60</v>
      </c>
      <c r="AK104" s="2" t="s">
        <v>60</v>
      </c>
      <c r="AL104" s="2" t="s">
        <v>60</v>
      </c>
      <c r="AM104" s="2" t="s">
        <v>60</v>
      </c>
      <c r="AN104" s="2" t="s">
        <v>60</v>
      </c>
      <c r="AO104" s="2" t="s">
        <v>60</v>
      </c>
      <c r="AP104" s="2" t="s">
        <v>60</v>
      </c>
      <c r="AQ104" s="4">
        <v>0</v>
      </c>
      <c r="AR104" s="4">
        <v>0</v>
      </c>
      <c r="AS104" s="4">
        <v>50</v>
      </c>
      <c r="AT104" s="4">
        <v>50</v>
      </c>
      <c r="AU104" s="4">
        <v>100</v>
      </c>
      <c r="AV104" s="4">
        <v>100</v>
      </c>
      <c r="AW104" s="2" t="s">
        <v>3248</v>
      </c>
      <c r="AX104" s="2" t="s">
        <v>60</v>
      </c>
      <c r="AY104" s="2" t="s">
        <v>60</v>
      </c>
      <c r="BA104" s="2" t="s">
        <v>60</v>
      </c>
      <c r="BB104" s="2" t="s">
        <v>60</v>
      </c>
      <c r="BC104" s="2" t="s">
        <v>60</v>
      </c>
      <c r="BD104" s="2" t="s">
        <v>60</v>
      </c>
      <c r="BM104" s="2" t="s">
        <v>213</v>
      </c>
    </row>
    <row r="105" spans="2:65" x14ac:dyDescent="0.15">
      <c r="B105" s="2" t="s">
        <v>3</v>
      </c>
      <c r="C105" s="2" t="s">
        <v>266</v>
      </c>
      <c r="D105" s="4">
        <v>0</v>
      </c>
      <c r="F105" s="4">
        <v>3</v>
      </c>
      <c r="G105" s="2" t="s">
        <v>2849</v>
      </c>
      <c r="H105" s="4">
        <v>0</v>
      </c>
      <c r="J105" s="4">
        <v>0</v>
      </c>
      <c r="L105" s="4">
        <v>1</v>
      </c>
      <c r="Y105" s="4">
        <v>162</v>
      </c>
      <c r="Z105" s="2">
        <v>85</v>
      </c>
      <c r="AA105" s="5">
        <v>3.1415927410125701</v>
      </c>
      <c r="AB105" s="2" t="s">
        <v>2857</v>
      </c>
      <c r="AC105" s="2" t="s">
        <v>60</v>
      </c>
      <c r="AD105" s="2" t="s">
        <v>60</v>
      </c>
      <c r="AE105" s="2" t="s">
        <v>3052</v>
      </c>
      <c r="AF105" s="4">
        <v>30000</v>
      </c>
      <c r="AG105" s="2" t="s">
        <v>60</v>
      </c>
      <c r="AH105" s="2" t="s">
        <v>60</v>
      </c>
      <c r="AJ105" s="2" t="s">
        <v>60</v>
      </c>
      <c r="AK105" s="2" t="s">
        <v>60</v>
      </c>
      <c r="AL105" s="2" t="s">
        <v>60</v>
      </c>
      <c r="AM105" s="2" t="s">
        <v>60</v>
      </c>
      <c r="AN105" s="2" t="s">
        <v>60</v>
      </c>
      <c r="AO105" s="2" t="s">
        <v>60</v>
      </c>
      <c r="AP105" s="2" t="s">
        <v>60</v>
      </c>
      <c r="AQ105" s="4">
        <v>0</v>
      </c>
      <c r="AR105" s="4">
        <v>0</v>
      </c>
      <c r="AS105" s="4">
        <v>50</v>
      </c>
      <c r="AT105" s="4">
        <v>50</v>
      </c>
      <c r="AU105" s="4">
        <v>100</v>
      </c>
      <c r="AV105" s="4">
        <v>100</v>
      </c>
      <c r="AW105" s="2" t="s">
        <v>3248</v>
      </c>
      <c r="AX105" s="2" t="s">
        <v>60</v>
      </c>
      <c r="AY105" s="2" t="s">
        <v>60</v>
      </c>
      <c r="BA105" s="2" t="s">
        <v>60</v>
      </c>
      <c r="BB105" s="2" t="s">
        <v>60</v>
      </c>
      <c r="BC105" s="2" t="s">
        <v>60</v>
      </c>
      <c r="BD105" s="2" t="s">
        <v>60</v>
      </c>
      <c r="BM105" s="2" t="s">
        <v>213</v>
      </c>
    </row>
    <row r="106" spans="2:65" x14ac:dyDescent="0.15">
      <c r="B106" s="2" t="s">
        <v>254</v>
      </c>
      <c r="C106" s="2" t="s">
        <v>268</v>
      </c>
      <c r="D106" s="4">
        <v>0</v>
      </c>
      <c r="F106" s="4">
        <v>3</v>
      </c>
      <c r="G106" s="2" t="s">
        <v>2849</v>
      </c>
      <c r="H106" s="4" t="s">
        <v>107</v>
      </c>
      <c r="I106" s="4" t="s">
        <v>2074</v>
      </c>
      <c r="J106" s="4" t="s">
        <v>107</v>
      </c>
      <c r="K106" s="4" t="s">
        <v>2074</v>
      </c>
      <c r="L106" s="4">
        <v>1</v>
      </c>
      <c r="Y106" s="4">
        <v>91</v>
      </c>
      <c r="Z106" s="2">
        <v>77</v>
      </c>
      <c r="AA106" s="4">
        <v>4.7123889923095703</v>
      </c>
      <c r="AB106" s="2" t="s">
        <v>2857</v>
      </c>
      <c r="AC106" s="2" t="s">
        <v>263</v>
      </c>
      <c r="AD106" s="2" t="s">
        <v>263</v>
      </c>
      <c r="AE106" s="2" t="s">
        <v>3051</v>
      </c>
      <c r="AF106" s="4">
        <v>30000</v>
      </c>
      <c r="AG106" s="2" t="s">
        <v>950</v>
      </c>
      <c r="AH106" s="2" t="s">
        <v>263</v>
      </c>
      <c r="AJ106" s="2" t="s">
        <v>60</v>
      </c>
      <c r="AK106" s="2" t="s">
        <v>60</v>
      </c>
      <c r="AL106" s="2" t="s">
        <v>60</v>
      </c>
      <c r="AM106" s="2" t="s">
        <v>60</v>
      </c>
      <c r="AN106" s="2" t="s">
        <v>60</v>
      </c>
      <c r="AO106" s="2" t="s">
        <v>60</v>
      </c>
      <c r="AP106" s="2" t="s">
        <v>60</v>
      </c>
      <c r="AQ106" s="4">
        <v>0</v>
      </c>
      <c r="AR106" s="4">
        <v>0</v>
      </c>
      <c r="AS106" s="4">
        <v>50</v>
      </c>
      <c r="AT106" s="4">
        <v>50</v>
      </c>
      <c r="AU106" s="4">
        <v>100</v>
      </c>
      <c r="AV106" s="4">
        <v>100</v>
      </c>
      <c r="AW106" s="2" t="s">
        <v>3248</v>
      </c>
      <c r="AX106" s="2" t="s">
        <v>60</v>
      </c>
      <c r="AY106" s="2" t="s">
        <v>60</v>
      </c>
      <c r="BA106" s="2" t="s">
        <v>60</v>
      </c>
      <c r="BB106" s="2" t="s">
        <v>60</v>
      </c>
      <c r="BC106" s="2" t="s">
        <v>60</v>
      </c>
      <c r="BD106" s="2" t="s">
        <v>60</v>
      </c>
      <c r="BM106" s="2" t="s">
        <v>213</v>
      </c>
    </row>
    <row r="107" spans="2:65" x14ac:dyDescent="0.15">
      <c r="B107" s="2" t="s">
        <v>201</v>
      </c>
      <c r="C107" s="2" t="s">
        <v>272</v>
      </c>
      <c r="D107" s="4">
        <v>0</v>
      </c>
      <c r="F107" s="4">
        <v>3</v>
      </c>
      <c r="G107" s="2" t="s">
        <v>2849</v>
      </c>
      <c r="H107" s="4" t="s">
        <v>8</v>
      </c>
      <c r="I107" s="4" t="s">
        <v>1006</v>
      </c>
      <c r="J107" s="4" t="s">
        <v>8</v>
      </c>
      <c r="K107" s="4" t="s">
        <v>1006</v>
      </c>
      <c r="L107" s="4">
        <v>1</v>
      </c>
      <c r="Y107" s="4">
        <v>138</v>
      </c>
      <c r="Z107" s="2">
        <v>91</v>
      </c>
      <c r="AA107" s="5">
        <v>3.1415927410125701</v>
      </c>
      <c r="AB107" s="2" t="s">
        <v>2857</v>
      </c>
      <c r="AC107" s="2" t="s">
        <v>263</v>
      </c>
      <c r="AD107" s="2" t="s">
        <v>263</v>
      </c>
      <c r="AE107" s="2" t="s">
        <v>3051</v>
      </c>
      <c r="AF107" s="4">
        <v>30000</v>
      </c>
      <c r="AG107" s="2" t="s">
        <v>120</v>
      </c>
      <c r="AH107" s="2" t="s">
        <v>143</v>
      </c>
      <c r="AJ107" s="2" t="s">
        <v>60</v>
      </c>
      <c r="AK107" s="2" t="s">
        <v>60</v>
      </c>
      <c r="AL107" s="2" t="s">
        <v>60</v>
      </c>
      <c r="AM107" s="2" t="s">
        <v>60</v>
      </c>
      <c r="AN107" s="2" t="s">
        <v>60</v>
      </c>
      <c r="AO107" s="2" t="s">
        <v>60</v>
      </c>
      <c r="AP107" s="2" t="s">
        <v>60</v>
      </c>
      <c r="AQ107" s="4">
        <v>0</v>
      </c>
      <c r="AR107" s="4">
        <v>0</v>
      </c>
      <c r="AS107" s="4">
        <v>50</v>
      </c>
      <c r="AT107" s="4">
        <v>50</v>
      </c>
      <c r="AU107" s="4">
        <v>100</v>
      </c>
      <c r="AV107" s="4">
        <v>100</v>
      </c>
      <c r="AW107" s="2" t="s">
        <v>3248</v>
      </c>
      <c r="AX107" s="2" t="s">
        <v>60</v>
      </c>
      <c r="AY107" s="2" t="s">
        <v>60</v>
      </c>
      <c r="BA107" s="2" t="s">
        <v>60</v>
      </c>
      <c r="BB107" s="2" t="s">
        <v>60</v>
      </c>
      <c r="BC107" s="2" t="s">
        <v>60</v>
      </c>
      <c r="BD107" s="2" t="s">
        <v>60</v>
      </c>
      <c r="BM107" s="2" t="s">
        <v>213</v>
      </c>
    </row>
    <row r="108" spans="2:65" x14ac:dyDescent="0.15">
      <c r="B108" s="2" t="s">
        <v>432</v>
      </c>
      <c r="C108" s="2" t="s">
        <v>275</v>
      </c>
      <c r="D108" s="4">
        <v>0</v>
      </c>
      <c r="F108" s="4">
        <v>3</v>
      </c>
      <c r="G108" s="2" t="s">
        <v>2849</v>
      </c>
      <c r="H108" s="4" t="s">
        <v>103</v>
      </c>
      <c r="I108" s="4" t="s">
        <v>1239</v>
      </c>
      <c r="J108" s="4" t="s">
        <v>103</v>
      </c>
      <c r="K108" s="4" t="s">
        <v>1239</v>
      </c>
      <c r="L108" s="4">
        <v>1</v>
      </c>
      <c r="Y108" s="4">
        <v>204</v>
      </c>
      <c r="Z108" s="2">
        <v>76</v>
      </c>
      <c r="AA108" s="4">
        <v>1.57079637050629</v>
      </c>
      <c r="AB108" s="2" t="s">
        <v>2857</v>
      </c>
      <c r="AC108" s="2" t="s">
        <v>571</v>
      </c>
      <c r="AD108" s="2" t="s">
        <v>571</v>
      </c>
      <c r="AE108" s="2" t="s">
        <v>3051</v>
      </c>
      <c r="AF108" s="4">
        <v>30000</v>
      </c>
      <c r="AG108" s="2" t="s">
        <v>950</v>
      </c>
      <c r="AH108" s="2" t="s">
        <v>263</v>
      </c>
      <c r="AJ108" s="2" t="s">
        <v>60</v>
      </c>
      <c r="AK108" s="2" t="s">
        <v>60</v>
      </c>
      <c r="AL108" s="2" t="s">
        <v>60</v>
      </c>
      <c r="AM108" s="2" t="s">
        <v>60</v>
      </c>
      <c r="AN108" s="2" t="s">
        <v>60</v>
      </c>
      <c r="AO108" s="2" t="s">
        <v>60</v>
      </c>
      <c r="AP108" s="2" t="s">
        <v>60</v>
      </c>
      <c r="AQ108" s="4">
        <v>0</v>
      </c>
      <c r="AR108" s="4">
        <v>0</v>
      </c>
      <c r="AS108" s="4">
        <v>50</v>
      </c>
      <c r="AT108" s="4">
        <v>50</v>
      </c>
      <c r="AU108" s="4">
        <v>100</v>
      </c>
      <c r="AV108" s="4">
        <v>100</v>
      </c>
      <c r="AW108" s="2" t="s">
        <v>3248</v>
      </c>
      <c r="AX108" s="2" t="s">
        <v>60</v>
      </c>
      <c r="AY108" s="2" t="s">
        <v>60</v>
      </c>
      <c r="BA108" s="2" t="s">
        <v>60</v>
      </c>
      <c r="BB108" s="2" t="s">
        <v>60</v>
      </c>
      <c r="BC108" s="2" t="s">
        <v>60</v>
      </c>
      <c r="BD108" s="2" t="s">
        <v>60</v>
      </c>
      <c r="BM108" s="2" t="s">
        <v>213</v>
      </c>
    </row>
    <row r="109" spans="2:65" x14ac:dyDescent="0.15">
      <c r="B109" s="2" t="s">
        <v>485</v>
      </c>
      <c r="C109" s="2" t="s">
        <v>279</v>
      </c>
      <c r="D109" s="4">
        <v>0</v>
      </c>
      <c r="F109" s="4">
        <v>3</v>
      </c>
      <c r="G109" s="2" t="s">
        <v>2849</v>
      </c>
      <c r="H109" s="4" t="s">
        <v>103</v>
      </c>
      <c r="I109" s="4" t="s">
        <v>1239</v>
      </c>
      <c r="J109" s="4" t="s">
        <v>103</v>
      </c>
      <c r="K109" s="4" t="s">
        <v>1239</v>
      </c>
      <c r="L109" s="4">
        <v>1</v>
      </c>
      <c r="Y109" s="4">
        <v>173</v>
      </c>
      <c r="Z109" s="2">
        <v>82</v>
      </c>
      <c r="AA109" s="4">
        <v>4.7123889923095703</v>
      </c>
      <c r="AB109" s="2" t="s">
        <v>2857</v>
      </c>
      <c r="AC109" s="2" t="s">
        <v>263</v>
      </c>
      <c r="AD109" s="2" t="s">
        <v>263</v>
      </c>
      <c r="AE109" s="2" t="s">
        <v>3051</v>
      </c>
      <c r="AF109" s="4">
        <v>30000</v>
      </c>
      <c r="AG109" s="2" t="s">
        <v>120</v>
      </c>
      <c r="AH109" s="2" t="s">
        <v>143</v>
      </c>
      <c r="AJ109" s="2" t="s">
        <v>60</v>
      </c>
      <c r="AK109" s="2" t="s">
        <v>60</v>
      </c>
      <c r="AL109" s="2" t="s">
        <v>60</v>
      </c>
      <c r="AM109" s="2" t="s">
        <v>60</v>
      </c>
      <c r="AN109" s="2" t="s">
        <v>60</v>
      </c>
      <c r="AO109" s="2" t="s">
        <v>60</v>
      </c>
      <c r="AP109" s="2" t="s">
        <v>60</v>
      </c>
      <c r="AQ109" s="4">
        <v>0</v>
      </c>
      <c r="AR109" s="4">
        <v>0</v>
      </c>
      <c r="AS109" s="4">
        <v>50</v>
      </c>
      <c r="AT109" s="4">
        <v>50</v>
      </c>
      <c r="AU109" s="4">
        <v>100</v>
      </c>
      <c r="AV109" s="4">
        <v>100</v>
      </c>
      <c r="AW109" s="2" t="s">
        <v>3248</v>
      </c>
      <c r="AX109" s="2" t="s">
        <v>60</v>
      </c>
      <c r="AY109" s="2" t="s">
        <v>60</v>
      </c>
      <c r="BA109" s="2" t="s">
        <v>60</v>
      </c>
      <c r="BB109" s="2" t="s">
        <v>60</v>
      </c>
      <c r="BC109" s="2" t="s">
        <v>60</v>
      </c>
      <c r="BD109" s="2" t="s">
        <v>60</v>
      </c>
      <c r="BM109" s="2" t="s">
        <v>213</v>
      </c>
    </row>
    <row r="110" spans="2:65" x14ac:dyDescent="0.15">
      <c r="B110" s="2" t="s">
        <v>486</v>
      </c>
      <c r="C110" s="2" t="s">
        <v>280</v>
      </c>
      <c r="D110" s="4">
        <v>0</v>
      </c>
      <c r="F110" s="4">
        <v>3</v>
      </c>
      <c r="G110" s="2" t="s">
        <v>2849</v>
      </c>
      <c r="H110" s="4" t="s">
        <v>24</v>
      </c>
      <c r="I110" s="4" t="s">
        <v>13</v>
      </c>
      <c r="J110" s="4" t="s">
        <v>24</v>
      </c>
      <c r="K110" s="4" t="s">
        <v>13</v>
      </c>
      <c r="L110" s="4">
        <v>1</v>
      </c>
      <c r="Y110" s="4">
        <v>194</v>
      </c>
      <c r="Z110" s="2">
        <v>106</v>
      </c>
      <c r="AA110" s="5">
        <v>3.1415927410125701</v>
      </c>
      <c r="AB110" s="2" t="s">
        <v>2857</v>
      </c>
      <c r="AC110" s="2" t="s">
        <v>571</v>
      </c>
      <c r="AD110" s="2" t="s">
        <v>571</v>
      </c>
      <c r="AE110" s="2" t="s">
        <v>3051</v>
      </c>
      <c r="AF110" s="4">
        <v>30000</v>
      </c>
      <c r="AG110" s="2" t="s">
        <v>950</v>
      </c>
      <c r="AH110" s="2" t="s">
        <v>263</v>
      </c>
      <c r="AJ110" s="2" t="s">
        <v>60</v>
      </c>
      <c r="AK110" s="2" t="s">
        <v>60</v>
      </c>
      <c r="AL110" s="2" t="s">
        <v>60</v>
      </c>
      <c r="AM110" s="2" t="s">
        <v>60</v>
      </c>
      <c r="AN110" s="2" t="s">
        <v>60</v>
      </c>
      <c r="AO110" s="2" t="s">
        <v>60</v>
      </c>
      <c r="AP110" s="2" t="s">
        <v>60</v>
      </c>
      <c r="AQ110" s="4">
        <v>0</v>
      </c>
      <c r="AR110" s="4">
        <v>0</v>
      </c>
      <c r="AS110" s="4">
        <v>50</v>
      </c>
      <c r="AT110" s="4">
        <v>50</v>
      </c>
      <c r="AU110" s="4">
        <v>100</v>
      </c>
      <c r="AV110" s="4">
        <v>100</v>
      </c>
      <c r="AW110" s="2" t="s">
        <v>3248</v>
      </c>
      <c r="AX110" s="2" t="s">
        <v>60</v>
      </c>
      <c r="AY110" s="2" t="s">
        <v>60</v>
      </c>
      <c r="BA110" s="2" t="s">
        <v>60</v>
      </c>
      <c r="BB110" s="2" t="s">
        <v>60</v>
      </c>
      <c r="BC110" s="2" t="s">
        <v>60</v>
      </c>
      <c r="BD110" s="2" t="s">
        <v>60</v>
      </c>
      <c r="BM110" s="2" t="s">
        <v>213</v>
      </c>
    </row>
    <row r="111" spans="2:65" x14ac:dyDescent="0.15">
      <c r="B111" s="2" t="s">
        <v>93</v>
      </c>
      <c r="C111" s="2" t="s">
        <v>282</v>
      </c>
      <c r="D111" s="4">
        <v>0</v>
      </c>
      <c r="F111" s="4">
        <v>3</v>
      </c>
      <c r="G111" s="2" t="s">
        <v>2849</v>
      </c>
      <c r="H111" s="4" t="s">
        <v>24</v>
      </c>
      <c r="I111" s="4" t="s">
        <v>13</v>
      </c>
      <c r="J111" s="4" t="s">
        <v>24</v>
      </c>
      <c r="K111" s="4" t="s">
        <v>13</v>
      </c>
      <c r="L111" s="4">
        <v>1</v>
      </c>
      <c r="Y111" s="4">
        <v>201</v>
      </c>
      <c r="Z111" s="2">
        <v>115</v>
      </c>
      <c r="AA111" s="5">
        <v>3.1415927410125701</v>
      </c>
      <c r="AB111" s="2" t="s">
        <v>2857</v>
      </c>
      <c r="AC111" s="2" t="s">
        <v>263</v>
      </c>
      <c r="AD111" s="2" t="s">
        <v>263</v>
      </c>
      <c r="AE111" s="2" t="s">
        <v>3051</v>
      </c>
      <c r="AF111" s="4">
        <v>30000</v>
      </c>
      <c r="AG111" s="2" t="s">
        <v>120</v>
      </c>
      <c r="AH111" s="2" t="s">
        <v>143</v>
      </c>
      <c r="AJ111" s="2" t="s">
        <v>60</v>
      </c>
      <c r="AK111" s="2" t="s">
        <v>60</v>
      </c>
      <c r="AL111" s="2" t="s">
        <v>60</v>
      </c>
      <c r="AM111" s="2" t="s">
        <v>60</v>
      </c>
      <c r="AN111" s="2" t="s">
        <v>60</v>
      </c>
      <c r="AO111" s="2" t="s">
        <v>60</v>
      </c>
      <c r="AP111" s="2" t="s">
        <v>60</v>
      </c>
      <c r="AQ111" s="4">
        <v>0</v>
      </c>
      <c r="AR111" s="4">
        <v>0</v>
      </c>
      <c r="AS111" s="4">
        <v>50</v>
      </c>
      <c r="AT111" s="4">
        <v>50</v>
      </c>
      <c r="AU111" s="4">
        <v>100</v>
      </c>
      <c r="AV111" s="4">
        <v>100</v>
      </c>
      <c r="AW111" s="2" t="s">
        <v>3248</v>
      </c>
      <c r="AX111" s="2" t="s">
        <v>60</v>
      </c>
      <c r="AY111" s="2" t="s">
        <v>60</v>
      </c>
      <c r="BA111" s="2" t="s">
        <v>60</v>
      </c>
      <c r="BB111" s="2" t="s">
        <v>60</v>
      </c>
      <c r="BC111" s="2" t="s">
        <v>60</v>
      </c>
      <c r="BD111" s="2" t="s">
        <v>60</v>
      </c>
      <c r="BM111" s="2" t="s">
        <v>213</v>
      </c>
    </row>
    <row r="112" spans="2:65" x14ac:dyDescent="0.15">
      <c r="B112" s="2" t="s">
        <v>269</v>
      </c>
      <c r="C112" s="2" t="s">
        <v>285</v>
      </c>
      <c r="D112" s="4">
        <v>0</v>
      </c>
      <c r="F112" s="4">
        <v>3</v>
      </c>
      <c r="G112" s="2" t="s">
        <v>2849</v>
      </c>
      <c r="H112" s="4" t="s">
        <v>15</v>
      </c>
      <c r="I112" s="4" t="s">
        <v>164</v>
      </c>
      <c r="J112" s="4" t="s">
        <v>15</v>
      </c>
      <c r="K112" s="4" t="s">
        <v>164</v>
      </c>
      <c r="L112" s="4">
        <v>1</v>
      </c>
      <c r="Y112" s="4">
        <v>176</v>
      </c>
      <c r="Z112" s="2">
        <v>138</v>
      </c>
      <c r="AA112" s="4">
        <v>0</v>
      </c>
      <c r="AB112" s="2" t="s">
        <v>2857</v>
      </c>
      <c r="AC112" s="2" t="s">
        <v>263</v>
      </c>
      <c r="AD112" s="2" t="s">
        <v>263</v>
      </c>
      <c r="AE112" s="2" t="s">
        <v>3051</v>
      </c>
      <c r="AF112" s="4">
        <v>30000</v>
      </c>
      <c r="AG112" s="2" t="s">
        <v>120</v>
      </c>
      <c r="AH112" s="2" t="s">
        <v>143</v>
      </c>
      <c r="AJ112" s="2" t="s">
        <v>60</v>
      </c>
      <c r="AK112" s="2" t="s">
        <v>60</v>
      </c>
      <c r="AL112" s="2" t="s">
        <v>60</v>
      </c>
      <c r="AM112" s="2" t="s">
        <v>60</v>
      </c>
      <c r="AN112" s="2" t="s">
        <v>60</v>
      </c>
      <c r="AO112" s="2" t="s">
        <v>60</v>
      </c>
      <c r="AP112" s="2" t="s">
        <v>60</v>
      </c>
      <c r="AQ112" s="4">
        <v>0</v>
      </c>
      <c r="AR112" s="4">
        <v>0</v>
      </c>
      <c r="AS112" s="4">
        <v>50</v>
      </c>
      <c r="AT112" s="4">
        <v>50</v>
      </c>
      <c r="AU112" s="4">
        <v>100</v>
      </c>
      <c r="AV112" s="4">
        <v>100</v>
      </c>
      <c r="AW112" s="2" t="s">
        <v>3248</v>
      </c>
      <c r="AX112" s="2" t="s">
        <v>60</v>
      </c>
      <c r="AY112" s="2" t="s">
        <v>60</v>
      </c>
      <c r="BA112" s="2" t="s">
        <v>60</v>
      </c>
      <c r="BB112" s="2" t="s">
        <v>60</v>
      </c>
      <c r="BC112" s="2" t="s">
        <v>60</v>
      </c>
      <c r="BD112" s="2" t="s">
        <v>60</v>
      </c>
      <c r="BM112" s="2" t="s">
        <v>213</v>
      </c>
    </row>
    <row r="113" spans="2:65" x14ac:dyDescent="0.15">
      <c r="B113" s="2" t="s">
        <v>423</v>
      </c>
      <c r="C113" s="2" t="s">
        <v>286</v>
      </c>
      <c r="D113" s="4">
        <v>0</v>
      </c>
      <c r="F113" s="4">
        <v>3</v>
      </c>
      <c r="G113" s="2" t="s">
        <v>2849</v>
      </c>
      <c r="H113" s="4" t="s">
        <v>25</v>
      </c>
      <c r="I113" s="4" t="s">
        <v>28</v>
      </c>
      <c r="J113" s="4" t="s">
        <v>25</v>
      </c>
      <c r="K113" s="4" t="s">
        <v>28</v>
      </c>
      <c r="L113" s="4">
        <v>1</v>
      </c>
      <c r="Y113" s="4">
        <v>151</v>
      </c>
      <c r="Z113" s="2">
        <v>94</v>
      </c>
      <c r="AA113" s="4">
        <v>0</v>
      </c>
      <c r="AB113" s="2" t="s">
        <v>2857</v>
      </c>
      <c r="AC113" s="2" t="s">
        <v>263</v>
      </c>
      <c r="AD113" s="2" t="s">
        <v>263</v>
      </c>
      <c r="AE113" s="2" t="s">
        <v>3051</v>
      </c>
      <c r="AF113" s="4">
        <v>30000</v>
      </c>
      <c r="AG113" s="2" t="s">
        <v>120</v>
      </c>
      <c r="AH113" s="2" t="s">
        <v>143</v>
      </c>
      <c r="AJ113" s="2" t="s">
        <v>60</v>
      </c>
      <c r="AK113" s="2" t="s">
        <v>60</v>
      </c>
      <c r="AL113" s="2" t="s">
        <v>60</v>
      </c>
      <c r="AM113" s="2" t="s">
        <v>60</v>
      </c>
      <c r="AN113" s="2" t="s">
        <v>60</v>
      </c>
      <c r="AO113" s="2" t="s">
        <v>60</v>
      </c>
      <c r="AP113" s="2" t="s">
        <v>60</v>
      </c>
      <c r="AQ113" s="4">
        <v>0</v>
      </c>
      <c r="AR113" s="4">
        <v>0</v>
      </c>
      <c r="AS113" s="4">
        <v>50</v>
      </c>
      <c r="AT113" s="4">
        <v>50</v>
      </c>
      <c r="AU113" s="4">
        <v>100</v>
      </c>
      <c r="AV113" s="4">
        <v>100</v>
      </c>
      <c r="AW113" s="2" t="s">
        <v>3248</v>
      </c>
      <c r="AX113" s="2" t="s">
        <v>60</v>
      </c>
      <c r="AY113" s="2" t="s">
        <v>60</v>
      </c>
      <c r="BA113" s="2" t="s">
        <v>60</v>
      </c>
      <c r="BB113" s="2" t="s">
        <v>60</v>
      </c>
      <c r="BC113" s="2" t="s">
        <v>60</v>
      </c>
      <c r="BD113" s="2" t="s">
        <v>60</v>
      </c>
      <c r="BM113" s="2" t="s">
        <v>213</v>
      </c>
    </row>
    <row r="114" spans="2:65" x14ac:dyDescent="0.15">
      <c r="B114" s="2" t="s">
        <v>382</v>
      </c>
      <c r="C114" s="2" t="s">
        <v>288</v>
      </c>
      <c r="D114" s="4">
        <v>0</v>
      </c>
      <c r="F114" s="4">
        <v>3</v>
      </c>
      <c r="G114" s="2" t="s">
        <v>2849</v>
      </c>
      <c r="H114" s="4" t="s">
        <v>104</v>
      </c>
      <c r="I114" s="4" t="s">
        <v>2497</v>
      </c>
      <c r="J114" s="4" t="s">
        <v>104</v>
      </c>
      <c r="K114" s="4" t="s">
        <v>2497</v>
      </c>
      <c r="L114" s="4">
        <v>1</v>
      </c>
      <c r="Y114" s="4">
        <v>129</v>
      </c>
      <c r="Z114" s="2">
        <v>100</v>
      </c>
      <c r="AA114" s="4">
        <v>0</v>
      </c>
      <c r="AB114" s="2" t="s">
        <v>2857</v>
      </c>
      <c r="AC114" s="2" t="s">
        <v>263</v>
      </c>
      <c r="AD114" s="2" t="s">
        <v>263</v>
      </c>
      <c r="AE114" s="2" t="s">
        <v>3051</v>
      </c>
      <c r="AF114" s="4">
        <v>30000</v>
      </c>
      <c r="AG114" s="2" t="s">
        <v>120</v>
      </c>
      <c r="AH114" s="2" t="s">
        <v>143</v>
      </c>
      <c r="AJ114" s="2" t="s">
        <v>60</v>
      </c>
      <c r="AK114" s="2" t="s">
        <v>60</v>
      </c>
      <c r="AL114" s="2" t="s">
        <v>60</v>
      </c>
      <c r="AM114" s="2" t="s">
        <v>60</v>
      </c>
      <c r="AN114" s="2" t="s">
        <v>60</v>
      </c>
      <c r="AO114" s="2" t="s">
        <v>60</v>
      </c>
      <c r="AP114" s="2" t="s">
        <v>60</v>
      </c>
      <c r="AQ114" s="4">
        <v>0</v>
      </c>
      <c r="AR114" s="4">
        <v>0</v>
      </c>
      <c r="AS114" s="4">
        <v>50</v>
      </c>
      <c r="AT114" s="4">
        <v>50</v>
      </c>
      <c r="AU114" s="4">
        <v>100</v>
      </c>
      <c r="AV114" s="4">
        <v>100</v>
      </c>
      <c r="AW114" s="2" t="s">
        <v>3248</v>
      </c>
      <c r="AX114" s="2" t="s">
        <v>60</v>
      </c>
      <c r="AY114" s="2" t="s">
        <v>60</v>
      </c>
      <c r="BA114" s="2" t="s">
        <v>60</v>
      </c>
      <c r="BB114" s="2" t="s">
        <v>60</v>
      </c>
      <c r="BC114" s="2" t="s">
        <v>60</v>
      </c>
      <c r="BD114" s="2" t="s">
        <v>60</v>
      </c>
      <c r="BM114" s="2" t="s">
        <v>213</v>
      </c>
    </row>
    <row r="115" spans="2:65" x14ac:dyDescent="0.15">
      <c r="B115" s="2" t="s">
        <v>444</v>
      </c>
      <c r="C115" s="2" t="s">
        <v>289</v>
      </c>
      <c r="D115" s="4">
        <v>0</v>
      </c>
      <c r="F115" s="4">
        <v>3</v>
      </c>
      <c r="G115" s="2" t="s">
        <v>2849</v>
      </c>
      <c r="H115" s="4" t="s">
        <v>18</v>
      </c>
      <c r="I115" s="4" t="s">
        <v>1349</v>
      </c>
      <c r="J115" s="4" t="s">
        <v>18</v>
      </c>
      <c r="K115" s="4" t="s">
        <v>1349</v>
      </c>
      <c r="L115" s="4">
        <v>1</v>
      </c>
      <c r="Y115" s="4">
        <v>107</v>
      </c>
      <c r="Z115" s="2">
        <v>98</v>
      </c>
      <c r="AA115" s="4">
        <v>0</v>
      </c>
      <c r="AB115" s="2" t="s">
        <v>2857</v>
      </c>
      <c r="AC115" s="2" t="s">
        <v>263</v>
      </c>
      <c r="AD115" s="2" t="s">
        <v>263</v>
      </c>
      <c r="AE115" s="2" t="s">
        <v>3051</v>
      </c>
      <c r="AF115" s="4">
        <v>30000</v>
      </c>
      <c r="AG115" s="2" t="s">
        <v>120</v>
      </c>
      <c r="AH115" s="2" t="s">
        <v>143</v>
      </c>
      <c r="AJ115" s="2" t="s">
        <v>60</v>
      </c>
      <c r="AK115" s="2" t="s">
        <v>60</v>
      </c>
      <c r="AL115" s="2" t="s">
        <v>60</v>
      </c>
      <c r="AM115" s="2" t="s">
        <v>60</v>
      </c>
      <c r="AN115" s="2" t="s">
        <v>60</v>
      </c>
      <c r="AO115" s="2" t="s">
        <v>60</v>
      </c>
      <c r="AP115" s="2" t="s">
        <v>60</v>
      </c>
      <c r="AQ115" s="4">
        <v>0</v>
      </c>
      <c r="AR115" s="4">
        <v>0</v>
      </c>
      <c r="AS115" s="4">
        <v>50</v>
      </c>
      <c r="AT115" s="4">
        <v>50</v>
      </c>
      <c r="AU115" s="4">
        <v>100</v>
      </c>
      <c r="AV115" s="4">
        <v>100</v>
      </c>
      <c r="AW115" s="2" t="s">
        <v>3248</v>
      </c>
      <c r="AX115" s="2" t="s">
        <v>60</v>
      </c>
      <c r="AY115" s="2" t="s">
        <v>60</v>
      </c>
      <c r="BA115" s="2" t="s">
        <v>60</v>
      </c>
      <c r="BB115" s="2" t="s">
        <v>60</v>
      </c>
      <c r="BC115" s="2" t="s">
        <v>60</v>
      </c>
      <c r="BD115" s="2" t="s">
        <v>60</v>
      </c>
      <c r="BM115" s="2" t="s">
        <v>213</v>
      </c>
    </row>
    <row r="116" spans="2:65" x14ac:dyDescent="0.15">
      <c r="B116" s="2" t="s">
        <v>257</v>
      </c>
      <c r="C116" s="2" t="s">
        <v>290</v>
      </c>
      <c r="D116" s="4">
        <v>0</v>
      </c>
      <c r="F116" s="4">
        <v>3</v>
      </c>
      <c r="G116" s="2" t="s">
        <v>2849</v>
      </c>
      <c r="H116" s="4" t="s">
        <v>18</v>
      </c>
      <c r="I116" s="4" t="s">
        <v>1349</v>
      </c>
      <c r="J116" s="4" t="s">
        <v>18</v>
      </c>
      <c r="K116" s="4" t="s">
        <v>1349</v>
      </c>
      <c r="L116" s="4">
        <v>1</v>
      </c>
      <c r="Y116" s="4">
        <v>93</v>
      </c>
      <c r="Z116" s="2">
        <v>93</v>
      </c>
      <c r="AA116" s="4">
        <v>4.7123889923095703</v>
      </c>
      <c r="AB116" s="2" t="s">
        <v>2857</v>
      </c>
      <c r="AC116" s="2" t="s">
        <v>263</v>
      </c>
      <c r="AD116" s="2" t="s">
        <v>263</v>
      </c>
      <c r="AE116" s="2" t="s">
        <v>3051</v>
      </c>
      <c r="AF116" s="4">
        <v>30000</v>
      </c>
      <c r="AG116" s="2" t="s">
        <v>120</v>
      </c>
      <c r="AH116" s="2" t="s">
        <v>143</v>
      </c>
      <c r="AJ116" s="2" t="s">
        <v>60</v>
      </c>
      <c r="AK116" s="2" t="s">
        <v>60</v>
      </c>
      <c r="AL116" s="2" t="s">
        <v>60</v>
      </c>
      <c r="AM116" s="2" t="s">
        <v>60</v>
      </c>
      <c r="AN116" s="2" t="s">
        <v>60</v>
      </c>
      <c r="AO116" s="2" t="s">
        <v>60</v>
      </c>
      <c r="AP116" s="2" t="s">
        <v>60</v>
      </c>
      <c r="AQ116" s="4">
        <v>0</v>
      </c>
      <c r="AR116" s="4">
        <v>0</v>
      </c>
      <c r="AS116" s="4">
        <v>50</v>
      </c>
      <c r="AT116" s="4">
        <v>50</v>
      </c>
      <c r="AU116" s="4">
        <v>100</v>
      </c>
      <c r="AV116" s="4">
        <v>100</v>
      </c>
      <c r="AW116" s="2" t="s">
        <v>3248</v>
      </c>
      <c r="AX116" s="2" t="s">
        <v>60</v>
      </c>
      <c r="AY116" s="2" t="s">
        <v>60</v>
      </c>
      <c r="BA116" s="2" t="s">
        <v>60</v>
      </c>
      <c r="BB116" s="2" t="s">
        <v>60</v>
      </c>
      <c r="BC116" s="2" t="s">
        <v>60</v>
      </c>
      <c r="BD116" s="2" t="s">
        <v>60</v>
      </c>
      <c r="BM116" s="2" t="s">
        <v>213</v>
      </c>
    </row>
    <row r="117" spans="2:65" x14ac:dyDescent="0.15">
      <c r="B117" s="2" t="s">
        <v>404</v>
      </c>
      <c r="C117" s="2" t="s">
        <v>3077</v>
      </c>
      <c r="D117" s="4">
        <v>0</v>
      </c>
      <c r="F117" s="4">
        <v>3</v>
      </c>
      <c r="G117" s="2" t="s">
        <v>2849</v>
      </c>
      <c r="H117" s="4" t="s">
        <v>208</v>
      </c>
      <c r="I117" s="4" t="s">
        <v>895</v>
      </c>
      <c r="J117" s="4" t="s">
        <v>208</v>
      </c>
      <c r="K117" s="4" t="s">
        <v>895</v>
      </c>
      <c r="L117" s="4">
        <v>1</v>
      </c>
      <c r="Y117" s="4">
        <v>92</v>
      </c>
      <c r="Z117" s="2">
        <v>102</v>
      </c>
      <c r="AA117" s="4">
        <v>0</v>
      </c>
      <c r="AB117" s="2" t="s">
        <v>2857</v>
      </c>
      <c r="AC117" s="2" t="s">
        <v>571</v>
      </c>
      <c r="AD117" s="2" t="s">
        <v>571</v>
      </c>
      <c r="AE117" s="2" t="s">
        <v>3051</v>
      </c>
      <c r="AF117" s="4">
        <v>30000</v>
      </c>
      <c r="AG117" s="2" t="s">
        <v>950</v>
      </c>
      <c r="AH117" s="2" t="s">
        <v>263</v>
      </c>
      <c r="AJ117" s="2" t="s">
        <v>60</v>
      </c>
      <c r="AK117" s="2" t="s">
        <v>60</v>
      </c>
      <c r="AL117" s="2" t="s">
        <v>60</v>
      </c>
      <c r="AM117" s="2" t="s">
        <v>60</v>
      </c>
      <c r="AN117" s="2" t="s">
        <v>60</v>
      </c>
      <c r="AO117" s="2" t="s">
        <v>60</v>
      </c>
      <c r="AP117" s="2" t="s">
        <v>60</v>
      </c>
      <c r="AQ117" s="4">
        <v>0</v>
      </c>
      <c r="AR117" s="4">
        <v>0</v>
      </c>
      <c r="AS117" s="4">
        <v>50</v>
      </c>
      <c r="AT117" s="4">
        <v>50</v>
      </c>
      <c r="AU117" s="4">
        <v>100</v>
      </c>
      <c r="AV117" s="4">
        <v>100</v>
      </c>
      <c r="AW117" s="2" t="s">
        <v>3248</v>
      </c>
      <c r="AX117" s="2" t="s">
        <v>60</v>
      </c>
      <c r="AY117" s="2" t="s">
        <v>60</v>
      </c>
      <c r="BA117" s="2" t="s">
        <v>60</v>
      </c>
      <c r="BB117" s="2" t="s">
        <v>60</v>
      </c>
      <c r="BC117" s="2" t="s">
        <v>60</v>
      </c>
      <c r="BD117" s="2" t="s">
        <v>60</v>
      </c>
      <c r="BM117" s="2" t="s">
        <v>213</v>
      </c>
    </row>
    <row r="118" spans="2:65" x14ac:dyDescent="0.15">
      <c r="B118" s="2" t="s">
        <v>445</v>
      </c>
      <c r="C118" s="2" t="s">
        <v>291</v>
      </c>
      <c r="D118" s="4">
        <v>0</v>
      </c>
      <c r="F118" s="4">
        <v>3</v>
      </c>
      <c r="G118" s="2" t="s">
        <v>2849</v>
      </c>
      <c r="H118" s="4" t="s">
        <v>208</v>
      </c>
      <c r="I118" s="4" t="s">
        <v>895</v>
      </c>
      <c r="J118" s="4" t="s">
        <v>208</v>
      </c>
      <c r="K118" s="4" t="s">
        <v>895</v>
      </c>
      <c r="L118" s="4">
        <v>1</v>
      </c>
      <c r="Y118" s="4">
        <v>87</v>
      </c>
      <c r="Z118" s="2">
        <v>83</v>
      </c>
      <c r="AA118" s="4">
        <v>1.57079637050629</v>
      </c>
      <c r="AB118" s="2" t="s">
        <v>2857</v>
      </c>
      <c r="AC118" s="2" t="s">
        <v>263</v>
      </c>
      <c r="AD118" s="2" t="s">
        <v>263</v>
      </c>
      <c r="AE118" s="2" t="s">
        <v>3051</v>
      </c>
      <c r="AF118" s="4">
        <v>30000</v>
      </c>
      <c r="AG118" s="2" t="s">
        <v>120</v>
      </c>
      <c r="AH118" s="2" t="s">
        <v>143</v>
      </c>
      <c r="AJ118" s="2" t="s">
        <v>60</v>
      </c>
      <c r="AK118" s="2" t="s">
        <v>60</v>
      </c>
      <c r="AL118" s="2" t="s">
        <v>60</v>
      </c>
      <c r="AM118" s="2" t="s">
        <v>60</v>
      </c>
      <c r="AN118" s="2" t="s">
        <v>60</v>
      </c>
      <c r="AO118" s="2" t="s">
        <v>60</v>
      </c>
      <c r="AP118" s="2" t="s">
        <v>60</v>
      </c>
      <c r="AQ118" s="4">
        <v>0</v>
      </c>
      <c r="AR118" s="4">
        <v>0</v>
      </c>
      <c r="AS118" s="4">
        <v>50</v>
      </c>
      <c r="AT118" s="4">
        <v>50</v>
      </c>
      <c r="AU118" s="4">
        <v>100</v>
      </c>
      <c r="AV118" s="4">
        <v>100</v>
      </c>
      <c r="AW118" s="2" t="s">
        <v>3248</v>
      </c>
      <c r="AX118" s="2" t="s">
        <v>60</v>
      </c>
      <c r="AY118" s="2" t="s">
        <v>60</v>
      </c>
      <c r="BA118" s="2" t="s">
        <v>60</v>
      </c>
      <c r="BB118" s="2" t="s">
        <v>60</v>
      </c>
      <c r="BC118" s="2" t="s">
        <v>60</v>
      </c>
      <c r="BD118" s="2" t="s">
        <v>60</v>
      </c>
      <c r="BM118" s="2" t="s">
        <v>213</v>
      </c>
    </row>
    <row r="119" spans="2:65" x14ac:dyDescent="0.15">
      <c r="B119" s="2" t="s">
        <v>321</v>
      </c>
      <c r="C119" s="2" t="s">
        <v>292</v>
      </c>
      <c r="D119" s="4">
        <v>0</v>
      </c>
      <c r="F119" s="4">
        <v>3</v>
      </c>
      <c r="G119" s="2" t="s">
        <v>2849</v>
      </c>
      <c r="H119" s="4">
        <v>0</v>
      </c>
      <c r="J119" s="4">
        <v>0</v>
      </c>
      <c r="L119" s="4">
        <v>1</v>
      </c>
      <c r="Y119" s="4">
        <v>87</v>
      </c>
      <c r="Z119" s="2">
        <v>133</v>
      </c>
      <c r="AA119" s="5">
        <v>3.1415927410125701</v>
      </c>
      <c r="AB119" s="2" t="s">
        <v>2857</v>
      </c>
      <c r="AC119" s="2" t="s">
        <v>60</v>
      </c>
      <c r="AD119" s="2" t="s">
        <v>60</v>
      </c>
      <c r="AE119" s="2" t="s">
        <v>3051</v>
      </c>
      <c r="AF119" s="4">
        <v>30000</v>
      </c>
      <c r="AG119" s="2" t="s">
        <v>60</v>
      </c>
      <c r="AH119" s="2" t="s">
        <v>60</v>
      </c>
      <c r="AJ119" s="2" t="s">
        <v>60</v>
      </c>
      <c r="AK119" s="2" t="s">
        <v>60</v>
      </c>
      <c r="AL119" s="2" t="s">
        <v>60</v>
      </c>
      <c r="AM119" s="2" t="s">
        <v>60</v>
      </c>
      <c r="AN119" s="2" t="s">
        <v>60</v>
      </c>
      <c r="AO119" s="2" t="s">
        <v>60</v>
      </c>
      <c r="AP119" s="2" t="s">
        <v>60</v>
      </c>
      <c r="AQ119" s="4">
        <v>0</v>
      </c>
      <c r="AR119" s="4">
        <v>0</v>
      </c>
      <c r="AS119" s="4">
        <v>50</v>
      </c>
      <c r="AT119" s="4">
        <v>50</v>
      </c>
      <c r="AU119" s="4">
        <v>100</v>
      </c>
      <c r="AV119" s="4">
        <v>100</v>
      </c>
      <c r="AW119" s="2" t="s">
        <v>3248</v>
      </c>
      <c r="AX119" s="2" t="s">
        <v>60</v>
      </c>
      <c r="AY119" s="2" t="s">
        <v>60</v>
      </c>
      <c r="BA119" s="2" t="s">
        <v>60</v>
      </c>
      <c r="BB119" s="2" t="s">
        <v>60</v>
      </c>
      <c r="BC119" s="2" t="s">
        <v>60</v>
      </c>
      <c r="BD119" s="2" t="s">
        <v>60</v>
      </c>
      <c r="BM119" s="2" t="s">
        <v>213</v>
      </c>
    </row>
    <row r="120" spans="2:65" x14ac:dyDescent="0.15">
      <c r="B120" s="2" t="s">
        <v>454</v>
      </c>
      <c r="C120" s="2" t="s">
        <v>293</v>
      </c>
      <c r="D120" s="4">
        <v>0</v>
      </c>
      <c r="F120" s="4">
        <v>3</v>
      </c>
      <c r="G120" s="2" t="s">
        <v>2849</v>
      </c>
      <c r="H120" s="4" t="s">
        <v>193</v>
      </c>
      <c r="I120" s="4" t="s">
        <v>2517</v>
      </c>
      <c r="J120" s="4" t="s">
        <v>193</v>
      </c>
      <c r="K120" s="4" t="s">
        <v>2517</v>
      </c>
      <c r="L120" s="4">
        <v>1</v>
      </c>
      <c r="Y120" s="4">
        <v>191</v>
      </c>
      <c r="Z120" s="2">
        <v>137</v>
      </c>
      <c r="AA120" s="4">
        <v>4.7123889923095703</v>
      </c>
      <c r="AB120" s="2" t="s">
        <v>2857</v>
      </c>
      <c r="AC120" s="2" t="s">
        <v>263</v>
      </c>
      <c r="AD120" s="2" t="s">
        <v>263</v>
      </c>
      <c r="AE120" s="2" t="s">
        <v>3051</v>
      </c>
      <c r="AF120" s="4">
        <v>30000</v>
      </c>
      <c r="AG120" s="2" t="s">
        <v>120</v>
      </c>
      <c r="AH120" s="2" t="s">
        <v>143</v>
      </c>
      <c r="AJ120" s="2" t="s">
        <v>60</v>
      </c>
      <c r="AK120" s="2" t="s">
        <v>60</v>
      </c>
      <c r="AL120" s="2" t="s">
        <v>60</v>
      </c>
      <c r="AM120" s="2" t="s">
        <v>60</v>
      </c>
      <c r="AN120" s="2" t="s">
        <v>60</v>
      </c>
      <c r="AO120" s="2" t="s">
        <v>60</v>
      </c>
      <c r="AP120" s="2" t="s">
        <v>60</v>
      </c>
      <c r="AQ120" s="4">
        <v>0</v>
      </c>
      <c r="AR120" s="4">
        <v>0</v>
      </c>
      <c r="AS120" s="4">
        <v>50</v>
      </c>
      <c r="AT120" s="4">
        <v>50</v>
      </c>
      <c r="AU120" s="4">
        <v>100</v>
      </c>
      <c r="AV120" s="4">
        <v>100</v>
      </c>
      <c r="AW120" s="2" t="s">
        <v>3248</v>
      </c>
      <c r="AX120" s="2" t="s">
        <v>60</v>
      </c>
      <c r="AY120" s="2" t="s">
        <v>60</v>
      </c>
      <c r="BA120" s="2" t="s">
        <v>60</v>
      </c>
      <c r="BB120" s="2" t="s">
        <v>60</v>
      </c>
      <c r="BC120" s="2" t="s">
        <v>60</v>
      </c>
      <c r="BD120" s="2" t="s">
        <v>60</v>
      </c>
      <c r="BM120" s="2" t="s">
        <v>213</v>
      </c>
    </row>
    <row r="121" spans="2:65" x14ac:dyDescent="0.15">
      <c r="B121" s="2" t="s">
        <v>153</v>
      </c>
      <c r="C121" s="2" t="s">
        <v>295</v>
      </c>
      <c r="D121" s="4">
        <v>0</v>
      </c>
      <c r="F121" s="4">
        <v>3</v>
      </c>
      <c r="G121" s="2" t="s">
        <v>2849</v>
      </c>
      <c r="H121" s="4" t="s">
        <v>193</v>
      </c>
      <c r="I121" s="4" t="s">
        <v>2517</v>
      </c>
      <c r="J121" s="4" t="s">
        <v>193</v>
      </c>
      <c r="K121" s="4" t="s">
        <v>2517</v>
      </c>
      <c r="L121" s="4">
        <v>1</v>
      </c>
      <c r="Y121" s="4">
        <v>189</v>
      </c>
      <c r="Z121" s="2">
        <v>150</v>
      </c>
      <c r="AA121" s="4">
        <v>0</v>
      </c>
      <c r="AB121" s="2" t="s">
        <v>2857</v>
      </c>
      <c r="AC121" s="2" t="s">
        <v>263</v>
      </c>
      <c r="AD121" s="2" t="s">
        <v>263</v>
      </c>
      <c r="AE121" s="2" t="s">
        <v>3051</v>
      </c>
      <c r="AF121" s="4">
        <v>30000</v>
      </c>
      <c r="AG121" s="2" t="s">
        <v>120</v>
      </c>
      <c r="AH121" s="2" t="s">
        <v>143</v>
      </c>
      <c r="AJ121" s="2" t="s">
        <v>60</v>
      </c>
      <c r="AK121" s="2" t="s">
        <v>60</v>
      </c>
      <c r="AL121" s="2" t="s">
        <v>60</v>
      </c>
      <c r="AM121" s="2" t="s">
        <v>60</v>
      </c>
      <c r="AN121" s="2" t="s">
        <v>60</v>
      </c>
      <c r="AO121" s="2" t="s">
        <v>60</v>
      </c>
      <c r="AP121" s="2" t="s">
        <v>60</v>
      </c>
      <c r="AQ121" s="4">
        <v>0</v>
      </c>
      <c r="AR121" s="4">
        <v>0</v>
      </c>
      <c r="AS121" s="4">
        <v>50</v>
      </c>
      <c r="AT121" s="4">
        <v>50</v>
      </c>
      <c r="AU121" s="4">
        <v>100</v>
      </c>
      <c r="AV121" s="4">
        <v>100</v>
      </c>
      <c r="AW121" s="2" t="s">
        <v>3248</v>
      </c>
      <c r="AX121" s="2" t="s">
        <v>60</v>
      </c>
      <c r="AY121" s="2" t="s">
        <v>60</v>
      </c>
      <c r="BA121" s="2" t="s">
        <v>60</v>
      </c>
      <c r="BB121" s="2" t="s">
        <v>60</v>
      </c>
      <c r="BC121" s="2" t="s">
        <v>60</v>
      </c>
      <c r="BD121" s="2" t="s">
        <v>60</v>
      </c>
      <c r="BM121" s="2" t="s">
        <v>213</v>
      </c>
    </row>
    <row r="122" spans="2:65" x14ac:dyDescent="0.15">
      <c r="B122" s="2" t="s">
        <v>515</v>
      </c>
      <c r="C122" s="2" t="s">
        <v>296</v>
      </c>
      <c r="D122" s="4">
        <v>0</v>
      </c>
      <c r="F122" s="4">
        <v>3</v>
      </c>
      <c r="G122" s="2" t="s">
        <v>2849</v>
      </c>
      <c r="H122" s="4" t="s">
        <v>189</v>
      </c>
      <c r="I122" s="4" t="s">
        <v>1145</v>
      </c>
      <c r="J122" s="4" t="s">
        <v>189</v>
      </c>
      <c r="K122" s="4" t="s">
        <v>1145</v>
      </c>
      <c r="L122" s="4">
        <v>1</v>
      </c>
      <c r="Y122" s="4">
        <v>205</v>
      </c>
      <c r="Z122" s="2">
        <v>129</v>
      </c>
      <c r="AA122" s="4">
        <v>1.57079637050629</v>
      </c>
      <c r="AB122" s="2" t="s">
        <v>2857</v>
      </c>
      <c r="AC122" s="2" t="s">
        <v>263</v>
      </c>
      <c r="AD122" s="2" t="s">
        <v>263</v>
      </c>
      <c r="AE122" s="2" t="s">
        <v>3051</v>
      </c>
      <c r="AF122" s="4">
        <v>30000</v>
      </c>
      <c r="AG122" s="2" t="s">
        <v>120</v>
      </c>
      <c r="AH122" s="2" t="s">
        <v>143</v>
      </c>
      <c r="AJ122" s="2" t="s">
        <v>60</v>
      </c>
      <c r="AK122" s="2" t="s">
        <v>60</v>
      </c>
      <c r="AL122" s="2" t="s">
        <v>60</v>
      </c>
      <c r="AM122" s="2" t="s">
        <v>60</v>
      </c>
      <c r="AN122" s="2" t="s">
        <v>60</v>
      </c>
      <c r="AO122" s="2" t="s">
        <v>60</v>
      </c>
      <c r="AP122" s="2" t="s">
        <v>60</v>
      </c>
      <c r="AQ122" s="4">
        <v>0</v>
      </c>
      <c r="AR122" s="4">
        <v>0</v>
      </c>
      <c r="AS122" s="4">
        <v>50</v>
      </c>
      <c r="AT122" s="4">
        <v>50</v>
      </c>
      <c r="AU122" s="4">
        <v>100</v>
      </c>
      <c r="AV122" s="4">
        <v>100</v>
      </c>
      <c r="AW122" s="2" t="s">
        <v>3248</v>
      </c>
      <c r="AX122" s="2" t="s">
        <v>60</v>
      </c>
      <c r="AY122" s="2" t="s">
        <v>60</v>
      </c>
      <c r="BA122" s="2" t="s">
        <v>60</v>
      </c>
      <c r="BB122" s="2" t="s">
        <v>60</v>
      </c>
      <c r="BC122" s="2" t="s">
        <v>60</v>
      </c>
      <c r="BD122" s="2" t="s">
        <v>60</v>
      </c>
      <c r="BM122" s="2" t="s">
        <v>213</v>
      </c>
    </row>
    <row r="123" spans="2:65" x14ac:dyDescent="0.15">
      <c r="B123" s="2" t="s">
        <v>374</v>
      </c>
      <c r="C123" s="2" t="s">
        <v>297</v>
      </c>
      <c r="D123" s="4">
        <v>0</v>
      </c>
      <c r="F123" s="4">
        <v>3</v>
      </c>
      <c r="G123" s="2" t="s">
        <v>2849</v>
      </c>
      <c r="H123" s="4" t="s">
        <v>10</v>
      </c>
      <c r="I123" s="4" t="s">
        <v>40</v>
      </c>
      <c r="J123" s="4" t="s">
        <v>10</v>
      </c>
      <c r="K123" s="4" t="s">
        <v>40</v>
      </c>
      <c r="L123" s="4">
        <v>1</v>
      </c>
      <c r="Y123" s="4">
        <v>215</v>
      </c>
      <c r="Z123" s="2">
        <v>146</v>
      </c>
      <c r="AA123" s="4">
        <v>0</v>
      </c>
      <c r="AB123" s="2" t="s">
        <v>2857</v>
      </c>
      <c r="AC123" s="2" t="s">
        <v>263</v>
      </c>
      <c r="AD123" s="2" t="s">
        <v>263</v>
      </c>
      <c r="AE123" s="2" t="s">
        <v>3051</v>
      </c>
      <c r="AF123" s="4">
        <v>30000</v>
      </c>
      <c r="AG123" s="2" t="s">
        <v>120</v>
      </c>
      <c r="AH123" s="2" t="s">
        <v>143</v>
      </c>
      <c r="AJ123" s="2" t="s">
        <v>60</v>
      </c>
      <c r="AK123" s="2" t="s">
        <v>60</v>
      </c>
      <c r="AL123" s="2" t="s">
        <v>60</v>
      </c>
      <c r="AM123" s="2" t="s">
        <v>60</v>
      </c>
      <c r="AN123" s="2" t="s">
        <v>60</v>
      </c>
      <c r="AO123" s="2" t="s">
        <v>60</v>
      </c>
      <c r="AP123" s="2" t="s">
        <v>60</v>
      </c>
      <c r="AQ123" s="4">
        <v>0</v>
      </c>
      <c r="AR123" s="4">
        <v>0</v>
      </c>
      <c r="AS123" s="4">
        <v>50</v>
      </c>
      <c r="AT123" s="4">
        <v>50</v>
      </c>
      <c r="AU123" s="4">
        <v>100</v>
      </c>
      <c r="AV123" s="4">
        <v>100</v>
      </c>
      <c r="AW123" s="2" t="s">
        <v>3248</v>
      </c>
      <c r="AX123" s="2" t="s">
        <v>60</v>
      </c>
      <c r="AY123" s="2" t="s">
        <v>60</v>
      </c>
      <c r="BA123" s="2" t="s">
        <v>60</v>
      </c>
      <c r="BB123" s="2" t="s">
        <v>60</v>
      </c>
      <c r="BC123" s="2" t="s">
        <v>60</v>
      </c>
      <c r="BD123" s="2" t="s">
        <v>60</v>
      </c>
      <c r="BM123" s="2" t="s">
        <v>213</v>
      </c>
    </row>
    <row r="124" spans="2:65" x14ac:dyDescent="0.15">
      <c r="B124" s="2" t="s">
        <v>261</v>
      </c>
      <c r="C124" s="2" t="s">
        <v>298</v>
      </c>
      <c r="D124" s="4">
        <v>0</v>
      </c>
      <c r="F124" s="4">
        <v>3</v>
      </c>
      <c r="G124" s="2" t="s">
        <v>2849</v>
      </c>
      <c r="H124" s="4" t="s">
        <v>29</v>
      </c>
      <c r="I124" s="4" t="s">
        <v>523</v>
      </c>
      <c r="J124" s="4" t="s">
        <v>29</v>
      </c>
      <c r="K124" s="4" t="s">
        <v>523</v>
      </c>
      <c r="L124" s="4">
        <v>1</v>
      </c>
      <c r="Y124" s="4">
        <v>171</v>
      </c>
      <c r="Z124" s="2">
        <v>150</v>
      </c>
      <c r="AA124" s="5">
        <v>3.1415927410125701</v>
      </c>
      <c r="AB124" s="2" t="s">
        <v>2857</v>
      </c>
      <c r="AC124" s="2" t="s">
        <v>263</v>
      </c>
      <c r="AD124" s="2" t="s">
        <v>263</v>
      </c>
      <c r="AE124" s="2" t="s">
        <v>3051</v>
      </c>
      <c r="AF124" s="4">
        <v>30000</v>
      </c>
      <c r="AG124" s="2" t="s">
        <v>120</v>
      </c>
      <c r="AH124" s="2" t="s">
        <v>143</v>
      </c>
      <c r="AJ124" s="2" t="s">
        <v>60</v>
      </c>
      <c r="AK124" s="2" t="s">
        <v>60</v>
      </c>
      <c r="AL124" s="2" t="s">
        <v>60</v>
      </c>
      <c r="AM124" s="2" t="s">
        <v>60</v>
      </c>
      <c r="AN124" s="2" t="s">
        <v>60</v>
      </c>
      <c r="AO124" s="2" t="s">
        <v>60</v>
      </c>
      <c r="AP124" s="2" t="s">
        <v>60</v>
      </c>
      <c r="AQ124" s="4">
        <v>0</v>
      </c>
      <c r="AR124" s="4">
        <v>0</v>
      </c>
      <c r="AS124" s="4">
        <v>50</v>
      </c>
      <c r="AT124" s="4">
        <v>50</v>
      </c>
      <c r="AU124" s="4">
        <v>100</v>
      </c>
      <c r="AV124" s="4">
        <v>100</v>
      </c>
      <c r="AW124" s="2" t="s">
        <v>3248</v>
      </c>
      <c r="AX124" s="2" t="s">
        <v>60</v>
      </c>
      <c r="AY124" s="2" t="s">
        <v>60</v>
      </c>
      <c r="BA124" s="2" t="s">
        <v>60</v>
      </c>
      <c r="BB124" s="2" t="s">
        <v>60</v>
      </c>
      <c r="BC124" s="2" t="s">
        <v>60</v>
      </c>
      <c r="BD124" s="2" t="s">
        <v>60</v>
      </c>
      <c r="BM124" s="2" t="s">
        <v>213</v>
      </c>
    </row>
    <row r="125" spans="2:65" x14ac:dyDescent="0.15">
      <c r="B125" s="2" t="s">
        <v>367</v>
      </c>
      <c r="C125" s="2" t="s">
        <v>299</v>
      </c>
      <c r="D125" s="4">
        <v>0</v>
      </c>
      <c r="F125" s="4">
        <v>3</v>
      </c>
      <c r="G125" s="2" t="s">
        <v>2849</v>
      </c>
      <c r="H125" s="4" t="s">
        <v>31</v>
      </c>
      <c r="I125" s="4" t="s">
        <v>12</v>
      </c>
      <c r="J125" s="4" t="s">
        <v>31</v>
      </c>
      <c r="K125" s="4" t="s">
        <v>12</v>
      </c>
      <c r="L125" s="4">
        <v>1</v>
      </c>
      <c r="Y125" s="4">
        <v>160</v>
      </c>
      <c r="Z125" s="2">
        <v>157</v>
      </c>
      <c r="AA125" s="4">
        <v>0</v>
      </c>
      <c r="AB125" s="2" t="s">
        <v>2857</v>
      </c>
      <c r="AC125" s="2" t="s">
        <v>263</v>
      </c>
      <c r="AD125" s="2" t="s">
        <v>263</v>
      </c>
      <c r="AE125" s="2" t="s">
        <v>3051</v>
      </c>
      <c r="AF125" s="4">
        <v>30000</v>
      </c>
      <c r="AG125" s="2" t="s">
        <v>120</v>
      </c>
      <c r="AH125" s="2" t="s">
        <v>143</v>
      </c>
      <c r="AJ125" s="2" t="s">
        <v>60</v>
      </c>
      <c r="AK125" s="2" t="s">
        <v>60</v>
      </c>
      <c r="AL125" s="2" t="s">
        <v>60</v>
      </c>
      <c r="AM125" s="2" t="s">
        <v>60</v>
      </c>
      <c r="AN125" s="2" t="s">
        <v>60</v>
      </c>
      <c r="AO125" s="2" t="s">
        <v>60</v>
      </c>
      <c r="AP125" s="2" t="s">
        <v>60</v>
      </c>
      <c r="AQ125" s="4">
        <v>0</v>
      </c>
      <c r="AR125" s="4">
        <v>0</v>
      </c>
      <c r="AS125" s="4">
        <v>50</v>
      </c>
      <c r="AT125" s="4">
        <v>50</v>
      </c>
      <c r="AU125" s="4">
        <v>100</v>
      </c>
      <c r="AV125" s="4">
        <v>100</v>
      </c>
      <c r="AW125" s="2" t="s">
        <v>3248</v>
      </c>
      <c r="AX125" s="2" t="s">
        <v>60</v>
      </c>
      <c r="AY125" s="2" t="s">
        <v>60</v>
      </c>
      <c r="BA125" s="2" t="s">
        <v>60</v>
      </c>
      <c r="BB125" s="2" t="s">
        <v>60</v>
      </c>
      <c r="BC125" s="2" t="s">
        <v>60</v>
      </c>
      <c r="BD125" s="2" t="s">
        <v>60</v>
      </c>
      <c r="BM125" s="2" t="s">
        <v>213</v>
      </c>
    </row>
    <row r="126" spans="2:65" x14ac:dyDescent="0.15">
      <c r="B126" s="2" t="s">
        <v>481</v>
      </c>
      <c r="C126" s="2" t="s">
        <v>301</v>
      </c>
      <c r="D126" s="4">
        <v>0</v>
      </c>
      <c r="F126" s="4">
        <v>3</v>
      </c>
      <c r="G126" s="2" t="s">
        <v>2849</v>
      </c>
      <c r="H126" s="4" t="s">
        <v>31</v>
      </c>
      <c r="I126" s="4" t="s">
        <v>12</v>
      </c>
      <c r="J126" s="4" t="s">
        <v>31</v>
      </c>
      <c r="K126" s="4" t="s">
        <v>12</v>
      </c>
      <c r="L126" s="4">
        <v>1</v>
      </c>
      <c r="Y126" s="4">
        <v>144</v>
      </c>
      <c r="Z126" s="2">
        <v>165</v>
      </c>
      <c r="AA126" s="4">
        <v>4.7123889923095703</v>
      </c>
      <c r="AB126" s="2" t="s">
        <v>2857</v>
      </c>
      <c r="AC126" s="2" t="s">
        <v>263</v>
      </c>
      <c r="AD126" s="2" t="s">
        <v>263</v>
      </c>
      <c r="AE126" s="2" t="s">
        <v>3051</v>
      </c>
      <c r="AF126" s="4">
        <v>30000</v>
      </c>
      <c r="AG126" s="2" t="s">
        <v>120</v>
      </c>
      <c r="AH126" s="2" t="s">
        <v>143</v>
      </c>
      <c r="AJ126" s="2" t="s">
        <v>60</v>
      </c>
      <c r="AK126" s="2" t="s">
        <v>60</v>
      </c>
      <c r="AL126" s="2" t="s">
        <v>60</v>
      </c>
      <c r="AM126" s="2" t="s">
        <v>60</v>
      </c>
      <c r="AN126" s="2" t="s">
        <v>60</v>
      </c>
      <c r="AO126" s="2" t="s">
        <v>60</v>
      </c>
      <c r="AP126" s="2" t="s">
        <v>60</v>
      </c>
      <c r="AQ126" s="4">
        <v>0</v>
      </c>
      <c r="AR126" s="4">
        <v>0</v>
      </c>
      <c r="AS126" s="4">
        <v>50</v>
      </c>
      <c r="AT126" s="4">
        <v>50</v>
      </c>
      <c r="AU126" s="4">
        <v>100</v>
      </c>
      <c r="AV126" s="4">
        <v>100</v>
      </c>
      <c r="AW126" s="2" t="s">
        <v>3248</v>
      </c>
      <c r="AX126" s="2" t="s">
        <v>60</v>
      </c>
      <c r="AY126" s="2" t="s">
        <v>60</v>
      </c>
      <c r="BA126" s="2" t="s">
        <v>60</v>
      </c>
      <c r="BB126" s="2" t="s">
        <v>60</v>
      </c>
      <c r="BC126" s="2" t="s">
        <v>60</v>
      </c>
      <c r="BD126" s="2" t="s">
        <v>60</v>
      </c>
      <c r="BM126" s="2" t="s">
        <v>213</v>
      </c>
    </row>
    <row r="127" spans="2:65" x14ac:dyDescent="0.15">
      <c r="B127" s="2" t="s">
        <v>434</v>
      </c>
      <c r="C127" s="2" t="s">
        <v>302</v>
      </c>
      <c r="D127" s="4">
        <v>0</v>
      </c>
      <c r="F127" s="4">
        <v>3</v>
      </c>
      <c r="G127" s="2" t="s">
        <v>2849</v>
      </c>
      <c r="H127" s="4" t="s">
        <v>31</v>
      </c>
      <c r="I127" s="4" t="s">
        <v>12</v>
      </c>
      <c r="J127" s="4" t="s">
        <v>31</v>
      </c>
      <c r="K127" s="4" t="s">
        <v>12</v>
      </c>
      <c r="L127" s="4">
        <v>1</v>
      </c>
      <c r="Y127" s="4">
        <v>174</v>
      </c>
      <c r="Z127" s="2">
        <v>170</v>
      </c>
      <c r="AA127" s="4">
        <v>4.7123889923095703</v>
      </c>
      <c r="AB127" s="2" t="s">
        <v>2857</v>
      </c>
      <c r="AC127" s="2" t="s">
        <v>263</v>
      </c>
      <c r="AD127" s="2" t="s">
        <v>263</v>
      </c>
      <c r="AE127" s="2" t="s">
        <v>3051</v>
      </c>
      <c r="AF127" s="4">
        <v>30000</v>
      </c>
      <c r="AG127" s="2" t="s">
        <v>120</v>
      </c>
      <c r="AH127" s="2" t="s">
        <v>143</v>
      </c>
      <c r="AJ127" s="2" t="s">
        <v>60</v>
      </c>
      <c r="AK127" s="2" t="s">
        <v>60</v>
      </c>
      <c r="AL127" s="2" t="s">
        <v>60</v>
      </c>
      <c r="AM127" s="2" t="s">
        <v>60</v>
      </c>
      <c r="AN127" s="2" t="s">
        <v>60</v>
      </c>
      <c r="AO127" s="2" t="s">
        <v>60</v>
      </c>
      <c r="AP127" s="2" t="s">
        <v>60</v>
      </c>
      <c r="AQ127" s="4">
        <v>0</v>
      </c>
      <c r="AR127" s="4">
        <v>0</v>
      </c>
      <c r="AS127" s="4">
        <v>50</v>
      </c>
      <c r="AT127" s="4">
        <v>50</v>
      </c>
      <c r="AU127" s="4">
        <v>100</v>
      </c>
      <c r="AV127" s="4">
        <v>100</v>
      </c>
      <c r="AW127" s="2" t="s">
        <v>3248</v>
      </c>
      <c r="AX127" s="2" t="s">
        <v>60</v>
      </c>
      <c r="AY127" s="2" t="s">
        <v>60</v>
      </c>
      <c r="BA127" s="2" t="s">
        <v>60</v>
      </c>
      <c r="BB127" s="2" t="s">
        <v>60</v>
      </c>
      <c r="BC127" s="2" t="s">
        <v>60</v>
      </c>
      <c r="BD127" s="2" t="s">
        <v>60</v>
      </c>
      <c r="BM127" s="2" t="s">
        <v>213</v>
      </c>
    </row>
    <row r="128" spans="2:65" x14ac:dyDescent="0.15">
      <c r="B128" s="2" t="s">
        <v>422</v>
      </c>
      <c r="C128" s="2" t="s">
        <v>303</v>
      </c>
      <c r="D128" s="4">
        <v>0</v>
      </c>
      <c r="F128" s="4">
        <v>3</v>
      </c>
      <c r="G128" s="2" t="s">
        <v>2849</v>
      </c>
      <c r="H128" s="4" t="s">
        <v>31</v>
      </c>
      <c r="I128" s="4" t="s">
        <v>12</v>
      </c>
      <c r="J128" s="4" t="s">
        <v>31</v>
      </c>
      <c r="K128" s="4" t="s">
        <v>12</v>
      </c>
      <c r="L128" s="4">
        <v>1</v>
      </c>
      <c r="Y128" s="4">
        <v>166</v>
      </c>
      <c r="Z128" s="2">
        <v>195</v>
      </c>
      <c r="AA128" s="4">
        <v>4.7123889923095703</v>
      </c>
      <c r="AB128" s="2" t="s">
        <v>2857</v>
      </c>
      <c r="AC128" s="2" t="s">
        <v>263</v>
      </c>
      <c r="AD128" s="2" t="s">
        <v>263</v>
      </c>
      <c r="AE128" s="2" t="s">
        <v>3051</v>
      </c>
      <c r="AF128" s="4">
        <v>30000</v>
      </c>
      <c r="AG128" s="2" t="s">
        <v>120</v>
      </c>
      <c r="AH128" s="2" t="s">
        <v>143</v>
      </c>
      <c r="AJ128" s="2" t="s">
        <v>60</v>
      </c>
      <c r="AK128" s="2" t="s">
        <v>60</v>
      </c>
      <c r="AL128" s="2" t="s">
        <v>60</v>
      </c>
      <c r="AM128" s="2" t="s">
        <v>60</v>
      </c>
      <c r="AN128" s="2" t="s">
        <v>60</v>
      </c>
      <c r="AO128" s="2" t="s">
        <v>60</v>
      </c>
      <c r="AP128" s="2" t="s">
        <v>60</v>
      </c>
      <c r="AQ128" s="4">
        <v>0</v>
      </c>
      <c r="AR128" s="4">
        <v>0</v>
      </c>
      <c r="AS128" s="4">
        <v>50</v>
      </c>
      <c r="AT128" s="4">
        <v>50</v>
      </c>
      <c r="AU128" s="4">
        <v>100</v>
      </c>
      <c r="AV128" s="4">
        <v>100</v>
      </c>
      <c r="AW128" s="2" t="s">
        <v>3248</v>
      </c>
      <c r="AX128" s="2" t="s">
        <v>60</v>
      </c>
      <c r="AY128" s="2" t="s">
        <v>60</v>
      </c>
      <c r="BA128" s="2" t="s">
        <v>60</v>
      </c>
      <c r="BB128" s="2" t="s">
        <v>60</v>
      </c>
      <c r="BC128" s="2" t="s">
        <v>60</v>
      </c>
      <c r="BD128" s="2" t="s">
        <v>60</v>
      </c>
      <c r="BM128" s="2" t="s">
        <v>213</v>
      </c>
    </row>
    <row r="129" spans="2:65" x14ac:dyDescent="0.15">
      <c r="B129" s="2" t="s">
        <v>431</v>
      </c>
      <c r="C129" s="2" t="s">
        <v>304</v>
      </c>
      <c r="D129" s="4">
        <v>0</v>
      </c>
      <c r="F129" s="4">
        <v>3</v>
      </c>
      <c r="G129" s="2" t="s">
        <v>2849</v>
      </c>
      <c r="H129" s="4">
        <v>0</v>
      </c>
      <c r="J129" s="4">
        <v>0</v>
      </c>
      <c r="L129" s="4">
        <v>1</v>
      </c>
      <c r="Y129" s="4">
        <v>136</v>
      </c>
      <c r="Z129" s="2">
        <v>151</v>
      </c>
      <c r="AA129" s="5">
        <v>3.1415927410125701</v>
      </c>
      <c r="AB129" s="2" t="s">
        <v>2857</v>
      </c>
      <c r="AC129" s="2" t="s">
        <v>60</v>
      </c>
      <c r="AD129" s="2" t="s">
        <v>60</v>
      </c>
      <c r="AE129" s="2" t="s">
        <v>3051</v>
      </c>
      <c r="AF129" s="4">
        <v>30000</v>
      </c>
      <c r="AG129" s="2" t="s">
        <v>60</v>
      </c>
      <c r="AH129" s="2" t="s">
        <v>60</v>
      </c>
      <c r="AJ129" s="2" t="s">
        <v>60</v>
      </c>
      <c r="AK129" s="2" t="s">
        <v>60</v>
      </c>
      <c r="AL129" s="2" t="s">
        <v>60</v>
      </c>
      <c r="AM129" s="2" t="s">
        <v>60</v>
      </c>
      <c r="AN129" s="2" t="s">
        <v>60</v>
      </c>
      <c r="AO129" s="2" t="s">
        <v>60</v>
      </c>
      <c r="AP129" s="2" t="s">
        <v>60</v>
      </c>
      <c r="AQ129" s="4">
        <v>0</v>
      </c>
      <c r="AR129" s="4">
        <v>0</v>
      </c>
      <c r="AS129" s="4">
        <v>50</v>
      </c>
      <c r="AT129" s="4">
        <v>50</v>
      </c>
      <c r="AU129" s="4">
        <v>100</v>
      </c>
      <c r="AV129" s="4">
        <v>100</v>
      </c>
      <c r="AW129" s="2" t="s">
        <v>3248</v>
      </c>
      <c r="AX129" s="2" t="s">
        <v>60</v>
      </c>
      <c r="AY129" s="2" t="s">
        <v>60</v>
      </c>
      <c r="BA129" s="2" t="s">
        <v>60</v>
      </c>
      <c r="BB129" s="2" t="s">
        <v>60</v>
      </c>
      <c r="BC129" s="2" t="s">
        <v>60</v>
      </c>
      <c r="BD129" s="2" t="s">
        <v>60</v>
      </c>
      <c r="BM129" s="2" t="s">
        <v>213</v>
      </c>
    </row>
    <row r="130" spans="2:65" x14ac:dyDescent="0.15">
      <c r="B130" s="2" t="s">
        <v>88</v>
      </c>
      <c r="C130" s="2" t="s">
        <v>305</v>
      </c>
      <c r="D130" s="4">
        <v>0</v>
      </c>
      <c r="F130" s="4">
        <v>3</v>
      </c>
      <c r="G130" s="2" t="s">
        <v>2849</v>
      </c>
      <c r="H130" s="4">
        <v>0</v>
      </c>
      <c r="J130" s="4">
        <v>0</v>
      </c>
      <c r="L130" s="4">
        <v>1</v>
      </c>
      <c r="Y130" s="4">
        <v>109</v>
      </c>
      <c r="Z130" s="2">
        <v>137</v>
      </c>
      <c r="AA130" s="5">
        <v>3.1415927410125701</v>
      </c>
      <c r="AB130" s="2" t="s">
        <v>2857</v>
      </c>
      <c r="AC130" s="2" t="s">
        <v>60</v>
      </c>
      <c r="AD130" s="2" t="s">
        <v>60</v>
      </c>
      <c r="AE130" s="2" t="s">
        <v>3051</v>
      </c>
      <c r="AF130" s="4">
        <v>30000</v>
      </c>
      <c r="AG130" s="2" t="s">
        <v>60</v>
      </c>
      <c r="AH130" s="2" t="s">
        <v>60</v>
      </c>
      <c r="AJ130" s="2" t="s">
        <v>60</v>
      </c>
      <c r="AK130" s="2" t="s">
        <v>60</v>
      </c>
      <c r="AL130" s="2" t="s">
        <v>60</v>
      </c>
      <c r="AM130" s="2" t="s">
        <v>60</v>
      </c>
      <c r="AN130" s="2" t="s">
        <v>60</v>
      </c>
      <c r="AO130" s="2" t="s">
        <v>60</v>
      </c>
      <c r="AP130" s="2" t="s">
        <v>60</v>
      </c>
      <c r="AQ130" s="4">
        <v>0</v>
      </c>
      <c r="AR130" s="4">
        <v>0</v>
      </c>
      <c r="AS130" s="4">
        <v>50</v>
      </c>
      <c r="AT130" s="4">
        <v>50</v>
      </c>
      <c r="AU130" s="4">
        <v>100</v>
      </c>
      <c r="AV130" s="4">
        <v>100</v>
      </c>
      <c r="AW130" s="2" t="s">
        <v>3248</v>
      </c>
      <c r="AX130" s="2" t="s">
        <v>60</v>
      </c>
      <c r="AY130" s="2" t="s">
        <v>60</v>
      </c>
      <c r="BA130" s="2" t="s">
        <v>60</v>
      </c>
      <c r="BB130" s="2" t="s">
        <v>60</v>
      </c>
      <c r="BC130" s="2" t="s">
        <v>60</v>
      </c>
      <c r="BD130" s="2" t="s">
        <v>60</v>
      </c>
      <c r="BM130" s="2" t="s">
        <v>213</v>
      </c>
    </row>
    <row r="131" spans="2:65" x14ac:dyDescent="0.15">
      <c r="B131" s="2" t="s">
        <v>329</v>
      </c>
      <c r="C131" s="2" t="s">
        <v>306</v>
      </c>
      <c r="D131" s="4">
        <v>0</v>
      </c>
      <c r="F131" s="4">
        <v>3</v>
      </c>
      <c r="G131" s="2" t="s">
        <v>2849</v>
      </c>
      <c r="H131" s="4" t="s">
        <v>34</v>
      </c>
      <c r="I131" s="4" t="s">
        <v>2468</v>
      </c>
      <c r="J131" s="4" t="s">
        <v>34</v>
      </c>
      <c r="K131" s="4" t="s">
        <v>2468</v>
      </c>
      <c r="L131" s="4">
        <v>1</v>
      </c>
      <c r="Y131" s="4">
        <v>98</v>
      </c>
      <c r="Z131" s="2">
        <v>138</v>
      </c>
      <c r="AA131" s="4">
        <v>0</v>
      </c>
      <c r="AB131" s="2" t="s">
        <v>2857</v>
      </c>
      <c r="AC131" s="2" t="s">
        <v>263</v>
      </c>
      <c r="AD131" s="2" t="s">
        <v>263</v>
      </c>
      <c r="AE131" s="2" t="s">
        <v>3051</v>
      </c>
      <c r="AF131" s="4">
        <v>30000</v>
      </c>
      <c r="AG131" s="2" t="s">
        <v>120</v>
      </c>
      <c r="AH131" s="2" t="s">
        <v>143</v>
      </c>
      <c r="AJ131" s="2" t="s">
        <v>60</v>
      </c>
      <c r="AK131" s="2" t="s">
        <v>60</v>
      </c>
      <c r="AL131" s="2" t="s">
        <v>60</v>
      </c>
      <c r="AM131" s="2" t="s">
        <v>60</v>
      </c>
      <c r="AN131" s="2" t="s">
        <v>60</v>
      </c>
      <c r="AO131" s="2" t="s">
        <v>60</v>
      </c>
      <c r="AP131" s="2" t="s">
        <v>60</v>
      </c>
      <c r="AQ131" s="4">
        <v>0</v>
      </c>
      <c r="AR131" s="4">
        <v>0</v>
      </c>
      <c r="AS131" s="4">
        <v>50</v>
      </c>
      <c r="AT131" s="4">
        <v>50</v>
      </c>
      <c r="AU131" s="4">
        <v>100</v>
      </c>
      <c r="AV131" s="4">
        <v>100</v>
      </c>
      <c r="AW131" s="2" t="s">
        <v>3248</v>
      </c>
      <c r="AX131" s="2" t="s">
        <v>60</v>
      </c>
      <c r="AY131" s="2" t="s">
        <v>60</v>
      </c>
      <c r="BA131" s="2" t="s">
        <v>60</v>
      </c>
      <c r="BB131" s="2" t="s">
        <v>60</v>
      </c>
      <c r="BC131" s="2" t="s">
        <v>60</v>
      </c>
      <c r="BD131" s="2" t="s">
        <v>60</v>
      </c>
      <c r="BM131" s="2" t="s">
        <v>213</v>
      </c>
    </row>
    <row r="132" spans="2:65" x14ac:dyDescent="0.15">
      <c r="B132" s="2" t="s">
        <v>235</v>
      </c>
      <c r="C132" s="2" t="s">
        <v>308</v>
      </c>
      <c r="D132" s="4">
        <v>0</v>
      </c>
      <c r="F132" s="4">
        <v>3</v>
      </c>
      <c r="G132" s="2" t="s">
        <v>2849</v>
      </c>
      <c r="H132" s="4" t="s">
        <v>35</v>
      </c>
      <c r="I132" s="4" t="s">
        <v>11</v>
      </c>
      <c r="J132" s="4" t="s">
        <v>35</v>
      </c>
      <c r="K132" s="4" t="s">
        <v>11</v>
      </c>
      <c r="L132" s="4">
        <v>1</v>
      </c>
      <c r="Y132" s="4">
        <v>127</v>
      </c>
      <c r="Z132" s="2">
        <v>161</v>
      </c>
      <c r="AA132" s="4">
        <v>1.57079637050629</v>
      </c>
      <c r="AB132" s="2" t="s">
        <v>2857</v>
      </c>
      <c r="AC132" s="2" t="s">
        <v>263</v>
      </c>
      <c r="AD132" s="2" t="s">
        <v>263</v>
      </c>
      <c r="AE132" s="2" t="s">
        <v>3051</v>
      </c>
      <c r="AF132" s="4">
        <v>30000</v>
      </c>
      <c r="AG132" s="2" t="s">
        <v>120</v>
      </c>
      <c r="AH132" s="2" t="s">
        <v>143</v>
      </c>
      <c r="AJ132" s="2" t="s">
        <v>60</v>
      </c>
      <c r="AK132" s="2" t="s">
        <v>60</v>
      </c>
      <c r="AL132" s="2" t="s">
        <v>60</v>
      </c>
      <c r="AM132" s="2" t="s">
        <v>60</v>
      </c>
      <c r="AN132" s="2" t="s">
        <v>60</v>
      </c>
      <c r="AO132" s="2" t="s">
        <v>60</v>
      </c>
      <c r="AP132" s="2" t="s">
        <v>60</v>
      </c>
      <c r="AQ132" s="4">
        <v>0</v>
      </c>
      <c r="AR132" s="4">
        <v>0</v>
      </c>
      <c r="AS132" s="4">
        <v>50</v>
      </c>
      <c r="AT132" s="4">
        <v>50</v>
      </c>
      <c r="AU132" s="4">
        <v>100</v>
      </c>
      <c r="AV132" s="4">
        <v>100</v>
      </c>
      <c r="AW132" s="2" t="s">
        <v>3248</v>
      </c>
      <c r="AX132" s="2" t="s">
        <v>60</v>
      </c>
      <c r="AY132" s="2" t="s">
        <v>60</v>
      </c>
      <c r="BA132" s="2" t="s">
        <v>60</v>
      </c>
      <c r="BB132" s="2" t="s">
        <v>60</v>
      </c>
      <c r="BC132" s="2" t="s">
        <v>60</v>
      </c>
      <c r="BD132" s="2" t="s">
        <v>60</v>
      </c>
      <c r="BM132" s="2" t="s">
        <v>213</v>
      </c>
    </row>
    <row r="133" spans="2:65" x14ac:dyDescent="0.15">
      <c r="B133" s="2" t="s">
        <v>554</v>
      </c>
      <c r="C133" s="2" t="s">
        <v>309</v>
      </c>
      <c r="D133" s="4">
        <v>0</v>
      </c>
      <c r="F133" s="4">
        <v>3</v>
      </c>
      <c r="G133" s="2" t="s">
        <v>2849</v>
      </c>
      <c r="H133" s="4" t="s">
        <v>35</v>
      </c>
      <c r="I133" s="4" t="s">
        <v>11</v>
      </c>
      <c r="J133" s="4" t="s">
        <v>35</v>
      </c>
      <c r="K133" s="4" t="s">
        <v>11</v>
      </c>
      <c r="L133" s="4">
        <v>1</v>
      </c>
      <c r="Y133" s="4">
        <v>117</v>
      </c>
      <c r="Z133" s="2">
        <v>153</v>
      </c>
      <c r="AA133" s="4">
        <v>0</v>
      </c>
      <c r="AB133" s="2" t="s">
        <v>2857</v>
      </c>
      <c r="AC133" s="2" t="s">
        <v>263</v>
      </c>
      <c r="AD133" s="2" t="s">
        <v>263</v>
      </c>
      <c r="AE133" s="2" t="s">
        <v>3051</v>
      </c>
      <c r="AF133" s="4">
        <v>30000</v>
      </c>
      <c r="AG133" s="2" t="s">
        <v>120</v>
      </c>
      <c r="AH133" s="2" t="s">
        <v>143</v>
      </c>
      <c r="AJ133" s="2" t="s">
        <v>60</v>
      </c>
      <c r="AK133" s="2" t="s">
        <v>60</v>
      </c>
      <c r="AL133" s="2" t="s">
        <v>60</v>
      </c>
      <c r="AM133" s="2" t="s">
        <v>60</v>
      </c>
      <c r="AN133" s="2" t="s">
        <v>60</v>
      </c>
      <c r="AO133" s="2" t="s">
        <v>60</v>
      </c>
      <c r="AP133" s="2" t="s">
        <v>60</v>
      </c>
      <c r="AQ133" s="4">
        <v>0</v>
      </c>
      <c r="AR133" s="4">
        <v>0</v>
      </c>
      <c r="AS133" s="4">
        <v>50</v>
      </c>
      <c r="AT133" s="4">
        <v>50</v>
      </c>
      <c r="AU133" s="4">
        <v>100</v>
      </c>
      <c r="AV133" s="4">
        <v>100</v>
      </c>
      <c r="AW133" s="2" t="s">
        <v>3248</v>
      </c>
      <c r="AX133" s="2" t="s">
        <v>60</v>
      </c>
      <c r="AY133" s="2" t="s">
        <v>60</v>
      </c>
      <c r="BA133" s="2" t="s">
        <v>60</v>
      </c>
      <c r="BB133" s="2" t="s">
        <v>60</v>
      </c>
      <c r="BC133" s="2" t="s">
        <v>60</v>
      </c>
      <c r="BD133" s="2" t="s">
        <v>60</v>
      </c>
      <c r="BM133" s="2" t="s">
        <v>213</v>
      </c>
    </row>
    <row r="134" spans="2:65" x14ac:dyDescent="0.15">
      <c r="B134" s="2" t="s">
        <v>397</v>
      </c>
      <c r="C134" s="2" t="s">
        <v>311</v>
      </c>
      <c r="D134" s="4">
        <v>0</v>
      </c>
      <c r="F134" s="4">
        <v>3</v>
      </c>
      <c r="G134" s="2" t="s">
        <v>2849</v>
      </c>
      <c r="H134" s="4" t="s">
        <v>35</v>
      </c>
      <c r="I134" s="4" t="s">
        <v>11</v>
      </c>
      <c r="J134" s="4" t="s">
        <v>35</v>
      </c>
      <c r="K134" s="4" t="s">
        <v>11</v>
      </c>
      <c r="L134" s="4">
        <v>1</v>
      </c>
      <c r="Y134" s="4">
        <v>101</v>
      </c>
      <c r="Z134" s="2">
        <v>165</v>
      </c>
      <c r="AA134" s="4">
        <v>4.7123889923095703</v>
      </c>
      <c r="AB134" s="2" t="s">
        <v>2857</v>
      </c>
      <c r="AC134" s="2" t="s">
        <v>263</v>
      </c>
      <c r="AD134" s="2" t="s">
        <v>263</v>
      </c>
      <c r="AE134" s="2" t="s">
        <v>3051</v>
      </c>
      <c r="AF134" s="4">
        <v>30000</v>
      </c>
      <c r="AG134" s="2" t="s">
        <v>120</v>
      </c>
      <c r="AH134" s="2" t="s">
        <v>143</v>
      </c>
      <c r="AJ134" s="2" t="s">
        <v>60</v>
      </c>
      <c r="AK134" s="2" t="s">
        <v>60</v>
      </c>
      <c r="AL134" s="2" t="s">
        <v>60</v>
      </c>
      <c r="AM134" s="2" t="s">
        <v>60</v>
      </c>
      <c r="AN134" s="2" t="s">
        <v>60</v>
      </c>
      <c r="AO134" s="2" t="s">
        <v>60</v>
      </c>
      <c r="AP134" s="2" t="s">
        <v>60</v>
      </c>
      <c r="AQ134" s="4">
        <v>0</v>
      </c>
      <c r="AR134" s="4">
        <v>0</v>
      </c>
      <c r="AS134" s="4">
        <v>50</v>
      </c>
      <c r="AT134" s="4">
        <v>50</v>
      </c>
      <c r="AU134" s="4">
        <v>100</v>
      </c>
      <c r="AV134" s="4">
        <v>100</v>
      </c>
      <c r="AW134" s="2" t="s">
        <v>3248</v>
      </c>
      <c r="AX134" s="2" t="s">
        <v>60</v>
      </c>
      <c r="AY134" s="2" t="s">
        <v>60</v>
      </c>
      <c r="BA134" s="2" t="s">
        <v>60</v>
      </c>
      <c r="BB134" s="2" t="s">
        <v>60</v>
      </c>
      <c r="BC134" s="2" t="s">
        <v>60</v>
      </c>
      <c r="BD134" s="2" t="s">
        <v>60</v>
      </c>
      <c r="BM134" s="2" t="s">
        <v>213</v>
      </c>
    </row>
    <row r="135" spans="2:65" x14ac:dyDescent="0.15">
      <c r="B135" s="2" t="s">
        <v>391</v>
      </c>
      <c r="C135" s="2" t="s">
        <v>312</v>
      </c>
      <c r="D135" s="4">
        <v>0</v>
      </c>
      <c r="F135" s="4">
        <v>3</v>
      </c>
      <c r="G135" s="2" t="s">
        <v>2849</v>
      </c>
      <c r="H135" s="4" t="s">
        <v>119</v>
      </c>
      <c r="I135" s="4" t="s">
        <v>952</v>
      </c>
      <c r="J135" s="4" t="s">
        <v>119</v>
      </c>
      <c r="K135" s="4" t="s">
        <v>952</v>
      </c>
      <c r="L135" s="4">
        <v>1</v>
      </c>
      <c r="Y135" s="4">
        <v>128</v>
      </c>
      <c r="Z135" s="2">
        <v>176</v>
      </c>
      <c r="AA135" s="4">
        <v>4.7123889923095703</v>
      </c>
      <c r="AB135" s="2" t="s">
        <v>2857</v>
      </c>
      <c r="AC135" s="2" t="s">
        <v>263</v>
      </c>
      <c r="AD135" s="2" t="s">
        <v>263</v>
      </c>
      <c r="AE135" s="2" t="s">
        <v>3051</v>
      </c>
      <c r="AF135" s="4">
        <v>30000</v>
      </c>
      <c r="AG135" s="2" t="s">
        <v>120</v>
      </c>
      <c r="AH135" s="2" t="s">
        <v>143</v>
      </c>
      <c r="AJ135" s="2" t="s">
        <v>60</v>
      </c>
      <c r="AK135" s="2" t="s">
        <v>60</v>
      </c>
      <c r="AL135" s="2" t="s">
        <v>60</v>
      </c>
      <c r="AM135" s="2" t="s">
        <v>60</v>
      </c>
      <c r="AN135" s="2" t="s">
        <v>60</v>
      </c>
      <c r="AO135" s="2" t="s">
        <v>60</v>
      </c>
      <c r="AP135" s="2" t="s">
        <v>60</v>
      </c>
      <c r="AQ135" s="4">
        <v>0</v>
      </c>
      <c r="AR135" s="4">
        <v>0</v>
      </c>
      <c r="AS135" s="4">
        <v>50</v>
      </c>
      <c r="AT135" s="4">
        <v>50</v>
      </c>
      <c r="AU135" s="4">
        <v>100</v>
      </c>
      <c r="AV135" s="4">
        <v>100</v>
      </c>
      <c r="AW135" s="2" t="s">
        <v>3248</v>
      </c>
      <c r="AX135" s="2" t="s">
        <v>60</v>
      </c>
      <c r="AY135" s="2" t="s">
        <v>60</v>
      </c>
      <c r="BA135" s="2" t="s">
        <v>60</v>
      </c>
      <c r="BB135" s="2" t="s">
        <v>60</v>
      </c>
      <c r="BC135" s="2" t="s">
        <v>60</v>
      </c>
      <c r="BD135" s="2" t="s">
        <v>60</v>
      </c>
      <c r="BM135" s="2" t="s">
        <v>213</v>
      </c>
    </row>
    <row r="136" spans="2:65" x14ac:dyDescent="0.15">
      <c r="B136" s="2" t="s">
        <v>256</v>
      </c>
      <c r="C136" s="2" t="s">
        <v>313</v>
      </c>
      <c r="D136" s="4">
        <v>0</v>
      </c>
      <c r="F136" s="4">
        <v>3</v>
      </c>
      <c r="G136" s="2" t="s">
        <v>2849</v>
      </c>
      <c r="H136" s="4" t="s">
        <v>213</v>
      </c>
      <c r="I136" s="4" t="s">
        <v>1102</v>
      </c>
      <c r="J136" s="4" t="s">
        <v>213</v>
      </c>
      <c r="K136" s="4" t="s">
        <v>1102</v>
      </c>
      <c r="L136" s="4">
        <v>1</v>
      </c>
      <c r="Y136" s="4">
        <v>107</v>
      </c>
      <c r="Z136" s="2">
        <v>183</v>
      </c>
      <c r="AA136" s="4">
        <v>1.57079637050629</v>
      </c>
      <c r="AB136" s="2" t="s">
        <v>2857</v>
      </c>
      <c r="AC136" s="2" t="s">
        <v>263</v>
      </c>
      <c r="AD136" s="2" t="s">
        <v>263</v>
      </c>
      <c r="AE136" s="2" t="s">
        <v>3051</v>
      </c>
      <c r="AF136" s="4">
        <v>30000</v>
      </c>
      <c r="AG136" s="2" t="s">
        <v>120</v>
      </c>
      <c r="AH136" s="2" t="s">
        <v>143</v>
      </c>
      <c r="AJ136" s="2" t="s">
        <v>60</v>
      </c>
      <c r="AK136" s="2" t="s">
        <v>60</v>
      </c>
      <c r="AL136" s="2" t="s">
        <v>60</v>
      </c>
      <c r="AM136" s="2" t="s">
        <v>60</v>
      </c>
      <c r="AN136" s="2" t="s">
        <v>60</v>
      </c>
      <c r="AO136" s="2" t="s">
        <v>60</v>
      </c>
      <c r="AP136" s="2" t="s">
        <v>60</v>
      </c>
      <c r="AQ136" s="4">
        <v>0</v>
      </c>
      <c r="AR136" s="4">
        <v>0</v>
      </c>
      <c r="AS136" s="4">
        <v>50</v>
      </c>
      <c r="AT136" s="4">
        <v>50</v>
      </c>
      <c r="AU136" s="4">
        <v>100</v>
      </c>
      <c r="AV136" s="4">
        <v>100</v>
      </c>
      <c r="AW136" s="2" t="s">
        <v>3248</v>
      </c>
      <c r="AX136" s="2" t="s">
        <v>60</v>
      </c>
      <c r="AY136" s="2" t="s">
        <v>60</v>
      </c>
      <c r="BA136" s="2" t="s">
        <v>60</v>
      </c>
      <c r="BB136" s="2" t="s">
        <v>60</v>
      </c>
      <c r="BC136" s="2" t="s">
        <v>60</v>
      </c>
      <c r="BD136" s="2" t="s">
        <v>60</v>
      </c>
      <c r="BM136" s="2" t="s">
        <v>213</v>
      </c>
    </row>
    <row r="137" spans="2:65" x14ac:dyDescent="0.15">
      <c r="B137" s="2" t="s">
        <v>258</v>
      </c>
      <c r="C137" s="4" t="s">
        <v>314</v>
      </c>
      <c r="D137" s="4">
        <v>0</v>
      </c>
      <c r="F137" s="4">
        <v>3</v>
      </c>
      <c r="G137" s="2" t="s">
        <v>2849</v>
      </c>
      <c r="H137" s="4" t="s">
        <v>213</v>
      </c>
      <c r="I137" s="4" t="s">
        <v>1102</v>
      </c>
      <c r="J137" s="4" t="s">
        <v>213</v>
      </c>
      <c r="K137" s="4" t="s">
        <v>1102</v>
      </c>
      <c r="L137" s="4">
        <v>1</v>
      </c>
      <c r="Y137" s="4">
        <v>102</v>
      </c>
      <c r="Z137" s="2">
        <v>174</v>
      </c>
      <c r="AA137" s="4">
        <v>0</v>
      </c>
      <c r="AB137" s="2" t="s">
        <v>2857</v>
      </c>
      <c r="AC137" s="4">
        <v>2000</v>
      </c>
      <c r="AD137" s="4">
        <v>2000</v>
      </c>
      <c r="AE137" s="2" t="s">
        <v>3051</v>
      </c>
      <c r="AF137" s="4">
        <v>30000</v>
      </c>
      <c r="AG137" s="4">
        <v>400</v>
      </c>
      <c r="AH137" s="4">
        <v>4000</v>
      </c>
      <c r="AI137" s="4"/>
      <c r="AJ137" s="2" t="s">
        <v>60</v>
      </c>
      <c r="AK137" s="2" t="s">
        <v>60</v>
      </c>
      <c r="AL137" s="2" t="s">
        <v>60</v>
      </c>
      <c r="AM137" s="2" t="s">
        <v>60</v>
      </c>
      <c r="AN137" s="2" t="s">
        <v>60</v>
      </c>
      <c r="AO137" s="2" t="s">
        <v>60</v>
      </c>
      <c r="AP137" s="2" t="s">
        <v>60</v>
      </c>
      <c r="AQ137" s="4">
        <v>0</v>
      </c>
      <c r="AR137" s="4">
        <v>0</v>
      </c>
      <c r="AS137" s="4">
        <v>50</v>
      </c>
      <c r="AT137" s="4">
        <v>50</v>
      </c>
      <c r="AU137" s="4">
        <v>100</v>
      </c>
      <c r="AV137" s="4">
        <v>100</v>
      </c>
      <c r="AW137" s="2" t="s">
        <v>3248</v>
      </c>
      <c r="AX137" s="2" t="s">
        <v>60</v>
      </c>
      <c r="AY137" s="2" t="s">
        <v>60</v>
      </c>
      <c r="BA137" s="2" t="s">
        <v>60</v>
      </c>
      <c r="BB137" s="2" t="s">
        <v>60</v>
      </c>
      <c r="BC137" s="2" t="s">
        <v>60</v>
      </c>
      <c r="BD137" s="2" t="s">
        <v>60</v>
      </c>
      <c r="BM137" s="2" t="s">
        <v>213</v>
      </c>
    </row>
    <row r="138" spans="2:65" x14ac:dyDescent="0.15">
      <c r="B138" s="2" t="s">
        <v>837</v>
      </c>
      <c r="C138" s="4" t="s">
        <v>315</v>
      </c>
      <c r="D138" s="4">
        <v>0</v>
      </c>
      <c r="F138" s="4">
        <v>3</v>
      </c>
      <c r="G138" s="2" t="s">
        <v>2849</v>
      </c>
      <c r="H138" s="4">
        <v>0</v>
      </c>
      <c r="J138" s="4">
        <v>0</v>
      </c>
      <c r="L138" s="4">
        <v>1</v>
      </c>
      <c r="Y138" s="4">
        <v>82</v>
      </c>
      <c r="Z138" s="2">
        <v>158</v>
      </c>
      <c r="AA138" s="5">
        <v>3.1415927410125701</v>
      </c>
      <c r="AB138" s="2" t="s">
        <v>2857</v>
      </c>
      <c r="AC138" s="4">
        <v>0</v>
      </c>
      <c r="AD138" s="4">
        <v>0</v>
      </c>
      <c r="AE138" s="2" t="s">
        <v>3051</v>
      </c>
      <c r="AF138" s="4">
        <v>30000</v>
      </c>
      <c r="AG138" s="4">
        <v>0</v>
      </c>
      <c r="AH138" s="4">
        <v>0</v>
      </c>
      <c r="AI138" s="4"/>
      <c r="AJ138" s="2" t="s">
        <v>60</v>
      </c>
      <c r="AK138" s="2" t="s">
        <v>60</v>
      </c>
      <c r="AL138" s="2" t="s">
        <v>60</v>
      </c>
      <c r="AM138" s="2" t="s">
        <v>60</v>
      </c>
      <c r="AN138" s="2" t="s">
        <v>60</v>
      </c>
      <c r="AO138" s="2" t="s">
        <v>60</v>
      </c>
      <c r="AP138" s="2" t="s">
        <v>60</v>
      </c>
      <c r="AQ138" s="4">
        <v>0</v>
      </c>
      <c r="AR138" s="4">
        <v>0</v>
      </c>
      <c r="AS138" s="4">
        <v>50</v>
      </c>
      <c r="AT138" s="4">
        <v>50</v>
      </c>
      <c r="AU138" s="4">
        <v>100</v>
      </c>
      <c r="AV138" s="4">
        <v>100</v>
      </c>
      <c r="AW138" s="2" t="s">
        <v>3248</v>
      </c>
      <c r="AX138" s="2" t="s">
        <v>60</v>
      </c>
      <c r="AY138" s="2" t="s">
        <v>60</v>
      </c>
      <c r="BA138" s="2" t="s">
        <v>60</v>
      </c>
      <c r="BB138" s="2" t="s">
        <v>60</v>
      </c>
      <c r="BC138" s="2" t="s">
        <v>60</v>
      </c>
      <c r="BD138" s="2" t="s">
        <v>60</v>
      </c>
      <c r="BM138" s="2" t="s">
        <v>213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2025-10-14T10:20:50Z</dcterms:modified>
</cp:coreProperties>
</file>