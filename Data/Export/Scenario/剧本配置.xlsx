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Scenario\"/>
    </mc:Choice>
  </mc:AlternateContent>
  <xr:revisionPtr revIDLastSave="0" documentId="13_ncr:1_{8D9E3AFF-D32C-4511-9E49-8217D12DBE48}" xr6:coauthVersionLast="47" xr6:coauthVersionMax="47" xr10:uidLastSave="{00000000-0000-0000-0000-000000000000}"/>
  <bookViews>
    <workbookView xWindow="3396" yWindow="1932" windowWidth="25704" windowHeight="13476" tabRatio="923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F403" i="10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F30" i="10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486" i="10"/>
  <c r="E44" i="7"/>
  <c r="F311" i="10" s="1"/>
  <c r="E45" i="7"/>
  <c r="F579" i="10" s="1"/>
  <c r="F69" i="10"/>
  <c r="E46" i="7"/>
  <c r="F212" i="10" s="1"/>
  <c r="E6" i="7"/>
  <c r="F186" i="10" s="1"/>
  <c r="E7" i="7"/>
  <c r="F316" i="10" s="1"/>
  <c r="F198" i="10"/>
  <c r="E8" i="7"/>
  <c r="F18" i="10" s="1"/>
  <c r="E5" i="7"/>
  <c r="F534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/>
  <c r="F665" i="10"/>
  <c r="F605" i="10"/>
  <c r="F581" i="10"/>
  <c r="F509" i="10"/>
  <c r="F497" i="10"/>
  <c r="F461" i="10"/>
  <c r="F437" i="10"/>
  <c r="F425" i="10"/>
  <c r="F413" i="10"/>
  <c r="F389" i="10"/>
  <c r="F377" i="10"/>
  <c r="F341" i="10"/>
  <c r="F305" i="10"/>
  <c r="F293" i="10"/>
  <c r="F281" i="10"/>
  <c r="F269" i="10"/>
  <c r="F257" i="10"/>
  <c r="F221" i="10"/>
  <c r="F209" i="10"/>
  <c r="F173" i="10"/>
  <c r="F149" i="10"/>
  <c r="F137" i="10"/>
  <c r="F125" i="10"/>
  <c r="F101" i="10"/>
  <c r="F89" i="10"/>
  <c r="F29" i="10"/>
  <c r="F17" i="10"/>
  <c r="F712" i="10"/>
  <c r="F604" i="10"/>
  <c r="F592" i="10"/>
  <c r="F532" i="10"/>
  <c r="F508" i="10"/>
  <c r="F472" i="10"/>
  <c r="F424" i="10"/>
  <c r="F412" i="10"/>
  <c r="F388" i="10"/>
  <c r="F364" i="10"/>
  <c r="F352" i="10"/>
  <c r="F340" i="10"/>
  <c r="F328" i="10"/>
  <c r="F268" i="10"/>
  <c r="F244" i="10"/>
  <c r="F196" i="10"/>
  <c r="F184" i="10"/>
  <c r="F160" i="10"/>
  <c r="F148" i="10"/>
  <c r="F100" i="10"/>
  <c r="F88" i="10"/>
  <c r="F76" i="10"/>
  <c r="F64" i="10"/>
  <c r="F52" i="10"/>
  <c r="F711" i="10"/>
  <c r="F663" i="10"/>
  <c r="F651" i="10"/>
  <c r="F639" i="10"/>
  <c r="F627" i="10"/>
  <c r="F615" i="10"/>
  <c r="F603" i="10"/>
  <c r="F591" i="10"/>
  <c r="F567" i="10"/>
  <c r="F543" i="10"/>
  <c r="F507" i="10"/>
  <c r="F483" i="10"/>
  <c r="F471" i="10"/>
  <c r="F459" i="10"/>
  <c r="F447" i="10"/>
  <c r="F435" i="10"/>
  <c r="F375" i="10"/>
  <c r="F327" i="10"/>
  <c r="F303" i="10"/>
  <c r="F291" i="10"/>
  <c r="F279" i="10"/>
  <c r="F255" i="10"/>
  <c r="F207" i="10"/>
  <c r="F195" i="10"/>
  <c r="F183" i="10"/>
  <c r="F171" i="10"/>
  <c r="F159" i="10"/>
  <c r="F147" i="10"/>
  <c r="F123" i="10"/>
  <c r="F111" i="10"/>
  <c r="F63" i="10"/>
  <c r="F51" i="10"/>
  <c r="F39" i="10"/>
  <c r="F27" i="10"/>
  <c r="F15" i="10"/>
  <c r="F710" i="10"/>
  <c r="F674" i="10"/>
  <c r="F662" i="10"/>
  <c r="F626" i="10"/>
  <c r="F614" i="10"/>
  <c r="F590" i="10"/>
  <c r="F578" i="10"/>
  <c r="F566" i="10"/>
  <c r="F554" i="10"/>
  <c r="F542" i="10"/>
  <c r="F530" i="10"/>
  <c r="F518" i="10"/>
  <c r="F470" i="10"/>
  <c r="F446" i="10"/>
  <c r="F422" i="10"/>
  <c r="F410" i="10"/>
  <c r="F386" i="10"/>
  <c r="F374" i="10"/>
  <c r="F350" i="10"/>
  <c r="F338" i="10"/>
  <c r="F326" i="10"/>
  <c r="F314" i="10"/>
  <c r="F302" i="10"/>
  <c r="F278" i="10"/>
  <c r="F266" i="10"/>
  <c r="F254" i="10"/>
  <c r="F242" i="10"/>
  <c r="F206" i="10"/>
  <c r="F194" i="10"/>
  <c r="F182" i="10"/>
  <c r="F158" i="10"/>
  <c r="F146" i="10"/>
  <c r="F122" i="10"/>
  <c r="F110" i="10"/>
  <c r="F98" i="10"/>
  <c r="F86" i="10"/>
  <c r="F74" i="10"/>
  <c r="F38" i="10"/>
  <c r="F26" i="10"/>
  <c r="F709" i="10"/>
  <c r="F673" i="10"/>
  <c r="F661" i="10"/>
  <c r="F649" i="10"/>
  <c r="F613" i="10"/>
  <c r="F601" i="10"/>
  <c r="F577" i="10"/>
  <c r="F553" i="10"/>
  <c r="F529" i="10"/>
  <c r="F505" i="10"/>
  <c r="F493" i="10"/>
  <c r="F481" i="10"/>
  <c r="F469" i="10"/>
  <c r="F457" i="10"/>
  <c r="F445" i="10"/>
  <c r="F433" i="10"/>
  <c r="F409" i="10"/>
  <c r="F385" i="10"/>
  <c r="F373" i="10"/>
  <c r="F361" i="10"/>
  <c r="F349" i="10"/>
  <c r="F337" i="10"/>
  <c r="F313" i="10"/>
  <c r="F289" i="10"/>
  <c r="F265" i="10"/>
  <c r="F241" i="10"/>
  <c r="F229" i="10"/>
  <c r="F217" i="10"/>
  <c r="F205" i="10"/>
  <c r="F193" i="10"/>
  <c r="F169" i="10"/>
  <c r="F121" i="10"/>
  <c r="F109" i="10"/>
  <c r="F97" i="10"/>
  <c r="F85" i="10"/>
  <c r="F73" i="10"/>
  <c r="F61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52" i="10"/>
  <c r="F540" i="10"/>
  <c r="F528" i="10"/>
  <c r="F504" i="10"/>
  <c r="F480" i="10"/>
  <c r="F456" i="10"/>
  <c r="F444" i="10"/>
  <c r="F432" i="10"/>
  <c r="F408" i="10"/>
  <c r="F396" i="10"/>
  <c r="F384" i="10"/>
  <c r="F372" i="10"/>
  <c r="F360" i="10"/>
  <c r="F348" i="10"/>
  <c r="F336" i="10"/>
  <c r="F312" i="10"/>
  <c r="F288" i="10"/>
  <c r="F276" i="10"/>
  <c r="F264" i="10"/>
  <c r="F252" i="10"/>
  <c r="F240" i="10"/>
  <c r="F216" i="10"/>
  <c r="F192" i="10"/>
  <c r="F180" i="10"/>
  <c r="F168" i="10"/>
  <c r="F156" i="10"/>
  <c r="F144" i="10"/>
  <c r="F132" i="10"/>
  <c r="F120" i="10"/>
  <c r="F96" i="10"/>
  <c r="F84" i="10"/>
  <c r="F72" i="10"/>
  <c r="F60" i="10"/>
  <c r="F48" i="10"/>
  <c r="F36" i="10"/>
  <c r="F24" i="10"/>
  <c r="F12" i="10"/>
  <c r="F707" i="10"/>
  <c r="F659" i="10"/>
  <c r="F635" i="10"/>
  <c r="F623" i="10"/>
  <c r="F611" i="10"/>
  <c r="F599" i="10"/>
  <c r="F575" i="10"/>
  <c r="F551" i="10"/>
  <c r="F539" i="10"/>
  <c r="F515" i="10"/>
  <c r="F503" i="10"/>
  <c r="F491" i="10"/>
  <c r="F479" i="10"/>
  <c r="F467" i="10"/>
  <c r="F455" i="10"/>
  <c r="F443" i="10"/>
  <c r="F431" i="10"/>
  <c r="F419" i="10"/>
  <c r="F383" i="10"/>
  <c r="F347" i="10"/>
  <c r="F335" i="10"/>
  <c r="F299" i="10"/>
  <c r="F287" i="10"/>
  <c r="F275" i="10"/>
  <c r="F263" i="10"/>
  <c r="F251" i="10"/>
  <c r="F215" i="10"/>
  <c r="F203" i="10"/>
  <c r="F191" i="10"/>
  <c r="F179" i="10"/>
  <c r="F167" i="10"/>
  <c r="F155" i="10"/>
  <c r="F143" i="10"/>
  <c r="F131" i="10"/>
  <c r="F119" i="10"/>
  <c r="F107" i="10"/>
  <c r="F83" i="10"/>
  <c r="F71" i="10"/>
  <c r="F59" i="10"/>
  <c r="F47" i="10"/>
  <c r="F23" i="10"/>
  <c r="F11" i="10"/>
  <c r="F718" i="10"/>
  <c r="F706" i="10"/>
  <c r="F670" i="10"/>
  <c r="F646" i="10"/>
  <c r="F634" i="10"/>
  <c r="F622" i="10"/>
  <c r="F610" i="10"/>
  <c r="F598" i="10"/>
  <c r="F586" i="10"/>
  <c r="F562" i="10"/>
  <c r="F550" i="10"/>
  <c r="F538" i="10"/>
  <c r="F526" i="10"/>
  <c r="F514" i="10"/>
  <c r="F478" i="10"/>
  <c r="F466" i="10"/>
  <c r="F442" i="10"/>
  <c r="F418" i="10"/>
  <c r="F406" i="10"/>
  <c r="F394" i="10"/>
  <c r="F382" i="10"/>
  <c r="F370" i="10"/>
  <c r="F358" i="10"/>
  <c r="F346" i="10"/>
  <c r="F334" i="10"/>
  <c r="F310" i="10"/>
  <c r="F298" i="10"/>
  <c r="F286" i="10"/>
  <c r="F262" i="10"/>
  <c r="F250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717" i="10"/>
  <c r="F705" i="10"/>
  <c r="F669" i="10"/>
  <c r="F657" i="10"/>
  <c r="F645" i="10"/>
  <c r="F633" i="10"/>
  <c r="F621" i="10"/>
  <c r="F609" i="10"/>
  <c r="F597" i="10"/>
  <c r="F561" i="10"/>
  <c r="F549" i="10"/>
  <c r="F537" i="10"/>
  <c r="F513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61" i="10"/>
  <c r="F249" i="10"/>
  <c r="F225" i="10"/>
  <c r="F213" i="10"/>
  <c r="F165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72" i="10"/>
  <c r="F560" i="10"/>
  <c r="F548" i="10"/>
  <c r="F536" i="10"/>
  <c r="F524" i="10"/>
  <c r="F500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58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10" i="10"/>
  <c r="F174" i="10"/>
  <c r="F162" i="10"/>
  <c r="F150" i="10"/>
  <c r="F90" i="10"/>
  <c r="F395" i="10" l="1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<sst xmlns="http://schemas.openxmlformats.org/spreadsheetml/2006/main" count="23804" uniqueCount="3354">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</sst>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tabSelected="1"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1" sqref="L1:L1048576"/>
    </sheetView>
  </sheetViews>
  <sheetFormatPr defaultColWidth="9" defaultRowHeight="14.4" x14ac:dyDescent="0.25"/>
  <cols>
    <col min="1" max="1" width="6.21875" style="2" bestFit="1" customWidth="1"/>
    <col min="2" max="3" width="9" style="2" customWidth="1"/>
    <col min="4" max="6" width="11.6640625" style="2" bestFit="1" customWidth="1"/>
    <col min="7" max="7" width="12.21875" style="2" customWidth="1"/>
    <col min="8" max="8" width="12.88671875" style="2" customWidth="1"/>
    <col min="9" max="9" width="6.88671875" style="2" customWidth="1"/>
    <col min="10" max="10" width="15.77734375" style="2" customWidth="1"/>
    <col min="11" max="11" width="13.88671875" style="4" bestFit="1" customWidth="1"/>
    <col min="12" max="12" width="17.88671875" style="2" bestFit="1" customWidth="1"/>
    <col min="13" max="16384" width="9" style="2"/>
  </cols>
  <sheetData>
    <row r="1" spans="1:12" s="18" customFormat="1" ht="59.25" customHeight="1" x14ac:dyDescent="0.25">
      <c r="A1" s="28"/>
      <c r="B1" s="19" t="s">
        <v>49</v>
      </c>
      <c r="C1" s="19" t="s">
        <v>2857</v>
      </c>
      <c r="D1" s="19" t="s">
        <v>3129</v>
      </c>
      <c r="E1" s="19" t="s">
        <v>2851</v>
      </c>
      <c r="F1" s="19" t="s">
        <v>3130</v>
      </c>
      <c r="G1" s="19" t="s">
        <v>50</v>
      </c>
      <c r="H1" s="19" t="s">
        <v>51</v>
      </c>
      <c r="I1" s="19" t="s">
        <v>2860</v>
      </c>
      <c r="J1" s="19" t="s">
        <v>3133</v>
      </c>
      <c r="K1" s="18" t="s">
        <v>53</v>
      </c>
      <c r="L1" s="18" t="s">
        <v>3352</v>
      </c>
    </row>
    <row r="2" spans="1:12" s="1" customFormat="1" ht="25.5" customHeight="1" x14ac:dyDescent="0.25">
      <c r="A2" s="1" t="s">
        <v>2864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25">
      <c r="A3" s="6" t="s">
        <v>3135</v>
      </c>
      <c r="B3" s="6" t="s">
        <v>2858</v>
      </c>
      <c r="C3" s="6" t="s">
        <v>2859</v>
      </c>
      <c r="D3" s="6" t="s">
        <v>3128</v>
      </c>
      <c r="E3" s="6" t="s">
        <v>3121</v>
      </c>
      <c r="F3" s="6" t="s">
        <v>3131</v>
      </c>
      <c r="G3" s="6" t="s">
        <v>2861</v>
      </c>
      <c r="H3" s="6" t="s">
        <v>2862</v>
      </c>
      <c r="I3" s="6" t="s">
        <v>2863</v>
      </c>
      <c r="J3" s="6" t="s">
        <v>3132</v>
      </c>
      <c r="K3" s="6" t="s">
        <v>3119</v>
      </c>
      <c r="L3" s="6" t="s">
        <v>3353</v>
      </c>
    </row>
    <row r="4" spans="1:12" s="24" customFormat="1" ht="15.75" customHeight="1" x14ac:dyDescent="0.25">
      <c r="A4" s="23" t="s">
        <v>3135</v>
      </c>
      <c r="B4" s="24" t="s">
        <v>3123</v>
      </c>
      <c r="C4" s="24" t="s">
        <v>3124</v>
      </c>
      <c r="D4" s="24" t="s">
        <v>3124</v>
      </c>
      <c r="E4" s="24" t="s">
        <v>3124</v>
      </c>
      <c r="F4" s="24" t="s">
        <v>3124</v>
      </c>
      <c r="G4" s="24" t="s">
        <v>3125</v>
      </c>
      <c r="H4" s="24" t="s">
        <v>3123</v>
      </c>
      <c r="I4" s="24" t="s">
        <v>3123</v>
      </c>
      <c r="J4" s="24" t="s">
        <v>3134</v>
      </c>
      <c r="K4" s="24" t="s">
        <v>3134</v>
      </c>
      <c r="L4" s="24" t="s">
        <v>3159</v>
      </c>
    </row>
    <row r="5" spans="1:12" x14ac:dyDescent="0.25">
      <c r="B5" s="2" t="s">
        <v>54</v>
      </c>
      <c r="C5" s="2" t="s">
        <v>2856</v>
      </c>
      <c r="D5" s="2" t="s">
        <v>3122</v>
      </c>
      <c r="E5" s="2" t="s">
        <v>3122</v>
      </c>
      <c r="F5" s="2" t="s">
        <v>3122</v>
      </c>
      <c r="G5" s="2">
        <v>251</v>
      </c>
      <c r="H5" s="2">
        <v>1</v>
      </c>
      <c r="I5" s="2" t="s">
        <v>2850</v>
      </c>
      <c r="J5" s="2" t="s">
        <v>2850</v>
      </c>
      <c r="K5" s="4">
        <v>0</v>
      </c>
    </row>
    <row r="6" spans="1:12" x14ac:dyDescent="0.2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4.4" x14ac:dyDescent="0.25"/>
  <cols>
    <col min="1" max="1" width="6.21875" bestFit="1" customWidth="1"/>
    <col min="2" max="3" width="16.109375" bestFit="1" customWidth="1"/>
    <col min="4" max="4" width="11.6640625" bestFit="1" customWidth="1"/>
    <col min="5" max="5" width="25" bestFit="1" customWidth="1"/>
    <col min="6" max="6" width="21.6640625" bestFit="1" customWidth="1"/>
    <col min="7" max="7" width="17.21875" bestFit="1" customWidth="1"/>
    <col min="8" max="8" width="23.88671875" bestFit="1" customWidth="1"/>
    <col min="9" max="9" width="23.44140625" bestFit="1" customWidth="1"/>
    <col min="11" max="11" width="11.6640625" bestFit="1" customWidth="1"/>
  </cols>
  <sheetData>
    <row r="1" spans="1:11" ht="63" customHeight="1" x14ac:dyDescent="0.25">
      <c r="A1" s="28"/>
      <c r="B1" s="19" t="s">
        <v>3344</v>
      </c>
      <c r="C1" s="19" t="s">
        <v>3345</v>
      </c>
      <c r="D1" s="30" t="s">
        <v>3346</v>
      </c>
      <c r="E1" s="19" t="s">
        <v>3145</v>
      </c>
      <c r="F1" s="19" t="s">
        <v>3144</v>
      </c>
      <c r="G1" s="19" t="s">
        <v>3143</v>
      </c>
      <c r="H1" s="19" t="s">
        <v>3142</v>
      </c>
      <c r="I1" s="19" t="s">
        <v>3141</v>
      </c>
      <c r="J1" s="19"/>
      <c r="K1" s="18"/>
    </row>
    <row r="2" spans="1:11" x14ac:dyDescent="0.25">
      <c r="A2" s="1" t="s">
        <v>2864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25">
      <c r="A3" s="6" t="s">
        <v>3135</v>
      </c>
      <c r="B3" s="6" t="s">
        <v>3340</v>
      </c>
      <c r="C3" s="6" t="s">
        <v>3341</v>
      </c>
      <c r="D3" s="6" t="s">
        <v>3278</v>
      </c>
      <c r="E3" s="6" t="s">
        <v>3136</v>
      </c>
      <c r="F3" s="6" t="s">
        <v>3137</v>
      </c>
      <c r="G3" s="6" t="s">
        <v>3138</v>
      </c>
      <c r="H3" s="6" t="s">
        <v>3139</v>
      </c>
      <c r="I3" s="6" t="s">
        <v>3140</v>
      </c>
      <c r="J3" s="6"/>
      <c r="K3" s="6"/>
    </row>
    <row r="4" spans="1:11" x14ac:dyDescent="0.25">
      <c r="A4" s="23" t="s">
        <v>3135</v>
      </c>
      <c r="B4" s="24" t="s">
        <v>3125</v>
      </c>
      <c r="C4" s="24" t="s">
        <v>3125</v>
      </c>
      <c r="D4" s="23" t="s">
        <v>3126</v>
      </c>
      <c r="E4" s="24" t="s">
        <v>3126</v>
      </c>
      <c r="F4" s="24" t="s">
        <v>3125</v>
      </c>
      <c r="G4" s="24" t="s">
        <v>3123</v>
      </c>
      <c r="H4" s="24" t="s">
        <v>3125</v>
      </c>
      <c r="I4" s="24" t="s">
        <v>3123</v>
      </c>
      <c r="J4" s="24"/>
      <c r="K4" s="25"/>
    </row>
    <row r="5" spans="1:11" x14ac:dyDescent="0.25">
      <c r="A5" s="2"/>
      <c r="B5" s="2" t="s">
        <v>3342</v>
      </c>
      <c r="C5" s="2" t="s">
        <v>3343</v>
      </c>
      <c r="D5" s="2" t="s">
        <v>3235</v>
      </c>
      <c r="E5" s="2" t="s">
        <v>3147</v>
      </c>
      <c r="F5" s="2" t="s">
        <v>571</v>
      </c>
      <c r="G5" s="2" t="s">
        <v>32</v>
      </c>
      <c r="H5" s="2" t="s">
        <v>487</v>
      </c>
      <c r="I5" s="2" t="s">
        <v>3146</v>
      </c>
      <c r="J5" s="2"/>
      <c r="K5" s="4"/>
    </row>
    <row r="6" spans="1:11" x14ac:dyDescent="0.2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zoomScaleNormal="100" workbookViewId="0">
      <selection activeCell="AS4" sqref="AS4"/>
    </sheetView>
  </sheetViews>
  <sheetFormatPr defaultColWidth="9" defaultRowHeight="14.4" x14ac:dyDescent="0.25"/>
  <cols>
    <col min="1" max="2" width="5.77734375" style="2" bestFit="1" customWidth="1"/>
    <col min="3" max="3" width="9.44140625" style="2" bestFit="1" customWidth="1"/>
    <col min="4" max="4" width="16.44140625" style="2" bestFit="1" customWidth="1"/>
    <col min="5" max="5" width="16.44140625" style="4" customWidth="1"/>
    <col min="6" max="6" width="15.33203125" style="4" customWidth="1"/>
    <col min="7" max="7" width="16.44140625" style="2" bestFit="1" customWidth="1"/>
    <col min="8" max="8" width="16.44140625" style="4" customWidth="1"/>
    <col min="9" max="9" width="15.33203125" style="4" bestFit="1" customWidth="1"/>
    <col min="10" max="10" width="15.33203125" style="4" customWidth="1"/>
    <col min="11" max="11" width="12.88671875" style="2" bestFit="1" customWidth="1"/>
    <col min="12" max="13" width="10.44140625" style="2" bestFit="1" customWidth="1"/>
    <col min="14" max="14" width="14.109375" style="2" bestFit="1" customWidth="1"/>
    <col min="15" max="15" width="12.88671875" style="2" bestFit="1" customWidth="1"/>
    <col min="16" max="16" width="9.33203125" style="2" bestFit="1" customWidth="1"/>
    <col min="17" max="17" width="5.77734375" style="2" bestFit="1" customWidth="1"/>
    <col min="18" max="18" width="3.44140625" style="2" bestFit="1" customWidth="1"/>
    <col min="19" max="19" width="16.44140625" style="2" bestFit="1" customWidth="1"/>
    <col min="20" max="21" width="10.44140625" style="2" bestFit="1" customWidth="1"/>
    <col min="22" max="22" width="16.44140625" style="2" bestFit="1" customWidth="1"/>
    <col min="23" max="23" width="7.109375" style="2" bestFit="1" customWidth="1"/>
    <col min="24" max="24" width="7.44140625" style="2" bestFit="1" customWidth="1"/>
    <col min="25" max="25" width="12.88671875" style="2" bestFit="1" customWidth="1"/>
    <col min="26" max="26" width="9.44140625" style="2" bestFit="1" customWidth="1"/>
    <col min="27" max="27" width="9.33203125" style="2" bestFit="1" customWidth="1"/>
    <col min="28" max="28" width="9.6640625" style="2" bestFit="1" customWidth="1"/>
    <col min="29" max="29" width="10.77734375" style="2" bestFit="1" customWidth="1"/>
    <col min="30" max="30" width="15.77734375" style="2" bestFit="1" customWidth="1"/>
    <col min="31" max="31" width="10.77734375" style="2" bestFit="1" customWidth="1"/>
    <col min="32" max="32" width="9.6640625" style="2" bestFit="1" customWidth="1"/>
    <col min="33" max="33" width="10.44140625" style="2" bestFit="1" customWidth="1"/>
    <col min="34" max="34" width="9.33203125" style="2" bestFit="1" customWidth="1"/>
    <col min="35" max="35" width="16.44140625" style="2" bestFit="1" customWidth="1"/>
    <col min="36" max="36" width="10.44140625" style="2" bestFit="1" customWidth="1"/>
    <col min="37" max="37" width="7.44140625" style="2" bestFit="1" customWidth="1"/>
    <col min="38" max="38" width="10.44140625" style="2" bestFit="1" customWidth="1"/>
    <col min="39" max="39" width="7.44140625" style="2" bestFit="1" customWidth="1"/>
    <col min="40" max="40" width="16.44140625" style="2" bestFit="1" customWidth="1"/>
    <col min="41" max="41" width="7.44140625" style="2" bestFit="1" customWidth="1"/>
    <col min="42" max="42" width="17.77734375" style="2" bestFit="1" customWidth="1"/>
    <col min="43" max="44" width="21.44140625" style="2" bestFit="1" customWidth="1"/>
    <col min="45" max="45" width="12.88671875" style="2" bestFit="1" customWidth="1"/>
    <col min="46" max="46" width="15.33203125" style="2" bestFit="1" customWidth="1"/>
    <col min="47" max="47" width="16.44140625" style="2" bestFit="1" customWidth="1"/>
    <col min="48" max="48" width="12.88671875" style="2" bestFit="1" customWidth="1"/>
    <col min="49" max="49" width="15.33203125" style="2" bestFit="1" customWidth="1"/>
    <col min="50" max="50" width="12.88671875" style="2" bestFit="1" customWidth="1"/>
    <col min="51" max="51" width="17.77734375" style="2" bestFit="1" customWidth="1"/>
    <col min="52" max="52" width="17" style="2" bestFit="1" customWidth="1"/>
    <col min="53" max="53" width="13.88671875" style="2" customWidth="1"/>
    <col min="54" max="54" width="5.77734375" style="2" customWidth="1"/>
    <col min="55" max="55" width="7.88671875" style="2" customWidth="1"/>
    <col min="56" max="56" width="15" style="2" customWidth="1"/>
    <col min="57" max="57" width="14.6640625" style="2" customWidth="1"/>
    <col min="58" max="58" width="17.21875" style="2" customWidth="1"/>
    <col min="59" max="59" width="12.77734375" style="2" customWidth="1"/>
    <col min="60" max="60" width="12.88671875" style="2" bestFit="1" customWidth="1"/>
    <col min="61" max="61" width="14.109375" style="2" bestFit="1" customWidth="1"/>
    <col min="62" max="62" width="10.44140625" style="2" bestFit="1" customWidth="1"/>
    <col min="63" max="64" width="12.88671875" style="2" bestFit="1" customWidth="1"/>
    <col min="65" max="69" width="5.77734375" style="2" hidden="1" customWidth="1"/>
    <col min="70" max="70" width="7.44140625" style="2" customWidth="1"/>
    <col min="71" max="71" width="4.88671875" style="2" bestFit="1" customWidth="1"/>
    <col min="72" max="16384" width="9" style="2"/>
  </cols>
  <sheetData>
    <row r="1" spans="1:70" s="8" customFormat="1" ht="27.6" customHeight="1" x14ac:dyDescent="0.25">
      <c r="A1" s="8" t="s">
        <v>3059</v>
      </c>
      <c r="B1" s="12" t="s">
        <v>0</v>
      </c>
      <c r="C1" s="12" t="s">
        <v>2848</v>
      </c>
      <c r="D1" s="12" t="s">
        <v>76</v>
      </c>
      <c r="E1" s="12"/>
      <c r="F1" s="12"/>
      <c r="G1" s="12" t="s">
        <v>75</v>
      </c>
      <c r="H1" s="12"/>
      <c r="I1" s="12" t="s">
        <v>3165</v>
      </c>
      <c r="J1" s="12"/>
      <c r="K1" s="12" t="s">
        <v>361</v>
      </c>
      <c r="L1" s="12" t="s">
        <v>362</v>
      </c>
      <c r="M1" s="12" t="s">
        <v>363</v>
      </c>
      <c r="N1" s="8" t="s">
        <v>3150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3058</v>
      </c>
      <c r="W1" s="12" t="s">
        <v>3153</v>
      </c>
      <c r="Y1" s="9" t="s">
        <v>3120</v>
      </c>
      <c r="AA1" s="12" t="s">
        <v>341</v>
      </c>
      <c r="AB1" s="12" t="s">
        <v>3049</v>
      </c>
      <c r="AC1" s="12" t="s">
        <v>3050</v>
      </c>
      <c r="AD1" s="9" t="s">
        <v>3051</v>
      </c>
      <c r="AE1" s="12" t="s">
        <v>342</v>
      </c>
      <c r="AF1" s="12" t="s">
        <v>3052</v>
      </c>
      <c r="AG1" s="12" t="s">
        <v>343</v>
      </c>
      <c r="AH1" s="12" t="s">
        <v>3054</v>
      </c>
      <c r="AI1" s="12" t="s">
        <v>1</v>
      </c>
      <c r="AJ1" s="12" t="s">
        <v>349</v>
      </c>
      <c r="AL1" s="12" t="s">
        <v>350</v>
      </c>
      <c r="AN1" s="12" t="s">
        <v>3057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3160</v>
      </c>
      <c r="AZ1" s="12" t="s">
        <v>3288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2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25">
      <c r="A3" s="13" t="s">
        <v>3135</v>
      </c>
      <c r="B3" s="10" t="s">
        <v>3148</v>
      </c>
      <c r="C3" s="10" t="s">
        <v>3149</v>
      </c>
      <c r="D3" s="10" t="s">
        <v>3255</v>
      </c>
      <c r="E3" s="11"/>
      <c r="G3" s="10" t="s">
        <v>3256</v>
      </c>
      <c r="H3" s="11"/>
      <c r="I3" s="13" t="s">
        <v>3266</v>
      </c>
      <c r="K3" s="13" t="s">
        <v>3164</v>
      </c>
      <c r="L3" s="13" t="s">
        <v>3163</v>
      </c>
      <c r="M3" s="13" t="s">
        <v>3162</v>
      </c>
      <c r="N3" s="13" t="s">
        <v>3131</v>
      </c>
      <c r="O3" s="13" t="s">
        <v>3152</v>
      </c>
      <c r="P3" s="13" t="s">
        <v>3151</v>
      </c>
      <c r="Q3" s="13" t="s">
        <v>3056</v>
      </c>
      <c r="R3" s="13" t="s">
        <v>3135</v>
      </c>
      <c r="S3" s="13" t="s">
        <v>3154</v>
      </c>
      <c r="T3" s="13" t="s">
        <v>3155</v>
      </c>
      <c r="U3" s="13" t="s">
        <v>3156</v>
      </c>
      <c r="V3" s="13" t="s">
        <v>3157</v>
      </c>
      <c r="W3" s="13" t="s">
        <v>2868</v>
      </c>
      <c r="X3" s="13" t="s">
        <v>3135</v>
      </c>
      <c r="Y3" s="13" t="s">
        <v>3276</v>
      </c>
      <c r="Z3" s="14" t="s">
        <v>3135</v>
      </c>
      <c r="AA3" s="13" t="s">
        <v>3231</v>
      </c>
      <c r="AB3" s="13" t="s">
        <v>3265</v>
      </c>
      <c r="AC3" s="13" t="s">
        <v>3261</v>
      </c>
      <c r="AD3" s="13" t="s">
        <v>3262</v>
      </c>
      <c r="AE3" s="13" t="s">
        <v>3263</v>
      </c>
      <c r="AF3" s="13" t="s">
        <v>3264</v>
      </c>
      <c r="AG3" s="13" t="s">
        <v>3053</v>
      </c>
      <c r="AH3" s="13" t="s">
        <v>3055</v>
      </c>
      <c r="AI3" s="13" t="s">
        <v>3236</v>
      </c>
      <c r="AJ3" s="13" t="s">
        <v>3260</v>
      </c>
      <c r="AK3" s="13" t="s">
        <v>3135</v>
      </c>
      <c r="AL3" s="13" t="s">
        <v>3259</v>
      </c>
      <c r="AM3" s="13" t="s">
        <v>3135</v>
      </c>
      <c r="AN3" s="13" t="s">
        <v>3249</v>
      </c>
      <c r="AO3" s="13" t="s">
        <v>3135</v>
      </c>
      <c r="AP3" s="13" t="s">
        <v>3250</v>
      </c>
      <c r="AQ3" s="13" t="s">
        <v>3251</v>
      </c>
      <c r="AR3" s="13" t="s">
        <v>3248</v>
      </c>
      <c r="AS3" s="13" t="s">
        <v>3321</v>
      </c>
      <c r="AT3" s="13" t="s">
        <v>3322</v>
      </c>
      <c r="AU3" s="13" t="s">
        <v>3323</v>
      </c>
      <c r="AV3" s="13" t="s">
        <v>3324</v>
      </c>
      <c r="AW3" s="13" t="s">
        <v>3325</v>
      </c>
      <c r="AX3" s="13" t="s">
        <v>3326</v>
      </c>
      <c r="AY3" s="13" t="s">
        <v>3258</v>
      </c>
      <c r="AZ3" s="13" t="s">
        <v>3287</v>
      </c>
    </row>
    <row r="4" spans="1:70" s="24" customFormat="1" ht="15.75" customHeight="1" x14ac:dyDescent="0.25">
      <c r="A4" s="23" t="s">
        <v>3135</v>
      </c>
      <c r="B4" s="24" t="s">
        <v>3134</v>
      </c>
      <c r="C4" s="24" t="s">
        <v>3124</v>
      </c>
      <c r="D4" s="24" t="s">
        <v>3134</v>
      </c>
      <c r="E4" s="24" t="s">
        <v>3135</v>
      </c>
      <c r="F4" s="24" t="s">
        <v>3135</v>
      </c>
      <c r="G4" s="24" t="s">
        <v>3134</v>
      </c>
      <c r="H4" s="24" t="s">
        <v>3135</v>
      </c>
      <c r="I4" s="24" t="s">
        <v>3134</v>
      </c>
      <c r="J4" s="24" t="s">
        <v>3135</v>
      </c>
      <c r="K4" s="24" t="s">
        <v>3124</v>
      </c>
      <c r="L4" s="24" t="s">
        <v>3124</v>
      </c>
      <c r="M4" s="24" t="s">
        <v>3124</v>
      </c>
      <c r="N4" s="24" t="s">
        <v>3124</v>
      </c>
      <c r="O4" s="24" t="s">
        <v>3134</v>
      </c>
      <c r="P4" s="24" t="s">
        <v>3134</v>
      </c>
      <c r="Q4" s="24" t="s">
        <v>3123</v>
      </c>
      <c r="R4" s="24" t="s">
        <v>3135</v>
      </c>
      <c r="S4" s="24" t="s">
        <v>3158</v>
      </c>
      <c r="T4" s="24" t="s">
        <v>3158</v>
      </c>
      <c r="U4" s="24" t="s">
        <v>3158</v>
      </c>
      <c r="V4" s="24" t="s">
        <v>3125</v>
      </c>
      <c r="W4" s="24" t="s">
        <v>3123</v>
      </c>
      <c r="X4" s="24" t="s">
        <v>3135</v>
      </c>
      <c r="Y4" s="24" t="s">
        <v>3134</v>
      </c>
      <c r="Z4" s="24" t="s">
        <v>3135</v>
      </c>
      <c r="AA4" s="24" t="s">
        <v>3158</v>
      </c>
      <c r="AB4" s="24" t="s">
        <v>3159</v>
      </c>
      <c r="AC4" s="24" t="s">
        <v>3159</v>
      </c>
      <c r="AD4" s="24" t="s">
        <v>3159</v>
      </c>
      <c r="AE4" s="24" t="s">
        <v>3159</v>
      </c>
      <c r="AF4" s="24" t="s">
        <v>3159</v>
      </c>
      <c r="AG4" s="24" t="s">
        <v>3135</v>
      </c>
      <c r="AH4" s="24" t="s">
        <v>3135</v>
      </c>
      <c r="AI4" s="24" t="s">
        <v>3158</v>
      </c>
      <c r="AJ4" s="24" t="s">
        <v>3134</v>
      </c>
      <c r="AK4" s="24" t="s">
        <v>3135</v>
      </c>
      <c r="AL4" s="24" t="s">
        <v>3134</v>
      </c>
      <c r="AM4" s="24" t="s">
        <v>3135</v>
      </c>
      <c r="AN4" s="24" t="s">
        <v>3159</v>
      </c>
      <c r="AO4" s="24" t="s">
        <v>3135</v>
      </c>
      <c r="AP4" s="24" t="s">
        <v>3159</v>
      </c>
      <c r="AQ4" s="24" t="s">
        <v>3159</v>
      </c>
      <c r="AR4" s="24" t="s">
        <v>3159</v>
      </c>
      <c r="AS4" s="24" t="s">
        <v>3159</v>
      </c>
      <c r="AT4" s="24" t="s">
        <v>3159</v>
      </c>
      <c r="AU4" s="24" t="s">
        <v>3159</v>
      </c>
      <c r="AV4" s="24" t="s">
        <v>3159</v>
      </c>
      <c r="AW4" s="24" t="s">
        <v>3159</v>
      </c>
      <c r="AX4" s="24" t="s">
        <v>3159</v>
      </c>
      <c r="AY4" s="24" t="s">
        <v>3159</v>
      </c>
      <c r="AZ4" s="24" t="s">
        <v>3134</v>
      </c>
      <c r="BR4" s="13"/>
    </row>
    <row r="5" spans="1:70" x14ac:dyDescent="0.2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2850</v>
      </c>
    </row>
    <row r="6" spans="1:70" x14ac:dyDescent="0.2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2981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2850</v>
      </c>
    </row>
    <row r="7" spans="1:70" x14ac:dyDescent="0.2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2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2981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2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2981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2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2981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2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2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2981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2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2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3161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3073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2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3073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2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2981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2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2981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2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2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2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2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2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2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2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2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2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54</v>
      </c>
      <c r="H26" s="4" t="str">
        <f>VLOOKUP(G26,corpsSet!$B$5:$C$46,2,0)</f>
        <v>曹操</v>
      </c>
      <c r="I26" s="2" t="s">
        <v>3318</v>
      </c>
      <c r="J26" s="4" t="str">
        <f>VLOOKUP(I26,citySet!$B$5:$C$46,2,0)</f>
        <v>许昌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3074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25">
      <c r="B27" s="2" t="s">
        <v>189</v>
      </c>
      <c r="C27" s="2" t="s">
        <v>3075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2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2981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25">
      <c r="B29" s="2" t="s">
        <v>196</v>
      </c>
      <c r="C29" s="2" t="s">
        <v>3076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2981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2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3074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2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2981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2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2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2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2981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2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2981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2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2981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2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2981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2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2981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2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3074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2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2981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2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25">
      <c r="B42" s="2" t="s">
        <v>207</v>
      </c>
      <c r="C42" s="2" t="s">
        <v>3077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2981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2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2981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2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2981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2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2981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2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2981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2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2981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2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2981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2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2981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2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2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2981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2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25">
      <c r="B53" s="2" t="s">
        <v>233</v>
      </c>
      <c r="C53" s="2" t="s">
        <v>3078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2981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2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2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2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2981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2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3073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2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3073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2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3074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2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2981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25">
      <c r="B61" s="2" t="s">
        <v>432</v>
      </c>
      <c r="C61" s="2" t="s">
        <v>3079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2981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2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2981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2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2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3074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2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3074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2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2981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2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2981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2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2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2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2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2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2981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2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2981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2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2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2981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2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3073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2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2981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2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2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2981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2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2981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2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2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2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2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2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2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2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3074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2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2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2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2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2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2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2981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2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2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2981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2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2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2981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25">
      <c r="B98" s="2" t="s">
        <v>175</v>
      </c>
      <c r="C98" s="2" t="s">
        <v>3067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2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2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2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2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2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2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2981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2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2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2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2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2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2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2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3074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2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2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2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2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2981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2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3074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2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2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2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2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2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2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2981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25">
      <c r="B123" s="2" t="s">
        <v>141</v>
      </c>
      <c r="C123" s="2" t="s">
        <v>3080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25">
      <c r="B124" s="2" t="s">
        <v>134</v>
      </c>
      <c r="C124" s="2" t="s">
        <v>3081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2981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2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2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2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2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2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25">
      <c r="B130" s="2" t="s">
        <v>335</v>
      </c>
      <c r="C130" s="2" t="s">
        <v>3082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2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2981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2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2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2981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2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2981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2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3074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2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2981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2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3073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2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2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3073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2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2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2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3074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2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2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2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3074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2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2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25">
      <c r="B148" s="2" t="s">
        <v>888</v>
      </c>
      <c r="C148" s="2" t="s">
        <v>1088</v>
      </c>
      <c r="D148" s="2" t="s">
        <v>3319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3319</v>
      </c>
      <c r="H148" s="4" t="str">
        <f>VLOOKUP(G148,corpsSet!$B$5:$C$46,2,0)</f>
        <v>孔胄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3074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2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2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2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25">
      <c r="B152" s="2" t="s">
        <v>616</v>
      </c>
      <c r="C152" s="2" t="s">
        <v>3083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3073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2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2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2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2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3073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2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25">
      <c r="B158" s="2" t="s">
        <v>535</v>
      </c>
      <c r="C158" s="2" t="s">
        <v>3084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2981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2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2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2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2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2981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2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2981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2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2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2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2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2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25">
      <c r="B169" s="2" t="s">
        <v>499</v>
      </c>
      <c r="C169" s="2" t="s">
        <v>3085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2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2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3074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2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2981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2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2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2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2981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25">
      <c r="B176" s="2" t="s">
        <v>712</v>
      </c>
      <c r="C176" s="2" t="s">
        <v>3086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2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2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2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2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2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2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2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3074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2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2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2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2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25">
      <c r="B188" s="2" t="s">
        <v>435</v>
      </c>
      <c r="C188" s="2" t="s">
        <v>3087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25">
      <c r="B189" s="2" t="s">
        <v>578</v>
      </c>
      <c r="C189" s="2" t="s">
        <v>1219</v>
      </c>
      <c r="D189" s="2" t="s">
        <v>3319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3319</v>
      </c>
      <c r="H189" s="4" t="str">
        <f>VLOOKUP(G189,corpsSet!$B$5:$C$46,2,0)</f>
        <v>孔胄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2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2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2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2981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2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2981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2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2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2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2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2981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2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2981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2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2981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2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2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2981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2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2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2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2981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2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2981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2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2981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2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2981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25">
      <c r="B208" s="2" t="s">
        <v>380</v>
      </c>
      <c r="C208" s="2" t="s">
        <v>3088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2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2981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2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2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2981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2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2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2981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2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2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2981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2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2981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2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2981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2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2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2981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2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2981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2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2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2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2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2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2981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2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2981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2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2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2981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2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2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2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2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2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2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2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3073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2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2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2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3074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2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2981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2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2981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2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2981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25">
      <c r="B242" s="2" t="s">
        <v>843</v>
      </c>
      <c r="C242" s="2" t="s">
        <v>3089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2981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2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3074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2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2981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2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2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2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2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2981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2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2981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2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3074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2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2981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2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2981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2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2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2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2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2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2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2981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2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3074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2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2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2981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25">
      <c r="B262" s="2" t="s">
        <v>447</v>
      </c>
      <c r="C262" s="2" t="s">
        <v>3090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2981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2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3073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2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3073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2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2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2981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2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2981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2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25">
      <c r="B269" s="2" t="s">
        <v>854</v>
      </c>
      <c r="C269" s="2" t="s">
        <v>3091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2981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2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2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2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2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2981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2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2981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2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2981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2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2981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2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2981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2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2981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2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2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3074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2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25">
      <c r="B282" s="2" t="s">
        <v>570</v>
      </c>
      <c r="C282" s="2" t="s">
        <v>3092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2981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2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2981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2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2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2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2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2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2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2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2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2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2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2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3074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2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2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2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2981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2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2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2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2981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2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2981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2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2981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25">
      <c r="B303" s="2" t="s">
        <v>1019</v>
      </c>
      <c r="C303" s="2" t="s">
        <v>3286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2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2981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2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2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2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2981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2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2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2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2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2981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2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2981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2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2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2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2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2981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2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2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2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3074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2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2981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2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2981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2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2981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2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2981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2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2981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25">
      <c r="B325" s="2" t="s">
        <v>1067</v>
      </c>
      <c r="C325" s="2" t="s">
        <v>3093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2981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2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2981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2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2981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2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2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2981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2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2981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2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2981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2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2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2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2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2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2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2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2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2981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2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2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2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2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2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2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2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2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2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2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2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2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2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2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2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2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2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2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2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3074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2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2981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2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2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25">
      <c r="B362" s="2" t="s">
        <v>956</v>
      </c>
      <c r="C362" s="2" t="s">
        <v>3094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2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2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2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2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2981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2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2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2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2981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2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25">
      <c r="B371" s="2" t="s">
        <v>624</v>
      </c>
      <c r="C371" s="2" t="s">
        <v>3095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2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2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2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2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2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2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2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2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2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2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2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2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2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2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2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2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2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2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2981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2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2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2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2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2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2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3073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2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2981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2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3074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2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2981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2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25">
      <c r="B400" s="2" t="s">
        <v>1871</v>
      </c>
      <c r="C400" s="2" t="s">
        <v>3096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25">
      <c r="B401" s="2" t="s">
        <v>1875</v>
      </c>
      <c r="C401" s="2" t="s">
        <v>1872</v>
      </c>
      <c r="D401" s="2" t="s">
        <v>3320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3320</v>
      </c>
      <c r="H401" s="4" t="str">
        <f>VLOOKUP(G401,corpsSet!$B$5:$C$46,2,0)</f>
        <v>张鲁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2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2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2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2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2981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2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2981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25">
      <c r="B407" s="2" t="s">
        <v>1889</v>
      </c>
      <c r="C407" s="2" t="s">
        <v>3097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2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2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2981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2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2981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2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2981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2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2981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2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2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25">
      <c r="B415" s="2" t="s">
        <v>1917</v>
      </c>
      <c r="C415" s="2" t="s">
        <v>3098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2981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25">
      <c r="B416" s="2" t="s">
        <v>1921</v>
      </c>
      <c r="C416" s="2" t="s">
        <v>3099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2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3096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2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2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2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2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3073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2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2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2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2981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2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3073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2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2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2981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2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2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2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2981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2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3096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2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2981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2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2981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2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2981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2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3073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25">
      <c r="B436" s="2" t="s">
        <v>1603</v>
      </c>
      <c r="C436" s="2" t="s">
        <v>3069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2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2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2981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2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2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2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25">
      <c r="B442" s="2" t="s">
        <v>1990</v>
      </c>
      <c r="C442" s="2" t="s">
        <v>1987</v>
      </c>
      <c r="D442" s="2" t="s">
        <v>3146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3146</v>
      </c>
      <c r="H442" s="4" t="str">
        <f>VLOOKUP(G442,corpsSet!$B$5:$C$46,2,0)</f>
        <v>丁原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2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2981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2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2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2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2981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25">
      <c r="B447" s="2" t="s">
        <v>1192</v>
      </c>
      <c r="C447" s="2" t="s">
        <v>2001</v>
      </c>
      <c r="D447" s="2" t="s">
        <v>3320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3320</v>
      </c>
      <c r="H447" s="4" t="str">
        <f>VLOOKUP(G447,corpsSet!$B$5:$C$46,2,0)</f>
        <v>张鲁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2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2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2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2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3074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2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2981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2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2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3074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2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2981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2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2981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2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2981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2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2981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2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2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2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2981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2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2981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2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2981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2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2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2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2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2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2981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2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25">
      <c r="B470" s="2" t="s">
        <v>1277</v>
      </c>
      <c r="C470" s="2" t="s">
        <v>2074</v>
      </c>
      <c r="D470" s="2" t="s">
        <v>3146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3146</v>
      </c>
      <c r="H470" s="4" t="str">
        <f>VLOOKUP(G470,corpsSet!$B$5:$C$46,2,0)</f>
        <v>丁原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2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2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2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2981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2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2981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2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2981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2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2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2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2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25">
      <c r="B480" s="2" t="s">
        <v>1664</v>
      </c>
      <c r="C480" s="2" t="s">
        <v>3066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3074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2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2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2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2981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2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2981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2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2981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2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25">
      <c r="B487" s="2" t="s">
        <v>247</v>
      </c>
      <c r="C487" s="2" t="s">
        <v>3070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3074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2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2981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2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2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2981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2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2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2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2981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25">
      <c r="B494" s="2" t="s">
        <v>2145</v>
      </c>
      <c r="C494" s="2" t="s">
        <v>3100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2981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25">
      <c r="B495" s="2" t="s">
        <v>517</v>
      </c>
      <c r="C495" s="2" t="s">
        <v>3101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2981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2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2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2981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2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2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2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2981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2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2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2981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2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2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2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2981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2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25">
      <c r="B507" s="2" t="s">
        <v>317</v>
      </c>
      <c r="C507" s="2" t="s">
        <v>3102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2981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2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2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2981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25">
      <c r="B510" s="2" t="s">
        <v>278</v>
      </c>
      <c r="C510" s="2" t="s">
        <v>3103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2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2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2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2981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2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2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2981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2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2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2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2981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2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2981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2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2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2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2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2981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2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2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2981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2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2981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2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25">
      <c r="B528" s="2" t="s">
        <v>987</v>
      </c>
      <c r="C528" s="2" t="s">
        <v>3104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2981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2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2981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2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2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2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25">
      <c r="B533" s="2" t="s">
        <v>1143</v>
      </c>
      <c r="C533" s="2" t="s">
        <v>3105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2981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2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2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2981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2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2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2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2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2981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2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2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2981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2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2981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2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2981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2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2981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2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2981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2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2981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2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2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2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25">
      <c r="B550" s="2" t="s">
        <v>2292</v>
      </c>
      <c r="C550" s="2" t="s">
        <v>3106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2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2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2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2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2981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2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2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2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2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2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2981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2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2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2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3073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2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3074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2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2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2981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25">
      <c r="B566" s="2" t="s">
        <v>1742</v>
      </c>
      <c r="C566" s="2" t="s">
        <v>2330</v>
      </c>
      <c r="D566" s="2" t="s">
        <v>3146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3146</v>
      </c>
      <c r="H566" s="4" t="str">
        <f>VLOOKUP(G566,corpsSet!$B$5:$C$46,2,0)</f>
        <v>丁原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2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2981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2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2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2981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2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2981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2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2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2981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2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2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2981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2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25">
      <c r="B576" s="2" t="s">
        <v>1808</v>
      </c>
      <c r="C576" s="2" t="s">
        <v>3107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2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25">
      <c r="B578" s="2" t="s">
        <v>988</v>
      </c>
      <c r="C578" s="2" t="s">
        <v>3108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2981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25">
      <c r="B579" s="2" t="s">
        <v>2363</v>
      </c>
      <c r="C579" s="2" t="s">
        <v>3068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2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2981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2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2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2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3074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25">
      <c r="B584" s="2" t="s">
        <v>2375</v>
      </c>
      <c r="C584" s="2" t="s">
        <v>91</v>
      </c>
      <c r="D584" s="2" t="s">
        <v>3320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3320</v>
      </c>
      <c r="H584" s="4" t="str">
        <f>VLOOKUP(G584,corpsSet!$B$5:$C$46,2,0)</f>
        <v>张鲁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2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2981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25">
      <c r="B586" s="2" t="s">
        <v>2052</v>
      </c>
      <c r="C586" s="2" t="s">
        <v>3109</v>
      </c>
      <c r="D586" s="2" t="s">
        <v>3146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3146</v>
      </c>
      <c r="H586" s="4" t="str">
        <f>VLOOKUP(G586,corpsSet!$B$5:$C$46,2,0)</f>
        <v>丁原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2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2981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2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3073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25">
      <c r="B589" s="2" t="s">
        <v>470</v>
      </c>
      <c r="C589" s="2" t="s">
        <v>2383</v>
      </c>
      <c r="D589" s="2" t="s">
        <v>3320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3320</v>
      </c>
      <c r="H589" s="4" t="str">
        <f>VLOOKUP(G589,corpsSet!$B$5:$C$46,2,0)</f>
        <v>张鲁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3073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25">
      <c r="B590" s="2" t="s">
        <v>320</v>
      </c>
      <c r="C590" s="2" t="s">
        <v>2385</v>
      </c>
      <c r="D590" s="2" t="s">
        <v>3320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3320</v>
      </c>
      <c r="H590" s="4" t="str">
        <f>VLOOKUP(G590,corpsSet!$B$5:$C$46,2,0)</f>
        <v>张鲁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2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2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2981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25">
      <c r="B593" s="2" t="s">
        <v>2394</v>
      </c>
      <c r="C593" s="2" t="s">
        <v>2392</v>
      </c>
      <c r="D593" s="2" t="s">
        <v>3320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3320</v>
      </c>
      <c r="H593" s="4" t="str">
        <f>VLOOKUP(G593,corpsSet!$B$5:$C$46,2,0)</f>
        <v>张鲁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2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2981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2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2981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2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2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2981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2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2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2981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2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2981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25">
      <c r="B601" s="2" t="s">
        <v>2009</v>
      </c>
      <c r="C601" s="2" t="s">
        <v>3110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2981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2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2981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2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2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2981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2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2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2981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2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2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2981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2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3074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2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25">
      <c r="B611" s="2" t="s">
        <v>273</v>
      </c>
      <c r="C611" s="2" t="s">
        <v>3111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2981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2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2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2981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2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2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2981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25">
      <c r="B616" s="2" t="s">
        <v>1380</v>
      </c>
      <c r="C616" s="2" t="s">
        <v>3112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2981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25">
      <c r="B617" s="2" t="s">
        <v>791</v>
      </c>
      <c r="C617" s="2" t="s">
        <v>3112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25">
      <c r="B618" s="2" t="s">
        <v>2367</v>
      </c>
      <c r="C618" s="2" t="s">
        <v>3112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2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2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3073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2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2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2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2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2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2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2981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2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2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2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2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2981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2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2981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2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25">
      <c r="B633" s="2" t="s">
        <v>1505</v>
      </c>
      <c r="C633" s="2" t="s">
        <v>3113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2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2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2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2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2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2981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25">
      <c r="B639" s="2" t="s">
        <v>281</v>
      </c>
      <c r="C639" s="2" t="s">
        <v>3114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2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2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2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2981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2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2981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2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2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2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2981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2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2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2981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2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2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2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2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2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2981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2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2981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2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2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2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2981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2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2981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2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2981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3115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2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2981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2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2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2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2981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25">
      <c r="B664" s="2" t="s">
        <v>2554</v>
      </c>
      <c r="C664" s="2" t="s">
        <v>3115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2981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2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2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2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2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3073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2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2981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2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2981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2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2981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2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3073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2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2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25">
      <c r="B675" s="2" t="s">
        <v>2586</v>
      </c>
      <c r="C675" s="2" t="s">
        <v>2915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2982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25">
      <c r="B676" s="2" t="s">
        <v>792</v>
      </c>
      <c r="C676" s="2" t="s">
        <v>2916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2983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25">
      <c r="B677" s="2" t="s">
        <v>2587</v>
      </c>
      <c r="C677" s="2" t="s">
        <v>2917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2984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25">
      <c r="B678" s="2" t="s">
        <v>2588</v>
      </c>
      <c r="C678" s="2" t="s">
        <v>2918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2985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25">
      <c r="B679" s="2" t="s">
        <v>2589</v>
      </c>
      <c r="C679" s="2" t="s">
        <v>2919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2986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25">
      <c r="B680" s="2" t="s">
        <v>2590</v>
      </c>
      <c r="C680" s="2" t="s">
        <v>2920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2987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25">
      <c r="B681" s="2" t="s">
        <v>2591</v>
      </c>
      <c r="C681" s="2" t="s">
        <v>2921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2988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25">
      <c r="B682" s="2" t="s">
        <v>1466</v>
      </c>
      <c r="C682" s="2" t="s">
        <v>2922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2989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25">
      <c r="B683" s="2" t="s">
        <v>2592</v>
      </c>
      <c r="C683" s="2" t="s">
        <v>2923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2990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25">
      <c r="B684" s="2" t="s">
        <v>2240</v>
      </c>
      <c r="C684" s="2" t="s">
        <v>2924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2991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25">
      <c r="B685" s="2" t="s">
        <v>1918</v>
      </c>
      <c r="C685" s="2" t="s">
        <v>2925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2992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25">
      <c r="B686" s="2" t="s">
        <v>2593</v>
      </c>
      <c r="C686" s="2" t="s">
        <v>2926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2993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25">
      <c r="B687" s="2" t="s">
        <v>2594</v>
      </c>
      <c r="C687" s="2" t="s">
        <v>2927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2994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25">
      <c r="B688" s="2" t="s">
        <v>2595</v>
      </c>
      <c r="C688" s="2" t="s">
        <v>2928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2995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25">
      <c r="B689" s="2" t="s">
        <v>2596</v>
      </c>
      <c r="C689" s="2" t="s">
        <v>2929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2996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25">
      <c r="B690" s="2" t="s">
        <v>267</v>
      </c>
      <c r="C690" s="2" t="s">
        <v>2930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2997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25">
      <c r="B691" s="2" t="s">
        <v>663</v>
      </c>
      <c r="C691" s="2" t="s">
        <v>2931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2998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25">
      <c r="B692" s="2" t="s">
        <v>2026</v>
      </c>
      <c r="C692" s="2" t="s">
        <v>2932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2999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25">
      <c r="B693" s="2" t="s">
        <v>724</v>
      </c>
      <c r="C693" s="2" t="s">
        <v>2933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3000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25">
      <c r="B694" s="2" t="s">
        <v>2597</v>
      </c>
      <c r="C694" s="2" t="s">
        <v>2934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3001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25">
      <c r="B695" s="2" t="s">
        <v>823</v>
      </c>
      <c r="C695" s="2" t="s">
        <v>2935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3002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25">
      <c r="B696" s="2" t="s">
        <v>2598</v>
      </c>
      <c r="C696" s="2" t="s">
        <v>2936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3003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25">
      <c r="B697" s="2" t="s">
        <v>448</v>
      </c>
      <c r="C697" s="2" t="s">
        <v>2937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3004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25">
      <c r="B698" s="2" t="s">
        <v>949</v>
      </c>
      <c r="C698" s="2" t="s">
        <v>2938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3005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25">
      <c r="B699" s="2" t="s">
        <v>1000</v>
      </c>
      <c r="C699" s="2" t="s">
        <v>2939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3006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25">
      <c r="B700" s="2" t="s">
        <v>741</v>
      </c>
      <c r="C700" s="2" t="s">
        <v>2940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3007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25">
      <c r="B701" s="2" t="s">
        <v>1101</v>
      </c>
      <c r="C701" s="2" t="s">
        <v>2941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3008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25">
      <c r="B702" s="2" t="s">
        <v>2599</v>
      </c>
      <c r="C702" s="2" t="s">
        <v>2942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3009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25">
      <c r="B703" s="2" t="s">
        <v>1252</v>
      </c>
      <c r="C703" s="2" t="s">
        <v>2943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3010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2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2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2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2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2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2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2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2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2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2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25">
      <c r="B714" s="2" t="s">
        <v>1164</v>
      </c>
      <c r="C714" s="2" t="s">
        <v>3116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2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2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2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2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2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2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2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2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2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2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2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2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2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2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2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2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2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2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2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2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2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25">
      <c r="B736" s="2" t="s">
        <v>1587</v>
      </c>
      <c r="C736" s="2" t="s">
        <v>3117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2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2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2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2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2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2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2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2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2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2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2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2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2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2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25">
      <c r="B751" s="2" t="s">
        <v>2697</v>
      </c>
      <c r="C751" s="2" t="s">
        <v>3118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2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2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2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2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2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2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2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2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2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2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2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2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2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2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2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2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25">
      <c r="B768" s="2" t="s">
        <v>2739</v>
      </c>
      <c r="C768" s="2" t="s">
        <v>2944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3011</v>
      </c>
      <c r="L768" s="2" t="s">
        <v>3012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25">
      <c r="B769" s="2" t="s">
        <v>2742</v>
      </c>
      <c r="C769" s="2" t="s">
        <v>2945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3011</v>
      </c>
      <c r="L769" s="2" t="s">
        <v>3013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25">
      <c r="B770" s="2" t="s">
        <v>992</v>
      </c>
      <c r="C770" s="2" t="s">
        <v>2946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3011</v>
      </c>
      <c r="L770" s="2" t="s">
        <v>3014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25">
      <c r="B771" s="2" t="s">
        <v>2747</v>
      </c>
      <c r="C771" s="2" t="s">
        <v>2947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3011</v>
      </c>
      <c r="L771" s="2" t="s">
        <v>3015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25">
      <c r="B772" s="2" t="s">
        <v>2748</v>
      </c>
      <c r="C772" s="2" t="s">
        <v>2948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3011</v>
      </c>
      <c r="L772" s="2" t="s">
        <v>3016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25">
      <c r="B773" s="2" t="s">
        <v>2252</v>
      </c>
      <c r="C773" s="2" t="s">
        <v>2949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3011</v>
      </c>
      <c r="L773" s="2" t="s">
        <v>3017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25">
      <c r="B774" s="2" t="s">
        <v>2623</v>
      </c>
      <c r="C774" s="2" t="s">
        <v>2950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3011</v>
      </c>
      <c r="L774" s="2" t="s">
        <v>3018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25">
      <c r="B775" s="2" t="s">
        <v>2654</v>
      </c>
      <c r="C775" s="2" t="s">
        <v>2951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3011</v>
      </c>
      <c r="L775" s="2" t="s">
        <v>3019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25">
      <c r="B776" s="2" t="s">
        <v>1558</v>
      </c>
      <c r="C776" s="2" t="s">
        <v>2952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3011</v>
      </c>
      <c r="L776" s="2" t="s">
        <v>3020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25">
      <c r="B777" s="2" t="s">
        <v>2300</v>
      </c>
      <c r="C777" s="2" t="s">
        <v>2953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3011</v>
      </c>
      <c r="L777" s="2" t="s">
        <v>3021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25">
      <c r="B778" s="2" t="s">
        <v>2479</v>
      </c>
      <c r="C778" s="2" t="s">
        <v>2954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3011</v>
      </c>
      <c r="L778" s="2" t="s">
        <v>3022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25">
      <c r="B779" s="2" t="s">
        <v>1324</v>
      </c>
      <c r="C779" s="2" t="s">
        <v>2955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3011</v>
      </c>
      <c r="L779" s="2" t="s">
        <v>3023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25">
      <c r="B780" s="2" t="s">
        <v>1940</v>
      </c>
      <c r="C780" s="2" t="s">
        <v>2956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3011</v>
      </c>
      <c r="L780" s="2" t="s">
        <v>3024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25">
      <c r="B781" s="2" t="s">
        <v>576</v>
      </c>
      <c r="C781" s="2" t="s">
        <v>2957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3011</v>
      </c>
      <c r="L781" s="2" t="s">
        <v>3025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25">
      <c r="B782" s="2" t="s">
        <v>1794</v>
      </c>
      <c r="C782" s="2" t="s">
        <v>2958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3011</v>
      </c>
      <c r="L782" s="2" t="s">
        <v>3026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25">
      <c r="B783" s="2" t="s">
        <v>1836</v>
      </c>
      <c r="C783" s="2" t="s">
        <v>2959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3011</v>
      </c>
      <c r="L783" s="2" t="s">
        <v>3027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25">
      <c r="B784" s="2" t="s">
        <v>795</v>
      </c>
      <c r="C784" s="2" t="s">
        <v>2960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3011</v>
      </c>
      <c r="L784" s="2" t="s">
        <v>3028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25">
      <c r="B785" s="2" t="s">
        <v>1578</v>
      </c>
      <c r="C785" s="2" t="s">
        <v>2961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3011</v>
      </c>
      <c r="L785" s="2" t="s">
        <v>3029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25">
      <c r="B786" s="2" t="s">
        <v>259</v>
      </c>
      <c r="C786" s="2" t="s">
        <v>2962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3011</v>
      </c>
      <c r="L786" s="2" t="s">
        <v>3030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25">
      <c r="B787" s="2" t="s">
        <v>908</v>
      </c>
      <c r="C787" s="2" t="s">
        <v>2963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3011</v>
      </c>
      <c r="L787" s="2" t="s">
        <v>3031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25">
      <c r="B788" s="2" t="s">
        <v>2188</v>
      </c>
      <c r="C788" s="2" t="s">
        <v>2964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3011</v>
      </c>
      <c r="L788" s="2" t="s">
        <v>3032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25">
      <c r="B789" s="2" t="s">
        <v>2559</v>
      </c>
      <c r="C789" s="2" t="s">
        <v>2965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3011</v>
      </c>
      <c r="L789" s="2" t="s">
        <v>3033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25">
      <c r="B790" s="2" t="s">
        <v>497</v>
      </c>
      <c r="C790" s="2" t="s">
        <v>2966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3011</v>
      </c>
      <c r="L790" s="2" t="s">
        <v>3034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25">
      <c r="B791" s="2" t="s">
        <v>777</v>
      </c>
      <c r="C791" s="2" t="s">
        <v>2967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3011</v>
      </c>
      <c r="L791" s="2" t="s">
        <v>3035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25">
      <c r="B792" s="2" t="s">
        <v>1038</v>
      </c>
      <c r="C792" s="2" t="s">
        <v>2968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3011</v>
      </c>
      <c r="L792" s="2" t="s">
        <v>3036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25">
      <c r="B793" s="2" t="s">
        <v>1060</v>
      </c>
      <c r="C793" s="2" t="s">
        <v>2969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3011</v>
      </c>
      <c r="L793" s="2" t="s">
        <v>3037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25">
      <c r="B794" s="2" t="s">
        <v>1139</v>
      </c>
      <c r="C794" s="2" t="s">
        <v>2970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3011</v>
      </c>
      <c r="L794" s="2" t="s">
        <v>3038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25">
      <c r="B795" s="2" t="s">
        <v>1230</v>
      </c>
      <c r="C795" s="2" t="s">
        <v>2971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3011</v>
      </c>
      <c r="L795" s="2" t="s">
        <v>3039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25">
      <c r="B796" s="2" t="s">
        <v>1332</v>
      </c>
      <c r="C796" s="2" t="s">
        <v>2972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3011</v>
      </c>
      <c r="L796" s="2" t="s">
        <v>3040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25">
      <c r="B797" s="2" t="s">
        <v>1500</v>
      </c>
      <c r="C797" s="2" t="s">
        <v>2973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3011</v>
      </c>
      <c r="L797" s="2" t="s">
        <v>3041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25">
      <c r="B798" s="2" t="s">
        <v>1763</v>
      </c>
      <c r="C798" s="2" t="s">
        <v>2974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3011</v>
      </c>
      <c r="L798" s="2" t="s">
        <v>3042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25">
      <c r="B799" s="2" t="s">
        <v>1968</v>
      </c>
      <c r="C799" s="2" t="s">
        <v>2975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3011</v>
      </c>
      <c r="L799" s="2" t="s">
        <v>3043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25">
      <c r="B800" s="2" t="s">
        <v>2172</v>
      </c>
      <c r="C800" s="2" t="s">
        <v>2976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3011</v>
      </c>
      <c r="L800" s="2" t="s">
        <v>3044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25">
      <c r="B801" s="2" t="s">
        <v>2454</v>
      </c>
      <c r="C801" s="2" t="s">
        <v>2977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3011</v>
      </c>
      <c r="L801" s="2" t="s">
        <v>3045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25">
      <c r="B802" s="2" t="s">
        <v>2464</v>
      </c>
      <c r="C802" s="2" t="s">
        <v>2978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3011</v>
      </c>
      <c r="L802" s="2" t="s">
        <v>3046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25">
      <c r="B803" s="2" t="s">
        <v>2657</v>
      </c>
      <c r="C803" s="2" t="s">
        <v>2979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3011</v>
      </c>
      <c r="L803" s="2" t="s">
        <v>3047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25">
      <c r="B804" s="2" t="s">
        <v>2661</v>
      </c>
      <c r="C804" s="2" t="s">
        <v>2980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3011</v>
      </c>
      <c r="L804" s="2" t="s">
        <v>3048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2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2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2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2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2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2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2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2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2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2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2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2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2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2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2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2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2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2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2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2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2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2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2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2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2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2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2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2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2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2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2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2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25">
      <c r="N837" s="4"/>
      <c r="W837" s="4"/>
      <c r="Z837" s="4"/>
      <c r="AD837" s="4"/>
    </row>
    <row r="838" spans="2:52" x14ac:dyDescent="0.25">
      <c r="N838" s="4"/>
      <c r="W838" s="4"/>
      <c r="Z838" s="4"/>
      <c r="AD838" s="4"/>
    </row>
    <row r="839" spans="2:52" x14ac:dyDescent="0.25">
      <c r="N839" s="4"/>
      <c r="W839" s="4"/>
      <c r="Z839" s="4"/>
      <c r="AD839" s="4"/>
    </row>
    <row r="840" spans="2:52" x14ac:dyDescent="0.25">
      <c r="N840" s="4"/>
      <c r="W840" s="4"/>
      <c r="Z840" s="4"/>
      <c r="AD840" s="4"/>
    </row>
    <row r="841" spans="2:52" x14ac:dyDescent="0.25">
      <c r="N841" s="4"/>
      <c r="W841" s="4"/>
      <c r="Z841" s="4"/>
      <c r="AD841" s="4"/>
    </row>
    <row r="842" spans="2:52" x14ac:dyDescent="0.25">
      <c r="N842" s="4"/>
      <c r="W842" s="4"/>
      <c r="Z842" s="4"/>
      <c r="AD842" s="4"/>
    </row>
    <row r="843" spans="2:52" x14ac:dyDescent="0.25">
      <c r="N843" s="4"/>
      <c r="W843" s="4"/>
      <c r="Z843" s="4"/>
      <c r="AD843" s="4"/>
    </row>
    <row r="844" spans="2:52" x14ac:dyDescent="0.25">
      <c r="N844" s="4"/>
      <c r="W844" s="4"/>
      <c r="Z844" s="4"/>
      <c r="AD844" s="4"/>
    </row>
    <row r="845" spans="2:52" x14ac:dyDescent="0.25">
      <c r="N845" s="4"/>
      <c r="W845" s="4"/>
      <c r="Z845" s="4"/>
      <c r="AD845" s="4"/>
    </row>
    <row r="846" spans="2:52" x14ac:dyDescent="0.25">
      <c r="N846" s="4"/>
      <c r="W846" s="4"/>
      <c r="Z846" s="4"/>
      <c r="AD846" s="4"/>
    </row>
    <row r="847" spans="2:52" x14ac:dyDescent="0.25">
      <c r="N847" s="4"/>
      <c r="W847" s="4"/>
      <c r="Z847" s="4"/>
      <c r="AD847" s="4"/>
    </row>
    <row r="848" spans="2:52" x14ac:dyDescent="0.25">
      <c r="N848" s="4"/>
      <c r="W848" s="4"/>
      <c r="Z848" s="4"/>
      <c r="AD848" s="4"/>
    </row>
    <row r="849" spans="14:30" x14ac:dyDescent="0.25">
      <c r="N849" s="4"/>
      <c r="W849" s="4"/>
      <c r="Z849" s="4"/>
      <c r="AD849" s="4"/>
    </row>
    <row r="850" spans="14:30" x14ac:dyDescent="0.25">
      <c r="N850" s="4"/>
      <c r="W850" s="4"/>
      <c r="Z850" s="4"/>
      <c r="AD850" s="4"/>
    </row>
    <row r="851" spans="14:30" x14ac:dyDescent="0.25">
      <c r="N851" s="4"/>
      <c r="W851" s="4"/>
      <c r="Z851" s="4"/>
      <c r="AD851" s="4"/>
    </row>
    <row r="852" spans="14:30" x14ac:dyDescent="0.25">
      <c r="N852" s="4"/>
      <c r="W852" s="4"/>
      <c r="Z852" s="4"/>
      <c r="AD852" s="4"/>
    </row>
    <row r="853" spans="14:30" x14ac:dyDescent="0.25">
      <c r="N853" s="4"/>
      <c r="W853" s="4"/>
      <c r="Z853" s="4"/>
      <c r="AD853" s="4"/>
    </row>
    <row r="854" spans="14:30" x14ac:dyDescent="0.25">
      <c r="N854" s="4"/>
      <c r="W854" s="4"/>
      <c r="Z854" s="4"/>
      <c r="AD854" s="4"/>
    </row>
    <row r="855" spans="14:30" x14ac:dyDescent="0.25">
      <c r="N855" s="4"/>
      <c r="W855" s="4"/>
      <c r="Z855" s="4"/>
      <c r="AD855" s="4"/>
    </row>
    <row r="856" spans="14:30" x14ac:dyDescent="0.25">
      <c r="N856" s="4"/>
      <c r="W856" s="4"/>
      <c r="Z856" s="4"/>
      <c r="AD856" s="4"/>
    </row>
    <row r="857" spans="14:30" x14ac:dyDescent="0.25">
      <c r="N857" s="4"/>
      <c r="W857" s="4"/>
      <c r="Z857" s="4"/>
      <c r="AD857" s="4"/>
    </row>
    <row r="858" spans="14:30" x14ac:dyDescent="0.25">
      <c r="N858" s="4"/>
      <c r="W858" s="4"/>
      <c r="Z858" s="4"/>
      <c r="AD858" s="4"/>
    </row>
    <row r="859" spans="14:30" x14ac:dyDescent="0.25">
      <c r="N859" s="4"/>
      <c r="W859" s="4"/>
      <c r="Z859" s="4"/>
      <c r="AD859" s="4"/>
    </row>
    <row r="860" spans="14:30" x14ac:dyDescent="0.25">
      <c r="N860" s="4"/>
      <c r="W860" s="4"/>
      <c r="Z860" s="4"/>
      <c r="AD860" s="4"/>
    </row>
    <row r="861" spans="14:30" x14ac:dyDescent="0.25">
      <c r="N861" s="4"/>
      <c r="W861" s="4"/>
      <c r="Z861" s="4"/>
      <c r="AD861" s="4"/>
    </row>
    <row r="862" spans="14:30" x14ac:dyDescent="0.25">
      <c r="N862" s="4"/>
      <c r="W862" s="4"/>
      <c r="Z862" s="4"/>
      <c r="AD862" s="4"/>
    </row>
    <row r="863" spans="14:30" x14ac:dyDescent="0.25">
      <c r="N863" s="4"/>
      <c r="W863" s="4"/>
      <c r="Z863" s="4"/>
      <c r="AD863" s="4"/>
    </row>
    <row r="864" spans="14:30" x14ac:dyDescent="0.25">
      <c r="N864" s="4"/>
      <c r="W864" s="4"/>
      <c r="Z864" s="4"/>
      <c r="AD864" s="4"/>
    </row>
    <row r="865" spans="14:30" x14ac:dyDescent="0.25">
      <c r="N865" s="4"/>
      <c r="W865" s="4"/>
      <c r="Z865" s="4"/>
      <c r="AD865" s="4"/>
    </row>
    <row r="866" spans="14:30" x14ac:dyDescent="0.25">
      <c r="N866" s="4"/>
      <c r="W866" s="4"/>
      <c r="Z866" s="4"/>
      <c r="AD866" s="4"/>
    </row>
    <row r="867" spans="14:30" x14ac:dyDescent="0.25">
      <c r="N867" s="4"/>
      <c r="W867" s="4"/>
      <c r="Z867" s="4"/>
      <c r="AD867" s="4"/>
    </row>
    <row r="868" spans="14:30" x14ac:dyDescent="0.25">
      <c r="N868" s="4"/>
      <c r="W868" s="4"/>
      <c r="Z868" s="4"/>
      <c r="AD868" s="4"/>
    </row>
    <row r="869" spans="14:30" x14ac:dyDescent="0.25">
      <c r="N869" s="4"/>
      <c r="W869" s="4"/>
      <c r="Z869" s="4"/>
      <c r="AD869" s="4"/>
    </row>
    <row r="870" spans="14:30" x14ac:dyDescent="0.25">
      <c r="N870" s="4"/>
      <c r="W870" s="4"/>
      <c r="Z870" s="4"/>
      <c r="AD870" s="4"/>
    </row>
    <row r="871" spans="14:30" x14ac:dyDescent="0.25">
      <c r="N871" s="4"/>
      <c r="W871" s="4"/>
      <c r="Z871" s="4"/>
      <c r="AD871" s="4"/>
    </row>
    <row r="872" spans="14:30" x14ac:dyDescent="0.25">
      <c r="N872" s="4"/>
      <c r="W872" s="4"/>
      <c r="Z872" s="4"/>
      <c r="AD872" s="4"/>
    </row>
    <row r="873" spans="14:30" x14ac:dyDescent="0.25">
      <c r="N873" s="4"/>
      <c r="W873" s="4"/>
      <c r="Z873" s="4"/>
      <c r="AD873" s="4"/>
    </row>
    <row r="874" spans="14:30" x14ac:dyDescent="0.25">
      <c r="N874" s="4"/>
      <c r="W874" s="4"/>
      <c r="Z874" s="4"/>
      <c r="AD874" s="4"/>
    </row>
    <row r="875" spans="14:30" x14ac:dyDescent="0.25">
      <c r="N875" s="4"/>
      <c r="W875" s="4"/>
      <c r="Z875" s="4"/>
      <c r="AD875" s="4"/>
    </row>
    <row r="876" spans="14:30" x14ac:dyDescent="0.25">
      <c r="N876" s="4"/>
      <c r="W876" s="4"/>
      <c r="Z876" s="4"/>
      <c r="AD876" s="4"/>
    </row>
    <row r="877" spans="14:30" x14ac:dyDescent="0.25">
      <c r="N877" s="4"/>
      <c r="W877" s="4"/>
      <c r="Z877" s="4"/>
      <c r="AD877" s="4"/>
    </row>
    <row r="878" spans="14:30" x14ac:dyDescent="0.25">
      <c r="N878" s="4"/>
      <c r="W878" s="4"/>
      <c r="Z878" s="4"/>
      <c r="AD878" s="4"/>
    </row>
    <row r="879" spans="14:30" x14ac:dyDescent="0.25">
      <c r="N879" s="4"/>
      <c r="W879" s="4"/>
      <c r="Z879" s="4"/>
      <c r="AD879" s="4"/>
    </row>
    <row r="880" spans="14:30" x14ac:dyDescent="0.25">
      <c r="N880" s="4"/>
      <c r="W880" s="4"/>
      <c r="Z880" s="4"/>
      <c r="AD880" s="4"/>
    </row>
    <row r="881" spans="14:30" x14ac:dyDescent="0.25">
      <c r="N881" s="4"/>
      <c r="W881" s="4"/>
      <c r="Z881" s="4"/>
      <c r="AD881" s="4"/>
    </row>
    <row r="882" spans="14:30" x14ac:dyDescent="0.25">
      <c r="N882" s="4"/>
      <c r="W882" s="4"/>
      <c r="Z882" s="4"/>
      <c r="AD882" s="4"/>
    </row>
    <row r="883" spans="14:30" x14ac:dyDescent="0.25">
      <c r="N883" s="4"/>
      <c r="W883" s="4"/>
      <c r="Z883" s="4"/>
      <c r="AD883" s="4"/>
    </row>
    <row r="884" spans="14:30" x14ac:dyDescent="0.25">
      <c r="N884" s="4"/>
      <c r="W884" s="4"/>
      <c r="Z884" s="4"/>
      <c r="AD884" s="4"/>
    </row>
    <row r="885" spans="14:30" x14ac:dyDescent="0.25">
      <c r="N885" s="4"/>
      <c r="W885" s="4"/>
      <c r="Z885" s="4"/>
      <c r="AD885" s="4"/>
    </row>
    <row r="886" spans="14:30" x14ac:dyDescent="0.25">
      <c r="N886" s="4"/>
      <c r="W886" s="4"/>
      <c r="Z886" s="4"/>
      <c r="AD886" s="4"/>
    </row>
    <row r="887" spans="14:30" x14ac:dyDescent="0.25">
      <c r="N887" s="4"/>
      <c r="W887" s="4"/>
      <c r="Z887" s="4"/>
      <c r="AD887" s="4"/>
    </row>
    <row r="888" spans="14:30" x14ac:dyDescent="0.25">
      <c r="N888" s="4"/>
      <c r="W888" s="4"/>
      <c r="Z888" s="4"/>
      <c r="AD888" s="4"/>
    </row>
    <row r="889" spans="14:30" x14ac:dyDescent="0.25">
      <c r="N889" s="4"/>
      <c r="W889" s="4"/>
      <c r="Z889" s="4"/>
      <c r="AD889" s="4"/>
    </row>
    <row r="890" spans="14:30" x14ac:dyDescent="0.25">
      <c r="N890" s="4"/>
      <c r="W890" s="4"/>
      <c r="Z890" s="4"/>
      <c r="AD890" s="4"/>
    </row>
    <row r="891" spans="14:30" x14ac:dyDescent="0.25">
      <c r="Z891" s="4"/>
      <c r="AD891" s="4"/>
    </row>
    <row r="892" spans="14:30" x14ac:dyDescent="0.25">
      <c r="Z892" s="4"/>
      <c r="AD892" s="4"/>
    </row>
    <row r="893" spans="14:30" x14ac:dyDescent="0.25">
      <c r="Z893" s="4"/>
      <c r="AD893" s="4"/>
    </row>
    <row r="894" spans="14:30" x14ac:dyDescent="0.25">
      <c r="Z894" s="4"/>
      <c r="AD894" s="4"/>
    </row>
    <row r="895" spans="14:30" x14ac:dyDescent="0.25">
      <c r="Z895" s="4"/>
      <c r="AD895" s="4"/>
    </row>
    <row r="896" spans="14:30" x14ac:dyDescent="0.25">
      <c r="Z896" s="4"/>
      <c r="AD896" s="4"/>
    </row>
    <row r="897" spans="26:30" x14ac:dyDescent="0.25">
      <c r="Z897" s="4"/>
      <c r="AD897" s="4"/>
    </row>
    <row r="898" spans="26:30" x14ac:dyDescent="0.25">
      <c r="Z898" s="4"/>
      <c r="AD898" s="4"/>
    </row>
    <row r="899" spans="26:30" x14ac:dyDescent="0.25">
      <c r="Z899" s="4"/>
      <c r="AD899" s="4"/>
    </row>
    <row r="900" spans="26:30" x14ac:dyDescent="0.25">
      <c r="Z900" s="4"/>
      <c r="AD900" s="4"/>
    </row>
    <row r="901" spans="26:30" x14ac:dyDescent="0.25">
      <c r="Z901" s="4"/>
      <c r="AD901" s="4"/>
    </row>
    <row r="902" spans="26:30" x14ac:dyDescent="0.25">
      <c r="Z902" s="4"/>
      <c r="AD902" s="4"/>
    </row>
    <row r="903" spans="26:30" x14ac:dyDescent="0.25">
      <c r="Z903" s="4"/>
      <c r="AD903" s="4"/>
    </row>
    <row r="904" spans="26:30" x14ac:dyDescent="0.25">
      <c r="Z904" s="4"/>
      <c r="AD904" s="4"/>
    </row>
    <row r="905" spans="26:30" x14ac:dyDescent="0.25">
      <c r="Z905" s="4"/>
      <c r="AD905" s="4"/>
    </row>
    <row r="906" spans="26:30" x14ac:dyDescent="0.25">
      <c r="Z906" s="4"/>
      <c r="AD906" s="4"/>
    </row>
    <row r="907" spans="26:30" x14ac:dyDescent="0.25">
      <c r="Z907" s="4"/>
      <c r="AD907" s="4"/>
    </row>
    <row r="908" spans="26:30" x14ac:dyDescent="0.25">
      <c r="Z908" s="4"/>
      <c r="AD908" s="4"/>
    </row>
    <row r="909" spans="26:30" x14ac:dyDescent="0.25">
      <c r="Z909" s="4"/>
      <c r="AD909" s="4"/>
    </row>
    <row r="910" spans="26:30" x14ac:dyDescent="0.25">
      <c r="Z910" s="4"/>
      <c r="AD910" s="4"/>
    </row>
    <row r="911" spans="26:30" x14ac:dyDescent="0.25">
      <c r="Z911" s="4"/>
      <c r="AD911" s="4"/>
    </row>
    <row r="912" spans="26:30" x14ac:dyDescent="0.25">
      <c r="Z912" s="4"/>
      <c r="AD912" s="4"/>
    </row>
    <row r="913" spans="26:30" x14ac:dyDescent="0.25">
      <c r="Z913" s="4"/>
      <c r="AD913" s="4"/>
    </row>
    <row r="914" spans="26:30" x14ac:dyDescent="0.25">
      <c r="Z914" s="4"/>
      <c r="AD914" s="4"/>
    </row>
    <row r="915" spans="26:30" x14ac:dyDescent="0.25">
      <c r="Z915" s="4"/>
      <c r="AD915" s="4"/>
    </row>
    <row r="916" spans="26:30" x14ac:dyDescent="0.25">
      <c r="Z916" s="4"/>
      <c r="AD916" s="4"/>
    </row>
    <row r="917" spans="26:30" x14ac:dyDescent="0.25">
      <c r="Z917" s="4"/>
      <c r="AD917" s="4"/>
    </row>
    <row r="918" spans="26:30" x14ac:dyDescent="0.25">
      <c r="Z918" s="4"/>
      <c r="AD918" s="4"/>
    </row>
    <row r="919" spans="26:30" x14ac:dyDescent="0.25">
      <c r="Z919" s="4"/>
      <c r="AD919" s="4"/>
    </row>
    <row r="920" spans="26:30" x14ac:dyDescent="0.25">
      <c r="Z920" s="4"/>
      <c r="AD920" s="4"/>
    </row>
    <row r="921" spans="26:30" x14ac:dyDescent="0.25">
      <c r="Z921" s="4"/>
      <c r="AD921" s="4"/>
    </row>
    <row r="922" spans="26:30" x14ac:dyDescent="0.25">
      <c r="Z922" s="4"/>
      <c r="AD922" s="4"/>
    </row>
    <row r="923" spans="26:30" x14ac:dyDescent="0.25">
      <c r="Z923" s="4"/>
      <c r="AD923" s="4"/>
    </row>
    <row r="924" spans="26:30" x14ac:dyDescent="0.25">
      <c r="Z924" s="4"/>
      <c r="AD924" s="4"/>
    </row>
    <row r="925" spans="26:30" x14ac:dyDescent="0.25">
      <c r="Z925" s="4"/>
      <c r="AD925" s="4"/>
    </row>
    <row r="926" spans="26:30" x14ac:dyDescent="0.25">
      <c r="Z926" s="4"/>
      <c r="AD926" s="4"/>
    </row>
    <row r="927" spans="26:30" x14ac:dyDescent="0.25">
      <c r="Z927" s="4"/>
      <c r="AD927" s="4"/>
    </row>
    <row r="928" spans="26:30" x14ac:dyDescent="0.25">
      <c r="Z928" s="4"/>
      <c r="AD928" s="4"/>
    </row>
    <row r="929" spans="26:30" x14ac:dyDescent="0.25">
      <c r="Z929" s="4"/>
      <c r="AD929" s="4"/>
    </row>
    <row r="930" spans="26:30" x14ac:dyDescent="0.25">
      <c r="Z930" s="4"/>
      <c r="AD930" s="4"/>
    </row>
    <row r="931" spans="26:30" x14ac:dyDescent="0.25">
      <c r="Z931" s="4"/>
      <c r="AD931" s="4"/>
    </row>
    <row r="932" spans="26:30" x14ac:dyDescent="0.25">
      <c r="Z932" s="4"/>
      <c r="AD932" s="4"/>
    </row>
    <row r="933" spans="26:30" x14ac:dyDescent="0.25">
      <c r="Z933" s="4"/>
      <c r="AD933" s="4"/>
    </row>
    <row r="934" spans="26:30" x14ac:dyDescent="0.25">
      <c r="Z934" s="4"/>
      <c r="AD934" s="4"/>
    </row>
    <row r="935" spans="26:30" x14ac:dyDescent="0.25">
      <c r="Z935" s="4"/>
      <c r="AD935" s="4"/>
    </row>
    <row r="936" spans="26:30" x14ac:dyDescent="0.25">
      <c r="Z936" s="4"/>
      <c r="AD936" s="4"/>
    </row>
    <row r="937" spans="26:30" x14ac:dyDescent="0.25">
      <c r="Z937" s="4"/>
      <c r="AD937" s="4"/>
    </row>
    <row r="938" spans="26:30" x14ac:dyDescent="0.25">
      <c r="Z938" s="4"/>
      <c r="AD938" s="4"/>
    </row>
    <row r="939" spans="26:30" x14ac:dyDescent="0.25">
      <c r="Z939" s="4"/>
      <c r="AD939" s="4"/>
    </row>
    <row r="940" spans="26:30" x14ac:dyDescent="0.25">
      <c r="Z940" s="4"/>
      <c r="AD940" s="4"/>
    </row>
    <row r="941" spans="26:30" x14ac:dyDescent="0.25">
      <c r="Z941" s="4"/>
      <c r="AD941" s="4"/>
    </row>
    <row r="942" spans="26:30" x14ac:dyDescent="0.25">
      <c r="Z942" s="4"/>
      <c r="AD942" s="4"/>
    </row>
    <row r="943" spans="26:30" x14ac:dyDescent="0.25">
      <c r="Z943" s="4"/>
      <c r="AD943" s="4"/>
    </row>
    <row r="944" spans="26:30" x14ac:dyDescent="0.25">
      <c r="Z944" s="4"/>
      <c r="AD944" s="4"/>
    </row>
    <row r="945" spans="26:30" x14ac:dyDescent="0.25">
      <c r="Z945" s="4"/>
      <c r="AD945" s="4"/>
    </row>
    <row r="946" spans="26:30" x14ac:dyDescent="0.25">
      <c r="Z946" s="4"/>
      <c r="AD946" s="4"/>
    </row>
    <row r="947" spans="26:30" x14ac:dyDescent="0.25">
      <c r="Z947" s="4"/>
      <c r="AD947" s="4"/>
    </row>
    <row r="948" spans="26:30" x14ac:dyDescent="0.25">
      <c r="Z948" s="4"/>
      <c r="AD948" s="4"/>
    </row>
    <row r="949" spans="26:30" x14ac:dyDescent="0.25">
      <c r="Z949" s="4"/>
      <c r="AD949" s="4"/>
    </row>
    <row r="950" spans="26:30" x14ac:dyDescent="0.25">
      <c r="Z950" s="4"/>
      <c r="AD950" s="4"/>
    </row>
    <row r="951" spans="26:30" x14ac:dyDescent="0.25">
      <c r="Z951" s="4"/>
      <c r="AD951" s="4"/>
    </row>
    <row r="952" spans="26:30" x14ac:dyDescent="0.25">
      <c r="Z952" s="4"/>
      <c r="AD952" s="4"/>
    </row>
    <row r="953" spans="26:30" x14ac:dyDescent="0.25">
      <c r="Z953" s="4"/>
      <c r="AD953" s="4"/>
    </row>
    <row r="954" spans="26:30" x14ac:dyDescent="0.25">
      <c r="Z954" s="4"/>
      <c r="AD954" s="4"/>
    </row>
    <row r="955" spans="26:30" x14ac:dyDescent="0.25">
      <c r="Z955" s="4"/>
      <c r="AD955" s="4"/>
    </row>
    <row r="956" spans="26:30" x14ac:dyDescent="0.25">
      <c r="Z956" s="4"/>
      <c r="AD956" s="4"/>
    </row>
    <row r="957" spans="26:30" x14ac:dyDescent="0.25">
      <c r="Z957" s="4"/>
      <c r="AD957" s="4"/>
    </row>
    <row r="958" spans="26:30" x14ac:dyDescent="0.25">
      <c r="Z958" s="4"/>
      <c r="AD958" s="4"/>
    </row>
    <row r="959" spans="26:30" x14ac:dyDescent="0.25">
      <c r="Z959" s="4"/>
      <c r="AD959" s="4"/>
    </row>
    <row r="960" spans="26:30" x14ac:dyDescent="0.25">
      <c r="Z960" s="4"/>
      <c r="AD960" s="4"/>
    </row>
    <row r="961" spans="26:30" x14ac:dyDescent="0.25">
      <c r="Z961" s="4"/>
      <c r="AD961" s="4"/>
    </row>
    <row r="962" spans="26:30" x14ac:dyDescent="0.25">
      <c r="Z962" s="4"/>
      <c r="AD962" s="4"/>
    </row>
    <row r="963" spans="26:30" x14ac:dyDescent="0.25">
      <c r="Z963" s="4"/>
      <c r="AD963" s="4"/>
    </row>
    <row r="964" spans="26:30" x14ac:dyDescent="0.25">
      <c r="Z964" s="4"/>
      <c r="AD964" s="4"/>
    </row>
    <row r="965" spans="26:30" x14ac:dyDescent="0.25">
      <c r="Z965" s="4"/>
      <c r="AD965" s="4"/>
    </row>
    <row r="966" spans="26:30" x14ac:dyDescent="0.25">
      <c r="Z966" s="4"/>
      <c r="AD966" s="4"/>
    </row>
    <row r="967" spans="26:30" x14ac:dyDescent="0.25">
      <c r="Z967" s="4"/>
      <c r="AD967" s="4"/>
    </row>
    <row r="968" spans="26:30" x14ac:dyDescent="0.25">
      <c r="Z968" s="4"/>
      <c r="AD968" s="4"/>
    </row>
    <row r="969" spans="26:30" x14ac:dyDescent="0.25">
      <c r="Z969" s="4"/>
      <c r="AD969" s="4"/>
    </row>
    <row r="970" spans="26:30" x14ac:dyDescent="0.25">
      <c r="Z970" s="4"/>
      <c r="AD970" s="4"/>
    </row>
    <row r="971" spans="26:30" x14ac:dyDescent="0.25">
      <c r="Z971" s="4"/>
      <c r="AD971" s="4"/>
    </row>
    <row r="972" spans="26:30" x14ac:dyDescent="0.25">
      <c r="Z972" s="4"/>
      <c r="AD972" s="4"/>
    </row>
    <row r="973" spans="26:30" x14ac:dyDescent="0.25">
      <c r="Z973" s="4"/>
      <c r="AD973" s="4"/>
    </row>
    <row r="974" spans="26:30" x14ac:dyDescent="0.25">
      <c r="Z974" s="4"/>
      <c r="AD974" s="4"/>
    </row>
    <row r="975" spans="26:30" x14ac:dyDescent="0.25">
      <c r="Z975" s="4"/>
      <c r="AD975" s="4"/>
    </row>
    <row r="976" spans="26:30" x14ac:dyDescent="0.25">
      <c r="Z976" s="4"/>
      <c r="AD976" s="4"/>
    </row>
    <row r="977" spans="26:30" x14ac:dyDescent="0.2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zoomScale="95" zoomScaleNormal="95" workbookViewId="0">
      <selection activeCell="N7" sqref="N7"/>
    </sheetView>
  </sheetViews>
  <sheetFormatPr defaultColWidth="9" defaultRowHeight="14.4" x14ac:dyDescent="0.25"/>
  <cols>
    <col min="1" max="1" width="6.6640625" style="2" bestFit="1" customWidth="1"/>
    <col min="2" max="2" width="5.88671875" style="2" bestFit="1" customWidth="1"/>
    <col min="3" max="3" width="13.44140625" style="4" bestFit="1" customWidth="1"/>
    <col min="4" max="4" width="9.44140625" style="4" bestFit="1" customWidth="1"/>
    <col min="5" max="5" width="16.109375" style="4" bestFit="1" customWidth="1"/>
    <col min="6" max="6" width="9.44140625" style="2" bestFit="1" customWidth="1"/>
    <col min="7" max="7" width="3.77734375" style="4" bestFit="1" customWidth="1"/>
    <col min="8" max="8" width="5.88671875" style="4" bestFit="1" customWidth="1"/>
    <col min="9" max="9" width="3.77734375" style="4" bestFit="1" customWidth="1"/>
    <col min="10" max="10" width="5.88671875" style="2" bestFit="1" customWidth="1"/>
    <col min="11" max="11" width="8.6640625" style="2" bestFit="1" customWidth="1"/>
    <col min="12" max="12" width="18.6640625" style="2" bestFit="1" customWidth="1"/>
    <col min="13" max="13" width="13.44140625" style="2" bestFit="1" customWidth="1"/>
    <col min="14" max="14" width="10.77734375" style="2" customWidth="1"/>
    <col min="15" max="16384" width="9" style="2"/>
  </cols>
  <sheetData>
    <row r="1" spans="1:13" s="15" customFormat="1" ht="57.75" customHeight="1" x14ac:dyDescent="0.25">
      <c r="A1" s="15" t="s">
        <v>3061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3238</v>
      </c>
      <c r="M1" s="15" t="s">
        <v>3240</v>
      </c>
    </row>
    <row r="2" spans="1:13" s="1" customFormat="1" ht="16.5" customHeight="1" x14ac:dyDescent="0.25">
      <c r="A2" s="1" t="s">
        <v>2864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25">
      <c r="A3" s="10" t="s">
        <v>3135</v>
      </c>
      <c r="B3" s="10" t="s">
        <v>3148</v>
      </c>
      <c r="C3" s="11" t="s">
        <v>3269</v>
      </c>
      <c r="D3" s="11" t="s">
        <v>3135</v>
      </c>
      <c r="E3" s="10" t="s">
        <v>3267</v>
      </c>
      <c r="F3" s="10" t="s">
        <v>3135</v>
      </c>
      <c r="G3" s="11" t="s">
        <v>3135</v>
      </c>
      <c r="H3" s="11" t="s">
        <v>3135</v>
      </c>
      <c r="I3" s="11" t="s">
        <v>3135</v>
      </c>
      <c r="J3" s="10" t="s">
        <v>3135</v>
      </c>
      <c r="K3" s="10" t="s">
        <v>3268</v>
      </c>
      <c r="L3" s="10" t="s">
        <v>3237</v>
      </c>
      <c r="M3" s="10" t="s">
        <v>3239</v>
      </c>
    </row>
    <row r="4" spans="1:13" s="24" customFormat="1" ht="15.75" customHeight="1" x14ac:dyDescent="0.25">
      <c r="A4" s="26" t="s">
        <v>3135</v>
      </c>
      <c r="B4" s="24" t="s">
        <v>3134</v>
      </c>
      <c r="C4" s="25" t="s">
        <v>3134</v>
      </c>
      <c r="D4" s="25" t="s">
        <v>3135</v>
      </c>
      <c r="E4" s="25" t="s">
        <v>3134</v>
      </c>
      <c r="F4" s="24" t="s">
        <v>3135</v>
      </c>
      <c r="G4" s="25" t="s">
        <v>3135</v>
      </c>
      <c r="H4" s="25" t="s">
        <v>3135</v>
      </c>
      <c r="I4" s="25" t="s">
        <v>3135</v>
      </c>
      <c r="J4" s="24" t="s">
        <v>3135</v>
      </c>
      <c r="K4" s="24" t="s">
        <v>3123</v>
      </c>
      <c r="L4" s="24" t="s">
        <v>3134</v>
      </c>
      <c r="M4" s="24" t="s">
        <v>3134</v>
      </c>
    </row>
    <row r="5" spans="1:13" x14ac:dyDescent="0.2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2849</v>
      </c>
      <c r="K5" s="2" t="s">
        <v>54</v>
      </c>
      <c r="L5" s="2" t="s">
        <v>2850</v>
      </c>
      <c r="M5" s="2" t="s">
        <v>54</v>
      </c>
    </row>
    <row r="6" spans="1:13" x14ac:dyDescent="0.2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2849</v>
      </c>
      <c r="K6" s="2" t="s">
        <v>35</v>
      </c>
      <c r="L6" s="2" t="s">
        <v>2850</v>
      </c>
      <c r="M6" s="2" t="s">
        <v>54</v>
      </c>
    </row>
    <row r="7" spans="1:13" x14ac:dyDescent="0.2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2849</v>
      </c>
      <c r="K7" s="2" t="s">
        <v>31</v>
      </c>
      <c r="L7" s="2" t="s">
        <v>60</v>
      </c>
      <c r="M7" s="2" t="s">
        <v>27</v>
      </c>
    </row>
    <row r="8" spans="1:13" x14ac:dyDescent="0.2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2849</v>
      </c>
      <c r="K8" s="2" t="s">
        <v>37</v>
      </c>
      <c r="L8" s="2" t="s">
        <v>60</v>
      </c>
      <c r="M8" s="2" t="s">
        <v>27</v>
      </c>
    </row>
    <row r="9" spans="1:13" x14ac:dyDescent="0.2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2849</v>
      </c>
      <c r="K9" s="2" t="s">
        <v>33</v>
      </c>
      <c r="L9" s="2" t="s">
        <v>60</v>
      </c>
      <c r="M9" s="2" t="s">
        <v>27</v>
      </c>
    </row>
    <row r="10" spans="1:13" x14ac:dyDescent="0.2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2849</v>
      </c>
      <c r="K10" s="2" t="s">
        <v>36</v>
      </c>
      <c r="L10" s="2" t="s">
        <v>60</v>
      </c>
      <c r="M10" s="2" t="s">
        <v>27</v>
      </c>
    </row>
    <row r="11" spans="1:13" x14ac:dyDescent="0.2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2849</v>
      </c>
      <c r="K11" s="2" t="s">
        <v>34</v>
      </c>
      <c r="L11" s="2" t="s">
        <v>60</v>
      </c>
      <c r="M11" s="2" t="s">
        <v>27</v>
      </c>
    </row>
    <row r="12" spans="1:13" x14ac:dyDescent="0.2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3066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2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2849</v>
      </c>
      <c r="K13" s="2" t="s">
        <v>29</v>
      </c>
      <c r="L13" s="2" t="s">
        <v>60</v>
      </c>
      <c r="M13" s="2" t="s">
        <v>27</v>
      </c>
    </row>
    <row r="14" spans="1:13" x14ac:dyDescent="0.2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2849</v>
      </c>
      <c r="K14" s="2" t="s">
        <v>32</v>
      </c>
      <c r="L14" s="2" t="s">
        <v>60</v>
      </c>
      <c r="M14" s="2" t="s">
        <v>27</v>
      </c>
    </row>
    <row r="15" spans="1:13" x14ac:dyDescent="0.2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2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2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3067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2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2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2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2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2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2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2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2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2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2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2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2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2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25">
      <c r="B31" s="2" t="s">
        <v>204</v>
      </c>
      <c r="C31" s="4" t="s">
        <v>2363</v>
      </c>
      <c r="D31" s="4" t="s">
        <v>3068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2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2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2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2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2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25">
      <c r="B37" s="2" t="s">
        <v>95</v>
      </c>
      <c r="C37" s="4" t="s">
        <v>1603</v>
      </c>
      <c r="D37" s="2" t="s">
        <v>3069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2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2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3280</v>
      </c>
      <c r="K39" s="2" t="s">
        <v>220</v>
      </c>
      <c r="L39" s="2" t="s">
        <v>60</v>
      </c>
      <c r="M39" s="2" t="s">
        <v>27</v>
      </c>
    </row>
    <row r="40" spans="1:13" x14ac:dyDescent="0.2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3070</v>
      </c>
      <c r="K40" s="2" t="s">
        <v>15</v>
      </c>
      <c r="L40" s="2" t="s">
        <v>60</v>
      </c>
      <c r="M40" s="2" t="s">
        <v>27</v>
      </c>
    </row>
    <row r="41" spans="1:13" x14ac:dyDescent="0.2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2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2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2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2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2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2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4.4" x14ac:dyDescent="0.25"/>
  <cols>
    <col min="1" max="1" width="12.88671875" style="2" bestFit="1" customWidth="1"/>
    <col min="2" max="2" width="5.77734375" style="2" bestFit="1" customWidth="1"/>
    <col min="3" max="3" width="9.44140625" style="2" bestFit="1" customWidth="1"/>
    <col min="4" max="4" width="16.44140625" style="2" bestFit="1" customWidth="1"/>
    <col min="5" max="5" width="12.88671875" style="2" bestFit="1" customWidth="1"/>
    <col min="6" max="6" width="9.44140625" style="2" bestFit="1" customWidth="1"/>
    <col min="7" max="7" width="20.21875" style="2" bestFit="1" customWidth="1"/>
    <col min="8" max="8" width="22.6640625" style="2" bestFit="1" customWidth="1"/>
    <col min="9" max="9" width="5.44140625" style="4" bestFit="1" customWidth="1"/>
    <col min="10" max="14" width="10" style="2" bestFit="1" customWidth="1"/>
    <col min="15" max="17" width="7.88671875" style="2" bestFit="1" customWidth="1"/>
    <col min="18" max="22" width="10" style="2" bestFit="1" customWidth="1"/>
    <col min="23" max="16384" width="9" style="2"/>
  </cols>
  <sheetData>
    <row r="1" spans="1:22" s="15" customFormat="1" ht="29.4" customHeight="1" x14ac:dyDescent="0.25">
      <c r="A1" s="15" t="s">
        <v>3060</v>
      </c>
      <c r="B1" s="16" t="s">
        <v>0</v>
      </c>
      <c r="C1" s="16" t="s">
        <v>75</v>
      </c>
      <c r="D1" s="16" t="s">
        <v>3063</v>
      </c>
      <c r="E1" s="16" t="s">
        <v>77</v>
      </c>
      <c r="G1" s="16" t="s">
        <v>3243</v>
      </c>
      <c r="H1" s="16" t="s">
        <v>3244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25">
      <c r="A2" s="1" t="s">
        <v>2864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25">
      <c r="A3" s="10" t="s">
        <v>3135</v>
      </c>
      <c r="B3" s="10" t="s">
        <v>3148</v>
      </c>
      <c r="C3" s="10" t="s">
        <v>3149</v>
      </c>
      <c r="D3" s="10" t="s">
        <v>3255</v>
      </c>
      <c r="E3" s="10" t="s">
        <v>3270</v>
      </c>
      <c r="F3" s="10" t="s">
        <v>3135</v>
      </c>
      <c r="G3" s="10" t="s">
        <v>3241</v>
      </c>
      <c r="H3" s="10" t="s">
        <v>3242</v>
      </c>
      <c r="I3" s="11"/>
    </row>
    <row r="4" spans="1:22" s="24" customFormat="1" ht="15.75" customHeight="1" x14ac:dyDescent="0.25">
      <c r="A4" s="26" t="s">
        <v>3135</v>
      </c>
      <c r="B4" s="24" t="s">
        <v>3134</v>
      </c>
      <c r="C4" s="24" t="s">
        <v>3124</v>
      </c>
      <c r="D4" s="24" t="s">
        <v>3134</v>
      </c>
      <c r="E4" s="24" t="s">
        <v>3134</v>
      </c>
      <c r="F4" s="10" t="s">
        <v>3135</v>
      </c>
      <c r="G4" s="24" t="s">
        <v>3134</v>
      </c>
      <c r="H4" s="24" t="s">
        <v>3134</v>
      </c>
      <c r="I4" s="25"/>
    </row>
    <row r="5" spans="1:22" x14ac:dyDescent="0.2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2850</v>
      </c>
      <c r="H5" s="2" t="s">
        <v>2850</v>
      </c>
    </row>
    <row r="6" spans="1:22" x14ac:dyDescent="0.2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2850</v>
      </c>
      <c r="H6" s="2" t="s">
        <v>2850</v>
      </c>
    </row>
    <row r="7" spans="1:22" x14ac:dyDescent="0.2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2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2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2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2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2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2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2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2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2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2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2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2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2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2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2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2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2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2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2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2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2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2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2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25">
      <c r="B31" s="2" t="s">
        <v>204</v>
      </c>
      <c r="C31" s="2" t="s">
        <v>3068</v>
      </c>
      <c r="D31" s="2" t="s">
        <v>204</v>
      </c>
      <c r="E31" s="4" t="s">
        <v>2363</v>
      </c>
      <c r="F31" s="2" t="s">
        <v>3068</v>
      </c>
      <c r="G31" s="2" t="s">
        <v>60</v>
      </c>
      <c r="H31" s="2" t="s">
        <v>60</v>
      </c>
    </row>
    <row r="32" spans="2:8" x14ac:dyDescent="0.2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2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2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2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2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25">
      <c r="B37" s="2" t="s">
        <v>95</v>
      </c>
      <c r="C37" s="2" t="s">
        <v>3069</v>
      </c>
      <c r="D37" s="2" t="s">
        <v>95</v>
      </c>
      <c r="E37" s="4" t="s">
        <v>1603</v>
      </c>
      <c r="F37" s="2" t="s">
        <v>3069</v>
      </c>
      <c r="G37" s="2" t="s">
        <v>60</v>
      </c>
      <c r="H37" s="2" t="s">
        <v>60</v>
      </c>
    </row>
    <row r="38" spans="1:8" x14ac:dyDescent="0.2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2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2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2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2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2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2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2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2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2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4.4" x14ac:dyDescent="0.25"/>
  <cols>
    <col min="1" max="2" width="5.77734375" style="2" bestFit="1" customWidth="1"/>
    <col min="3" max="3" width="7.44140625" style="2" bestFit="1" customWidth="1"/>
    <col min="4" max="4" width="8.21875" style="4" bestFit="1" customWidth="1"/>
    <col min="5" max="5" width="7.44140625" style="4" bestFit="1" customWidth="1"/>
    <col min="6" max="6" width="15.77734375" style="4" bestFit="1" customWidth="1"/>
    <col min="7" max="7" width="5.44140625" style="4" bestFit="1" customWidth="1"/>
    <col min="8" max="8" width="8" style="4" customWidth="1"/>
    <col min="9" max="9" width="7.44140625" style="4" bestFit="1" customWidth="1"/>
    <col min="10" max="10" width="11" style="4" customWidth="1"/>
    <col min="11" max="11" width="7.44140625" style="4" bestFit="1" customWidth="1"/>
    <col min="12" max="12" width="13.21875" bestFit="1" customWidth="1"/>
    <col min="13" max="13" width="13.21875" customWidth="1"/>
    <col min="14" max="14" width="9.109375" style="4" customWidth="1"/>
    <col min="15" max="15" width="12" style="4" bestFit="1" customWidth="1"/>
    <col min="16" max="16" width="10.77734375" style="4" bestFit="1" customWidth="1"/>
    <col min="17" max="18" width="9.77734375" style="4" bestFit="1" customWidth="1"/>
    <col min="19" max="19" width="10" style="4" customWidth="1"/>
    <col min="20" max="20" width="11.109375" style="4" customWidth="1"/>
    <col min="21" max="21" width="10.33203125" style="4" customWidth="1"/>
    <col min="22" max="23" width="15.77734375" style="4" bestFit="1" customWidth="1"/>
    <col min="24" max="24" width="10.88671875" style="4" customWidth="1"/>
    <col min="25" max="25" width="10" style="4" customWidth="1"/>
    <col min="26" max="26" width="12.21875" style="4" customWidth="1"/>
    <col min="27" max="28" width="6.88671875" style="2" bestFit="1" customWidth="1"/>
    <col min="29" max="29" width="12.77734375" style="2" bestFit="1" customWidth="1"/>
    <col min="30" max="30" width="15.33203125" style="2" bestFit="1" customWidth="1"/>
    <col min="31" max="31" width="8.21875" style="2" bestFit="1" customWidth="1"/>
    <col min="32" max="32" width="17" style="2" bestFit="1" customWidth="1"/>
    <col min="33" max="33" width="12.88671875" style="2" bestFit="1" customWidth="1"/>
    <col min="34" max="34" width="22.6640625" style="2" bestFit="1" customWidth="1"/>
    <col min="35" max="35" width="6" style="2" bestFit="1" customWidth="1"/>
    <col min="36" max="36" width="14.44140625" style="2" customWidth="1"/>
    <col min="37" max="37" width="30.44140625" style="2" bestFit="1" customWidth="1"/>
    <col min="38" max="38" width="7.109375" style="2" bestFit="1" customWidth="1"/>
    <col min="39" max="39" width="11.6640625" style="2" bestFit="1" customWidth="1"/>
    <col min="40" max="41" width="10" style="2" bestFit="1" customWidth="1"/>
    <col min="42" max="42" width="19.33203125" style="2" bestFit="1" customWidth="1"/>
    <col min="43" max="43" width="9.33203125" style="2" bestFit="1" customWidth="1"/>
    <col min="44" max="44" width="5.44140625" style="2" bestFit="1" customWidth="1"/>
    <col min="45" max="45" width="10.44140625" style="2" bestFit="1" customWidth="1"/>
    <col min="46" max="46" width="11.21875" style="2" customWidth="1"/>
    <col min="47" max="47" width="9.6640625" style="2" customWidth="1"/>
    <col min="48" max="48" width="10.44140625" style="2" bestFit="1" customWidth="1"/>
    <col min="49" max="50" width="8.21875" style="2" bestFit="1" customWidth="1"/>
    <col min="51" max="51" width="14.109375" style="2" bestFit="1" customWidth="1"/>
    <col min="52" max="52" width="19.33203125" style="2" bestFit="1" customWidth="1"/>
    <col min="53" max="53" width="5.77734375" style="2" bestFit="1" customWidth="1"/>
    <col min="54" max="54" width="5.44140625" style="2" bestFit="1" customWidth="1"/>
    <col min="55" max="55" width="5.77734375" style="2" bestFit="1" customWidth="1"/>
    <col min="56" max="56" width="5.44140625" style="2" bestFit="1" customWidth="1"/>
    <col min="57" max="57" width="5.77734375" style="2" bestFit="1" customWidth="1"/>
    <col min="58" max="58" width="5.44140625" style="2" bestFit="1" customWidth="1"/>
    <col min="59" max="59" width="5.77734375" style="2" bestFit="1" customWidth="1"/>
    <col min="60" max="60" width="5.44140625" style="2" bestFit="1" customWidth="1"/>
    <col min="61" max="61" width="5.77734375" style="2" bestFit="1" customWidth="1"/>
    <col min="62" max="62" width="5.44140625" style="2" bestFit="1" customWidth="1"/>
    <col min="63" max="63" width="10" style="2" bestFit="1" customWidth="1"/>
    <col min="64" max="64" width="5.44140625" style="2" bestFit="1" customWidth="1"/>
    <col min="65" max="65" width="39.109375" style="2" bestFit="1" customWidth="1"/>
    <col min="66" max="16384" width="9" style="2"/>
  </cols>
  <sheetData>
    <row r="1" spans="1:65" s="8" customFormat="1" ht="33.6" customHeight="1" x14ac:dyDescent="0.25">
      <c r="A1" s="8" t="s">
        <v>3174</v>
      </c>
      <c r="B1" s="12" t="s">
        <v>0</v>
      </c>
      <c r="C1" s="8" t="s">
        <v>108</v>
      </c>
      <c r="D1" s="8" t="s">
        <v>109</v>
      </c>
      <c r="E1" s="12"/>
      <c r="F1" s="12" t="s">
        <v>3183</v>
      </c>
      <c r="G1" s="12"/>
      <c r="H1" s="9" t="s">
        <v>3063</v>
      </c>
      <c r="I1" s="29"/>
      <c r="J1" s="12" t="s">
        <v>3232</v>
      </c>
      <c r="K1" s="29"/>
      <c r="L1" s="29" t="s">
        <v>3331</v>
      </c>
      <c r="M1" s="29"/>
      <c r="N1" s="29" t="s">
        <v>3246</v>
      </c>
      <c r="O1" s="17" t="s">
        <v>3306</v>
      </c>
      <c r="P1" s="12" t="s">
        <v>3307</v>
      </c>
      <c r="Q1" s="12" t="s">
        <v>3308</v>
      </c>
      <c r="R1" s="12" t="s">
        <v>3309</v>
      </c>
      <c r="S1" s="12" t="s">
        <v>3298</v>
      </c>
      <c r="T1" s="12" t="s">
        <v>3299</v>
      </c>
      <c r="U1" s="17" t="s">
        <v>3300</v>
      </c>
      <c r="V1" s="17" t="s">
        <v>3301</v>
      </c>
      <c r="W1" s="17" t="s">
        <v>3302</v>
      </c>
      <c r="X1" s="17" t="s">
        <v>3303</v>
      </c>
      <c r="Y1" s="17" t="s">
        <v>3304</v>
      </c>
      <c r="Z1" s="17" t="s">
        <v>3305</v>
      </c>
      <c r="AA1" s="20" t="s">
        <v>3297</v>
      </c>
      <c r="AB1" s="20" t="s">
        <v>2846</v>
      </c>
      <c r="AC1" s="20" t="s">
        <v>2852</v>
      </c>
      <c r="AD1" s="20" t="s">
        <v>2854</v>
      </c>
      <c r="AE1" s="12" t="s">
        <v>110</v>
      </c>
      <c r="AF1" s="12" t="s">
        <v>3274</v>
      </c>
      <c r="AG1" s="12" t="s">
        <v>3175</v>
      </c>
      <c r="AH1" s="12" t="s">
        <v>3234</v>
      </c>
      <c r="AI1" s="12" t="s">
        <v>111</v>
      </c>
      <c r="AJ1" s="12" t="s">
        <v>112</v>
      </c>
      <c r="AK1" s="12" t="s">
        <v>3275</v>
      </c>
      <c r="AL1" s="12" t="s">
        <v>3176</v>
      </c>
      <c r="AM1" s="12" t="s">
        <v>3177</v>
      </c>
      <c r="AN1" s="12" t="s">
        <v>59</v>
      </c>
      <c r="AO1" s="12" t="s">
        <v>3178</v>
      </c>
      <c r="AP1" s="12" t="s">
        <v>3179</v>
      </c>
      <c r="AQ1" s="8" t="s">
        <v>114</v>
      </c>
      <c r="AR1" s="12"/>
      <c r="AS1" s="12" t="s">
        <v>3185</v>
      </c>
      <c r="AT1" s="12" t="s">
        <v>3187</v>
      </c>
      <c r="AU1" s="12" t="s">
        <v>3189</v>
      </c>
      <c r="AV1" s="12" t="s">
        <v>2865</v>
      </c>
      <c r="AW1" s="12" t="s">
        <v>3272</v>
      </c>
      <c r="AX1" s="12" t="s">
        <v>3190</v>
      </c>
      <c r="AY1" s="12" t="s">
        <v>113</v>
      </c>
      <c r="AZ1" s="8" t="s">
        <v>115</v>
      </c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8" t="s">
        <v>115</v>
      </c>
      <c r="BJ1" s="12"/>
      <c r="BK1" s="12" t="s">
        <v>115</v>
      </c>
      <c r="BL1" s="12"/>
      <c r="BM1" s="8" t="s">
        <v>3334</v>
      </c>
    </row>
    <row r="2" spans="1:65" s="1" customFormat="1" ht="13.5" customHeight="1" x14ac:dyDescent="0.2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25">
      <c r="A3" s="10" t="s">
        <v>3135</v>
      </c>
      <c r="B3" s="10" t="s">
        <v>3148</v>
      </c>
      <c r="C3" s="10" t="s">
        <v>3149</v>
      </c>
      <c r="D3" s="11" t="s">
        <v>3253</v>
      </c>
      <c r="E3" s="11" t="s">
        <v>3135</v>
      </c>
      <c r="F3" s="11" t="s">
        <v>3254</v>
      </c>
      <c r="G3" s="11" t="s">
        <v>3135</v>
      </c>
      <c r="H3" s="11" t="s">
        <v>3255</v>
      </c>
      <c r="I3" s="21" t="s">
        <v>3135</v>
      </c>
      <c r="J3" s="11" t="s">
        <v>3256</v>
      </c>
      <c r="K3" s="21" t="s">
        <v>3135</v>
      </c>
      <c r="L3" s="21" t="s">
        <v>3266</v>
      </c>
      <c r="M3" s="21" t="s">
        <v>3135</v>
      </c>
      <c r="N3" s="21" t="s">
        <v>3257</v>
      </c>
      <c r="O3" s="10" t="s">
        <v>3310</v>
      </c>
      <c r="P3" s="11" t="s">
        <v>3311</v>
      </c>
      <c r="Q3" s="11" t="s">
        <v>3312</v>
      </c>
      <c r="R3" s="11" t="s">
        <v>3313</v>
      </c>
      <c r="S3" s="10" t="s">
        <v>3292</v>
      </c>
      <c r="T3" s="10" t="s">
        <v>3293</v>
      </c>
      <c r="U3" s="10" t="s">
        <v>3294</v>
      </c>
      <c r="V3" s="10" t="s">
        <v>3295</v>
      </c>
      <c r="W3" s="10" t="s">
        <v>3296</v>
      </c>
      <c r="X3" s="10" t="s">
        <v>3316</v>
      </c>
      <c r="Y3" s="10" t="s">
        <v>3314</v>
      </c>
      <c r="Z3" s="10" t="s">
        <v>3315</v>
      </c>
      <c r="AA3" s="22" t="s">
        <v>3180</v>
      </c>
      <c r="AB3" s="21" t="s">
        <v>3181</v>
      </c>
      <c r="AC3" s="22" t="s">
        <v>3062</v>
      </c>
      <c r="AD3" s="22" t="s">
        <v>3182</v>
      </c>
      <c r="AE3" s="10" t="s">
        <v>3168</v>
      </c>
      <c r="AF3" s="10" t="s">
        <v>3273</v>
      </c>
      <c r="AG3" s="10" t="s">
        <v>2869</v>
      </c>
      <c r="AH3" s="10" t="s">
        <v>3277</v>
      </c>
      <c r="AI3" s="10" t="s">
        <v>3169</v>
      </c>
      <c r="AJ3" s="10" t="s">
        <v>3170</v>
      </c>
      <c r="AK3" s="10" t="s">
        <v>3289</v>
      </c>
      <c r="AL3" s="10" t="s">
        <v>3171</v>
      </c>
      <c r="AM3" s="10" t="s">
        <v>3172</v>
      </c>
      <c r="AN3" s="10" t="s">
        <v>3135</v>
      </c>
      <c r="AO3" s="10" t="s">
        <v>3135</v>
      </c>
      <c r="AP3" s="10" t="s">
        <v>3184</v>
      </c>
      <c r="AQ3" s="10" t="s">
        <v>3245</v>
      </c>
      <c r="AR3" s="10" t="s">
        <v>3135</v>
      </c>
      <c r="AS3" s="10" t="s">
        <v>3327</v>
      </c>
      <c r="AT3" s="10" t="s">
        <v>3186</v>
      </c>
      <c r="AU3" s="10" t="s">
        <v>3188</v>
      </c>
      <c r="AV3" s="10" t="s">
        <v>2867</v>
      </c>
      <c r="AW3" s="10" t="s">
        <v>2866</v>
      </c>
      <c r="AX3" s="10" t="s">
        <v>3271</v>
      </c>
      <c r="AY3" s="10" t="s">
        <v>3233</v>
      </c>
      <c r="AZ3" s="10" t="s">
        <v>3252</v>
      </c>
      <c r="BA3" s="10" t="s">
        <v>3135</v>
      </c>
      <c r="BB3" s="10" t="s">
        <v>3135</v>
      </c>
      <c r="BC3" s="10" t="s">
        <v>3135</v>
      </c>
      <c r="BD3" s="10" t="s">
        <v>3135</v>
      </c>
      <c r="BE3" s="10" t="s">
        <v>3135</v>
      </c>
      <c r="BF3" s="10" t="s">
        <v>3135</v>
      </c>
      <c r="BG3" s="10" t="s">
        <v>3135</v>
      </c>
      <c r="BH3" s="10" t="s">
        <v>3135</v>
      </c>
      <c r="BI3" s="10" t="s">
        <v>3135</v>
      </c>
      <c r="BJ3" s="10" t="s">
        <v>3135</v>
      </c>
      <c r="BK3" s="10" t="s">
        <v>3135</v>
      </c>
      <c r="BL3" s="10" t="s">
        <v>3135</v>
      </c>
      <c r="BM3" s="10" t="s">
        <v>3279</v>
      </c>
    </row>
    <row r="4" spans="1:65" s="24" customFormat="1" ht="15.75" customHeight="1" x14ac:dyDescent="0.25">
      <c r="A4" s="26" t="s">
        <v>3135</v>
      </c>
      <c r="B4" s="24" t="s">
        <v>3134</v>
      </c>
      <c r="C4" s="24" t="s">
        <v>3166</v>
      </c>
      <c r="D4" s="24" t="s">
        <v>3134</v>
      </c>
      <c r="E4" s="24" t="s">
        <v>3135</v>
      </c>
      <c r="F4" s="24" t="s">
        <v>3134</v>
      </c>
      <c r="G4" s="24" t="s">
        <v>3135</v>
      </c>
      <c r="H4" s="25" t="s">
        <v>3134</v>
      </c>
      <c r="I4" s="24" t="s">
        <v>3135</v>
      </c>
      <c r="J4" s="24" t="s">
        <v>3134</v>
      </c>
      <c r="K4" s="24" t="s">
        <v>3135</v>
      </c>
      <c r="L4" s="24" t="s">
        <v>3134</v>
      </c>
      <c r="M4" s="24" t="s">
        <v>3135</v>
      </c>
      <c r="N4" s="24" t="s">
        <v>3134</v>
      </c>
      <c r="O4" s="27" t="s">
        <v>3134</v>
      </c>
      <c r="P4" s="24" t="s">
        <v>3134</v>
      </c>
      <c r="Q4" s="24" t="s">
        <v>3134</v>
      </c>
      <c r="R4" s="24" t="s">
        <v>3134</v>
      </c>
      <c r="S4" s="24" t="s">
        <v>3134</v>
      </c>
      <c r="T4" s="24" t="s">
        <v>3134</v>
      </c>
      <c r="U4" s="24" t="s">
        <v>3134</v>
      </c>
      <c r="V4" s="24" t="s">
        <v>3134</v>
      </c>
      <c r="W4" s="24" t="s">
        <v>3134</v>
      </c>
      <c r="X4" s="27" t="s">
        <v>3134</v>
      </c>
      <c r="Y4" s="27" t="s">
        <v>3134</v>
      </c>
      <c r="Z4" s="27" t="s">
        <v>3134</v>
      </c>
      <c r="AA4" s="27" t="s">
        <v>3125</v>
      </c>
      <c r="AB4" s="27" t="s">
        <v>3125</v>
      </c>
      <c r="AC4" s="27" t="s">
        <v>3127</v>
      </c>
      <c r="AD4" s="27" t="s">
        <v>3127</v>
      </c>
      <c r="AE4" s="24" t="s">
        <v>3173</v>
      </c>
      <c r="AF4" s="24" t="s">
        <v>3173</v>
      </c>
      <c r="AG4" s="24" t="s">
        <v>3134</v>
      </c>
      <c r="AH4" s="24" t="s">
        <v>3134</v>
      </c>
      <c r="AI4" s="24" t="s">
        <v>3134</v>
      </c>
      <c r="AJ4" s="24" t="s">
        <v>3134</v>
      </c>
      <c r="AK4" s="24" t="s">
        <v>3159</v>
      </c>
      <c r="AL4" s="24" t="s">
        <v>3167</v>
      </c>
      <c r="AM4" s="24" t="s">
        <v>3167</v>
      </c>
      <c r="AN4" s="24" t="s">
        <v>3135</v>
      </c>
      <c r="AO4" s="24" t="s">
        <v>3135</v>
      </c>
      <c r="AP4" s="24" t="s">
        <v>3173</v>
      </c>
      <c r="AQ4" s="24" t="s">
        <v>3134</v>
      </c>
      <c r="AR4" s="24" t="s">
        <v>3135</v>
      </c>
      <c r="AS4" s="24" t="s">
        <v>3125</v>
      </c>
      <c r="AT4" s="24" t="s">
        <v>3125</v>
      </c>
      <c r="AU4" s="24" t="s">
        <v>3123</v>
      </c>
      <c r="AV4" s="24" t="s">
        <v>3123</v>
      </c>
      <c r="AW4" s="24" t="s">
        <v>3123</v>
      </c>
      <c r="AX4" s="24" t="s">
        <v>3123</v>
      </c>
      <c r="AY4" s="24" t="s">
        <v>3123</v>
      </c>
      <c r="AZ4" s="24" t="s">
        <v>3159</v>
      </c>
      <c r="BA4" s="24" t="s">
        <v>3135</v>
      </c>
      <c r="BB4" s="24" t="s">
        <v>3135</v>
      </c>
      <c r="BC4" s="24" t="s">
        <v>3135</v>
      </c>
      <c r="BD4" s="24" t="s">
        <v>3135</v>
      </c>
      <c r="BE4" s="24" t="s">
        <v>3135</v>
      </c>
      <c r="BF4" s="24" t="s">
        <v>3135</v>
      </c>
      <c r="BG4" s="24" t="s">
        <v>3135</v>
      </c>
      <c r="BH4" s="24" t="s">
        <v>3135</v>
      </c>
      <c r="BI4" s="24" t="s">
        <v>3135</v>
      </c>
      <c r="BJ4" s="24" t="s">
        <v>3135</v>
      </c>
      <c r="BK4" s="24" t="s">
        <v>3135</v>
      </c>
      <c r="BL4" s="24" t="s">
        <v>3135</v>
      </c>
      <c r="BM4" s="24" t="s">
        <v>3124</v>
      </c>
    </row>
    <row r="5" spans="1:65" x14ac:dyDescent="0.2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2847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120</v>
      </c>
      <c r="W5" s="2" t="s">
        <v>121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2850</v>
      </c>
      <c r="AD5" s="2" t="s">
        <v>2850</v>
      </c>
      <c r="AE5" s="2">
        <v>22000</v>
      </c>
      <c r="AF5" s="2" t="s">
        <v>2850</v>
      </c>
      <c r="AG5" s="4" t="s">
        <v>118</v>
      </c>
      <c r="AH5" s="4">
        <v>30000</v>
      </c>
      <c r="AI5" s="2">
        <v>4800</v>
      </c>
      <c r="AJ5" s="2">
        <v>48000</v>
      </c>
      <c r="AK5" s="2" t="s">
        <v>3291</v>
      </c>
      <c r="AL5" s="2" t="s">
        <v>60</v>
      </c>
      <c r="AM5" s="2" t="s">
        <v>60</v>
      </c>
      <c r="AO5" s="2" t="s">
        <v>2853</v>
      </c>
      <c r="AP5" s="7" t="s">
        <v>60</v>
      </c>
      <c r="AQ5" s="2">
        <v>1</v>
      </c>
      <c r="AR5" s="4" t="s">
        <v>124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2850</v>
      </c>
      <c r="AZ5" s="2" t="s">
        <v>74</v>
      </c>
      <c r="BA5" s="2" t="s">
        <v>35</v>
      </c>
      <c r="BB5" s="4" t="s">
        <v>125</v>
      </c>
      <c r="BC5" s="2" t="s">
        <v>60</v>
      </c>
      <c r="BD5" s="4"/>
      <c r="BE5" s="4" t="s">
        <v>60</v>
      </c>
      <c r="BF5" s="4"/>
      <c r="BG5" s="2" t="s">
        <v>60</v>
      </c>
      <c r="BH5" s="4"/>
      <c r="BI5" s="2" t="s">
        <v>60</v>
      </c>
      <c r="BK5" s="2" t="s">
        <v>60</v>
      </c>
      <c r="BM5" s="2" t="s">
        <v>3335</v>
      </c>
    </row>
    <row r="6" spans="1:65" x14ac:dyDescent="0.2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2847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127</v>
      </c>
      <c r="W6" s="2" t="s">
        <v>128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2850</v>
      </c>
      <c r="AD6" s="2" t="s">
        <v>2850</v>
      </c>
      <c r="AE6" s="2">
        <v>30000</v>
      </c>
      <c r="AF6" s="2" t="s">
        <v>2850</v>
      </c>
      <c r="AG6" s="4" t="s">
        <v>2870</v>
      </c>
      <c r="AH6" s="4">
        <v>30000</v>
      </c>
      <c r="AI6" s="2">
        <v>6000</v>
      </c>
      <c r="AJ6" s="2">
        <v>60000</v>
      </c>
      <c r="AK6" s="2" t="s">
        <v>3291</v>
      </c>
      <c r="AL6" s="2" t="s">
        <v>60</v>
      </c>
      <c r="AM6" s="2" t="s">
        <v>60</v>
      </c>
      <c r="AO6" s="2" t="s">
        <v>2853</v>
      </c>
      <c r="AP6" s="7" t="s">
        <v>60</v>
      </c>
      <c r="AQ6" s="2">
        <v>1</v>
      </c>
      <c r="AR6" s="4" t="s">
        <v>124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2850</v>
      </c>
      <c r="AZ6" s="2" t="s">
        <v>3191</v>
      </c>
      <c r="BA6" s="2" t="s">
        <v>27</v>
      </c>
      <c r="BB6" s="4" t="s">
        <v>116</v>
      </c>
      <c r="BC6" s="2" t="s">
        <v>31</v>
      </c>
      <c r="BD6" s="4" t="s">
        <v>131</v>
      </c>
      <c r="BE6" s="4" t="s">
        <v>37</v>
      </c>
      <c r="BF6" s="4" t="s">
        <v>132</v>
      </c>
      <c r="BG6" s="2" t="s">
        <v>60</v>
      </c>
      <c r="BH6" s="4"/>
      <c r="BI6" s="2" t="s">
        <v>60</v>
      </c>
      <c r="BK6" s="2" t="s">
        <v>60</v>
      </c>
      <c r="BM6" s="2" t="s">
        <v>3336</v>
      </c>
    </row>
    <row r="7" spans="1:65" x14ac:dyDescent="0.2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2847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127</v>
      </c>
      <c r="W7" s="2" t="s">
        <v>121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60</v>
      </c>
      <c r="AD7" s="2" t="s">
        <v>60</v>
      </c>
      <c r="AE7" s="2">
        <v>24000</v>
      </c>
      <c r="AF7" s="2" t="s">
        <v>60</v>
      </c>
      <c r="AG7" s="4" t="s">
        <v>2871</v>
      </c>
      <c r="AH7" s="4">
        <v>30000</v>
      </c>
      <c r="AI7" s="2">
        <v>4800</v>
      </c>
      <c r="AJ7" s="2">
        <v>48000</v>
      </c>
      <c r="AK7" s="2" t="s">
        <v>3290</v>
      </c>
      <c r="AL7" s="2" t="s">
        <v>60</v>
      </c>
      <c r="AM7" s="2" t="s">
        <v>60</v>
      </c>
      <c r="AO7" s="2" t="s">
        <v>2853</v>
      </c>
      <c r="AP7" s="7" t="s">
        <v>60</v>
      </c>
      <c r="AQ7" s="2">
        <v>1</v>
      </c>
      <c r="AR7" s="4" t="s">
        <v>124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60</v>
      </c>
      <c r="AZ7" s="2" t="s">
        <v>3192</v>
      </c>
      <c r="BA7" s="2" t="s">
        <v>35</v>
      </c>
      <c r="BB7" s="4" t="s">
        <v>125</v>
      </c>
      <c r="BC7" s="2" t="s">
        <v>37</v>
      </c>
      <c r="BD7" s="4" t="s">
        <v>132</v>
      </c>
      <c r="BE7" s="4" t="s">
        <v>36</v>
      </c>
      <c r="BF7" s="4" t="s">
        <v>135</v>
      </c>
      <c r="BG7" s="2" t="s">
        <v>60</v>
      </c>
      <c r="BH7" s="4"/>
      <c r="BI7" s="2" t="s">
        <v>60</v>
      </c>
      <c r="BK7" s="2" t="s">
        <v>60</v>
      </c>
      <c r="BM7" s="2" t="s">
        <v>3335</v>
      </c>
    </row>
    <row r="8" spans="1:65" x14ac:dyDescent="0.2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2847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120</v>
      </c>
      <c r="W8" s="2" t="s">
        <v>128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60</v>
      </c>
      <c r="AD8" s="2" t="s">
        <v>60</v>
      </c>
      <c r="AE8" s="2">
        <v>30000</v>
      </c>
      <c r="AF8" s="2" t="s">
        <v>60</v>
      </c>
      <c r="AG8" s="4" t="s">
        <v>2872</v>
      </c>
      <c r="AH8" s="4">
        <v>30000</v>
      </c>
      <c r="AI8" s="2">
        <v>6000</v>
      </c>
      <c r="AJ8" s="2">
        <v>60000</v>
      </c>
      <c r="AK8" s="2" t="s">
        <v>3290</v>
      </c>
      <c r="AL8" s="2" t="s">
        <v>60</v>
      </c>
      <c r="AM8" s="2" t="s">
        <v>60</v>
      </c>
      <c r="AO8" s="2" t="s">
        <v>2853</v>
      </c>
      <c r="AP8" s="7" t="s">
        <v>60</v>
      </c>
      <c r="AQ8" s="2">
        <v>2</v>
      </c>
      <c r="AR8" s="4" t="s">
        <v>138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60</v>
      </c>
      <c r="AZ8" s="2" t="s">
        <v>3193</v>
      </c>
      <c r="BA8" s="2" t="s">
        <v>35</v>
      </c>
      <c r="BB8" s="4" t="s">
        <v>125</v>
      </c>
      <c r="BC8" s="2" t="s">
        <v>31</v>
      </c>
      <c r="BD8" s="4" t="s">
        <v>131</v>
      </c>
      <c r="BE8" s="4" t="s">
        <v>33</v>
      </c>
      <c r="BF8" s="4" t="s">
        <v>139</v>
      </c>
      <c r="BG8" s="2" t="s">
        <v>34</v>
      </c>
      <c r="BH8" s="4" t="s">
        <v>140</v>
      </c>
      <c r="BI8" s="2" t="s">
        <v>60</v>
      </c>
      <c r="BK8" s="2" t="s">
        <v>60</v>
      </c>
      <c r="BM8" s="2" t="s">
        <v>3336</v>
      </c>
    </row>
    <row r="9" spans="1:65" x14ac:dyDescent="0.2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2847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120</v>
      </c>
      <c r="W9" s="2" t="s">
        <v>128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60</v>
      </c>
      <c r="AD9" s="2" t="s">
        <v>60</v>
      </c>
      <c r="AE9" s="2">
        <v>0</v>
      </c>
      <c r="AF9" s="2" t="s">
        <v>60</v>
      </c>
      <c r="AG9" s="4" t="s">
        <v>2873</v>
      </c>
      <c r="AH9" s="4">
        <v>30000</v>
      </c>
      <c r="AI9" s="2">
        <v>0</v>
      </c>
      <c r="AJ9" s="2">
        <v>0</v>
      </c>
      <c r="AK9" s="2" t="s">
        <v>3290</v>
      </c>
      <c r="AL9" s="2" t="s">
        <v>60</v>
      </c>
      <c r="AM9" s="2" t="s">
        <v>60</v>
      </c>
      <c r="AO9" s="2" t="s">
        <v>2853</v>
      </c>
      <c r="AP9" s="7" t="s">
        <v>60</v>
      </c>
      <c r="AQ9" s="2">
        <v>2</v>
      </c>
      <c r="AR9" s="4" t="s">
        <v>138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60</v>
      </c>
      <c r="AZ9" s="2" t="s">
        <v>3194</v>
      </c>
      <c r="BA9" s="2" t="s">
        <v>37</v>
      </c>
      <c r="BB9" s="4" t="s">
        <v>132</v>
      </c>
      <c r="BC9" s="2" t="s">
        <v>34</v>
      </c>
      <c r="BD9" s="4" t="s">
        <v>140</v>
      </c>
      <c r="BE9" s="4" t="s">
        <v>30</v>
      </c>
      <c r="BF9" s="4" t="s">
        <v>2911</v>
      </c>
      <c r="BG9" s="2" t="s">
        <v>20</v>
      </c>
      <c r="BH9" s="4" t="s">
        <v>2333</v>
      </c>
      <c r="BI9" s="2" t="s">
        <v>60</v>
      </c>
      <c r="BK9" s="2" t="s">
        <v>60</v>
      </c>
      <c r="BM9" s="2" t="s">
        <v>3335</v>
      </c>
    </row>
    <row r="10" spans="1:65" x14ac:dyDescent="0.2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2847</v>
      </c>
      <c r="H10" s="2" t="s">
        <v>3146</v>
      </c>
      <c r="I10" s="4" t="str">
        <f>VLOOKUP(H10,forceSet!$B$5:$D$46,3,0)</f>
        <v>丁原</v>
      </c>
      <c r="J10" s="2" t="s">
        <v>3146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127</v>
      </c>
      <c r="W10" s="2" t="s">
        <v>143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60</v>
      </c>
      <c r="AD10" s="2" t="s">
        <v>60</v>
      </c>
      <c r="AE10" s="2">
        <v>20000</v>
      </c>
      <c r="AF10" s="2" t="s">
        <v>60</v>
      </c>
      <c r="AG10" s="4" t="s">
        <v>2874</v>
      </c>
      <c r="AH10" s="4">
        <v>30000</v>
      </c>
      <c r="AI10" s="2">
        <v>4800</v>
      </c>
      <c r="AJ10" s="2">
        <v>48000</v>
      </c>
      <c r="AK10" s="2" t="s">
        <v>3290</v>
      </c>
      <c r="AL10" s="2" t="s">
        <v>60</v>
      </c>
      <c r="AM10" s="2" t="s">
        <v>60</v>
      </c>
      <c r="AO10" s="2" t="s">
        <v>2853</v>
      </c>
      <c r="AP10" s="7" t="s">
        <v>60</v>
      </c>
      <c r="AQ10" s="2">
        <v>2</v>
      </c>
      <c r="AR10" s="4" t="s">
        <v>138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60</v>
      </c>
      <c r="AZ10" s="2" t="s">
        <v>3195</v>
      </c>
      <c r="BA10" s="2" t="s">
        <v>31</v>
      </c>
      <c r="BB10" s="4" t="s">
        <v>131</v>
      </c>
      <c r="BC10" s="2" t="s">
        <v>34</v>
      </c>
      <c r="BD10" s="4" t="s">
        <v>140</v>
      </c>
      <c r="BE10" s="4" t="s">
        <v>60</v>
      </c>
      <c r="BF10" s="4"/>
      <c r="BG10" s="2" t="s">
        <v>60</v>
      </c>
      <c r="BH10" s="4"/>
      <c r="BI10" s="2" t="s">
        <v>60</v>
      </c>
      <c r="BK10" s="2" t="s">
        <v>60</v>
      </c>
      <c r="BM10" s="2" t="s">
        <v>3336</v>
      </c>
    </row>
    <row r="11" spans="1:65" x14ac:dyDescent="0.2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2847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145</v>
      </c>
      <c r="W11" s="2" t="s">
        <v>146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60</v>
      </c>
      <c r="AD11" s="2" t="s">
        <v>60</v>
      </c>
      <c r="AE11" s="2">
        <v>22000</v>
      </c>
      <c r="AF11" s="2" t="s">
        <v>60</v>
      </c>
      <c r="AG11" s="4" t="s">
        <v>2875</v>
      </c>
      <c r="AH11" s="4">
        <v>30000</v>
      </c>
      <c r="AI11" s="2">
        <v>4800</v>
      </c>
      <c r="AJ11" s="2">
        <v>48000</v>
      </c>
      <c r="AK11" s="2" t="s">
        <v>3290</v>
      </c>
      <c r="AL11" s="2" t="s">
        <v>60</v>
      </c>
      <c r="AM11" s="2" t="s">
        <v>60</v>
      </c>
      <c r="AO11" s="2" t="s">
        <v>2853</v>
      </c>
      <c r="AP11" s="7" t="s">
        <v>60</v>
      </c>
      <c r="AQ11" s="2">
        <v>2</v>
      </c>
      <c r="AR11" s="4" t="s">
        <v>138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60</v>
      </c>
      <c r="AZ11" s="2" t="s">
        <v>3196</v>
      </c>
      <c r="BA11" s="2" t="s">
        <v>37</v>
      </c>
      <c r="BB11" s="4" t="s">
        <v>132</v>
      </c>
      <c r="BC11" s="2" t="s">
        <v>33</v>
      </c>
      <c r="BD11" s="4" t="s">
        <v>139</v>
      </c>
      <c r="BE11" s="4" t="s">
        <v>36</v>
      </c>
      <c r="BF11" s="4" t="s">
        <v>135</v>
      </c>
      <c r="BG11" s="2" t="s">
        <v>20</v>
      </c>
      <c r="BH11" s="4" t="s">
        <v>2333</v>
      </c>
      <c r="BI11" s="2" t="s">
        <v>41</v>
      </c>
      <c r="BJ11" s="2" t="s">
        <v>149</v>
      </c>
      <c r="BK11" s="2" t="s">
        <v>60</v>
      </c>
      <c r="BM11" s="2" t="s">
        <v>3335</v>
      </c>
    </row>
    <row r="12" spans="1:65" x14ac:dyDescent="0.25">
      <c r="B12" s="2" t="s">
        <v>30</v>
      </c>
      <c r="C12" s="2" t="s">
        <v>2911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2847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120</v>
      </c>
      <c r="W12" s="2" t="s">
        <v>146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60</v>
      </c>
      <c r="AD12" s="2" t="s">
        <v>60</v>
      </c>
      <c r="AE12" s="2">
        <v>20000</v>
      </c>
      <c r="AF12" s="2" t="s">
        <v>60</v>
      </c>
      <c r="AG12" s="4" t="s">
        <v>2876</v>
      </c>
      <c r="AH12" s="4">
        <v>30000</v>
      </c>
      <c r="AI12" s="2">
        <v>4800</v>
      </c>
      <c r="AJ12" s="2">
        <v>48000</v>
      </c>
      <c r="AK12" s="2" t="s">
        <v>3290</v>
      </c>
      <c r="AL12" s="2" t="s">
        <v>60</v>
      </c>
      <c r="AM12" s="2" t="s">
        <v>60</v>
      </c>
      <c r="AO12" s="2" t="s">
        <v>2853</v>
      </c>
      <c r="AP12" s="7" t="s">
        <v>60</v>
      </c>
      <c r="AQ12" s="2">
        <v>3</v>
      </c>
      <c r="AR12" s="4" t="s">
        <v>151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60</v>
      </c>
      <c r="AZ12" s="2" t="s">
        <v>3197</v>
      </c>
      <c r="BA12" s="2" t="s">
        <v>33</v>
      </c>
      <c r="BB12" s="4" t="s">
        <v>139</v>
      </c>
      <c r="BC12" s="2" t="s">
        <v>29</v>
      </c>
      <c r="BD12" s="4" t="s">
        <v>2912</v>
      </c>
      <c r="BE12" s="4" t="s">
        <v>60</v>
      </c>
      <c r="BF12" s="4"/>
      <c r="BG12" s="2" t="s">
        <v>60</v>
      </c>
      <c r="BH12" s="4"/>
      <c r="BI12" s="2" t="s">
        <v>60</v>
      </c>
      <c r="BK12" s="2" t="s">
        <v>60</v>
      </c>
      <c r="BM12" s="2" t="s">
        <v>3336</v>
      </c>
    </row>
    <row r="13" spans="1:65" x14ac:dyDescent="0.25">
      <c r="B13" s="2" t="s">
        <v>29</v>
      </c>
      <c r="C13" s="2" t="s">
        <v>2912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2847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127</v>
      </c>
      <c r="W13" s="2" t="s">
        <v>154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60</v>
      </c>
      <c r="AD13" s="2" t="s">
        <v>60</v>
      </c>
      <c r="AE13" s="2">
        <v>26000</v>
      </c>
      <c r="AF13" s="2" t="s">
        <v>60</v>
      </c>
      <c r="AG13" s="4" t="s">
        <v>2877</v>
      </c>
      <c r="AH13" s="4">
        <v>30000</v>
      </c>
      <c r="AI13" s="2">
        <v>5600</v>
      </c>
      <c r="AJ13" s="2">
        <v>56000</v>
      </c>
      <c r="AK13" s="2" t="s">
        <v>3290</v>
      </c>
      <c r="AL13" s="2" t="s">
        <v>60</v>
      </c>
      <c r="AM13" s="2" t="s">
        <v>60</v>
      </c>
      <c r="AO13" s="2" t="s">
        <v>2853</v>
      </c>
      <c r="AP13" s="7" t="s">
        <v>60</v>
      </c>
      <c r="AQ13" s="2">
        <v>3</v>
      </c>
      <c r="AR13" s="4" t="s">
        <v>151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60</v>
      </c>
      <c r="AZ13" s="2" t="s">
        <v>3198</v>
      </c>
      <c r="BA13" s="2" t="s">
        <v>30</v>
      </c>
      <c r="BB13" s="4" t="s">
        <v>2911</v>
      </c>
      <c r="BC13" s="2" t="s">
        <v>32</v>
      </c>
      <c r="BD13" s="4" t="s">
        <v>155</v>
      </c>
      <c r="BE13" s="4" t="s">
        <v>24</v>
      </c>
      <c r="BF13" s="4" t="s">
        <v>156</v>
      </c>
      <c r="BG13" s="2" t="s">
        <v>60</v>
      </c>
      <c r="BH13" s="4"/>
      <c r="BI13" s="2" t="s">
        <v>60</v>
      </c>
      <c r="BK13" s="2" t="s">
        <v>60</v>
      </c>
      <c r="BM13" s="2" t="s">
        <v>3335</v>
      </c>
    </row>
    <row r="14" spans="1:65" x14ac:dyDescent="0.2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2847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158</v>
      </c>
      <c r="W14" s="2" t="s">
        <v>128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60</v>
      </c>
      <c r="AD14" s="2" t="s">
        <v>60</v>
      </c>
      <c r="AE14" s="2">
        <v>24000</v>
      </c>
      <c r="AF14" s="2" t="s">
        <v>60</v>
      </c>
      <c r="AG14" s="4" t="s">
        <v>2878</v>
      </c>
      <c r="AH14" s="4">
        <v>30000</v>
      </c>
      <c r="AI14" s="2">
        <v>4800</v>
      </c>
      <c r="AJ14" s="2">
        <v>48000</v>
      </c>
      <c r="AK14" s="2" t="s">
        <v>3290</v>
      </c>
      <c r="AL14" s="2" t="s">
        <v>60</v>
      </c>
      <c r="AM14" s="2" t="s">
        <v>60</v>
      </c>
      <c r="AO14" s="2" t="s">
        <v>2853</v>
      </c>
      <c r="AP14" s="7" t="s">
        <v>60</v>
      </c>
      <c r="AQ14" s="2">
        <v>3</v>
      </c>
      <c r="AR14" s="4" t="s">
        <v>151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60</v>
      </c>
      <c r="AZ14" s="2" t="s">
        <v>3199</v>
      </c>
      <c r="BA14" s="2" t="s">
        <v>29</v>
      </c>
      <c r="BB14" s="4" t="s">
        <v>2912</v>
      </c>
      <c r="BC14" s="2" t="s">
        <v>24</v>
      </c>
      <c r="BD14" s="4" t="s">
        <v>156</v>
      </c>
      <c r="BE14" s="4" t="s">
        <v>20</v>
      </c>
      <c r="BF14" s="4" t="s">
        <v>2333</v>
      </c>
      <c r="BG14" s="2" t="s">
        <v>41</v>
      </c>
      <c r="BH14" s="4" t="s">
        <v>149</v>
      </c>
      <c r="BI14" s="2" t="s">
        <v>60</v>
      </c>
      <c r="BK14" s="2" t="s">
        <v>60</v>
      </c>
      <c r="BM14" s="2" t="s">
        <v>3336</v>
      </c>
    </row>
    <row r="15" spans="1:65" x14ac:dyDescent="0.2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2847</v>
      </c>
      <c r="H15" s="2" t="s">
        <v>3317</v>
      </c>
      <c r="I15" s="4" t="str">
        <f>VLOOKUP(H15,forceSet!$B$5:$D$46,3,0)</f>
        <v>毌丘俭</v>
      </c>
      <c r="J15" s="2" t="s">
        <v>3317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120</v>
      </c>
      <c r="W15" s="2" t="s">
        <v>128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60</v>
      </c>
      <c r="AD15" s="2" t="s">
        <v>60</v>
      </c>
      <c r="AE15" s="2">
        <v>24000</v>
      </c>
      <c r="AF15" s="2" t="s">
        <v>60</v>
      </c>
      <c r="AG15" s="4" t="s">
        <v>2879</v>
      </c>
      <c r="AH15" s="4">
        <v>30000</v>
      </c>
      <c r="AI15" s="2">
        <v>5200</v>
      </c>
      <c r="AJ15" s="2">
        <v>52000</v>
      </c>
      <c r="AK15" s="2" t="s">
        <v>3290</v>
      </c>
      <c r="AL15" s="2" t="s">
        <v>60</v>
      </c>
      <c r="AM15" s="2" t="s">
        <v>60</v>
      </c>
      <c r="AO15" s="2" t="s">
        <v>2853</v>
      </c>
      <c r="AP15" s="7" t="s">
        <v>60</v>
      </c>
      <c r="AQ15" s="2">
        <v>3</v>
      </c>
      <c r="AR15" s="4" t="s">
        <v>151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60</v>
      </c>
      <c r="AZ15" s="2" t="s">
        <v>3200</v>
      </c>
      <c r="BA15" s="2" t="s">
        <v>29</v>
      </c>
      <c r="BB15" s="4" t="s">
        <v>2912</v>
      </c>
      <c r="BC15" s="2" t="s">
        <v>32</v>
      </c>
      <c r="BD15" s="4" t="s">
        <v>155</v>
      </c>
      <c r="BE15" s="4" t="s">
        <v>8</v>
      </c>
      <c r="BF15" s="4" t="s">
        <v>161</v>
      </c>
      <c r="BG15" s="2" t="s">
        <v>189</v>
      </c>
      <c r="BH15" s="4" t="s">
        <v>2914</v>
      </c>
      <c r="BI15" s="2" t="s">
        <v>200</v>
      </c>
      <c r="BJ15" s="2" t="s">
        <v>162</v>
      </c>
      <c r="BK15" s="2" t="s">
        <v>60</v>
      </c>
      <c r="BM15" s="2" t="s">
        <v>3335</v>
      </c>
    </row>
    <row r="16" spans="1:65" x14ac:dyDescent="0.2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2847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145</v>
      </c>
      <c r="W16" s="2" t="s">
        <v>143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60</v>
      </c>
      <c r="AD16" s="2" t="s">
        <v>60</v>
      </c>
      <c r="AE16" s="2">
        <v>30000</v>
      </c>
      <c r="AF16" s="2" t="s">
        <v>60</v>
      </c>
      <c r="AG16" s="4" t="s">
        <v>2880</v>
      </c>
      <c r="AH16" s="4">
        <v>30000</v>
      </c>
      <c r="AI16" s="2">
        <v>6000</v>
      </c>
      <c r="AJ16" s="2">
        <v>60000</v>
      </c>
      <c r="AK16" s="2" t="s">
        <v>3290</v>
      </c>
      <c r="AL16" s="2" t="s">
        <v>60</v>
      </c>
      <c r="AM16" s="2" t="s">
        <v>60</v>
      </c>
      <c r="AO16" s="2" t="s">
        <v>2853</v>
      </c>
      <c r="AP16" s="7" t="s">
        <v>60</v>
      </c>
      <c r="AQ16" s="2">
        <v>4</v>
      </c>
      <c r="AR16" s="4" t="s">
        <v>163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60</v>
      </c>
      <c r="AZ16" s="2" t="s">
        <v>3201</v>
      </c>
      <c r="BA16" s="2" t="s">
        <v>33</v>
      </c>
      <c r="BB16" s="4" t="s">
        <v>139</v>
      </c>
      <c r="BC16" s="2" t="s">
        <v>34</v>
      </c>
      <c r="BD16" s="4" t="s">
        <v>140</v>
      </c>
      <c r="BE16" s="4" t="s">
        <v>32</v>
      </c>
      <c r="BF16" s="4" t="s">
        <v>155</v>
      </c>
      <c r="BG16" s="2" t="s">
        <v>41</v>
      </c>
      <c r="BH16" s="4" t="s">
        <v>149</v>
      </c>
      <c r="BI16" s="2" t="s">
        <v>60</v>
      </c>
      <c r="BK16" s="2" t="s">
        <v>60</v>
      </c>
      <c r="BM16" s="2" t="s">
        <v>3336</v>
      </c>
    </row>
    <row r="17" spans="2:65" x14ac:dyDescent="0.2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2847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127</v>
      </c>
      <c r="W17" s="2" t="s">
        <v>121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60</v>
      </c>
      <c r="AD17" s="2" t="s">
        <v>60</v>
      </c>
      <c r="AE17" s="2">
        <v>22000</v>
      </c>
      <c r="AF17" s="2" t="s">
        <v>60</v>
      </c>
      <c r="AG17" s="4" t="s">
        <v>2881</v>
      </c>
      <c r="AH17" s="4">
        <v>30000</v>
      </c>
      <c r="AI17" s="2">
        <v>4800</v>
      </c>
      <c r="AJ17" s="2">
        <v>48000</v>
      </c>
      <c r="AK17" s="2" t="s">
        <v>3290</v>
      </c>
      <c r="AL17" s="2" t="s">
        <v>60</v>
      </c>
      <c r="AM17" s="2" t="s">
        <v>60</v>
      </c>
      <c r="AO17" s="2" t="s">
        <v>2853</v>
      </c>
      <c r="AP17" s="7" t="s">
        <v>60</v>
      </c>
      <c r="AQ17" s="2">
        <v>4</v>
      </c>
      <c r="AR17" s="4" t="s">
        <v>163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60</v>
      </c>
      <c r="AZ17" s="2" t="s">
        <v>3202</v>
      </c>
      <c r="BA17" s="2" t="s">
        <v>34</v>
      </c>
      <c r="BB17" s="4" t="s">
        <v>140</v>
      </c>
      <c r="BC17" s="2" t="s">
        <v>32</v>
      </c>
      <c r="BD17" s="4" t="s">
        <v>155</v>
      </c>
      <c r="BE17" s="4" t="s">
        <v>20</v>
      </c>
      <c r="BF17" s="4" t="s">
        <v>2333</v>
      </c>
      <c r="BG17" s="2" t="s">
        <v>17</v>
      </c>
      <c r="BH17" s="4" t="s">
        <v>165</v>
      </c>
      <c r="BI17" s="2" t="s">
        <v>18</v>
      </c>
      <c r="BJ17" s="2" t="s">
        <v>166</v>
      </c>
      <c r="BK17" s="2" t="s">
        <v>103</v>
      </c>
      <c r="BL17" s="2" t="s">
        <v>167</v>
      </c>
      <c r="BM17" s="2" t="s">
        <v>3335</v>
      </c>
    </row>
    <row r="18" spans="2:65" x14ac:dyDescent="0.2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2847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145</v>
      </c>
      <c r="W18" s="2" t="s">
        <v>121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60</v>
      </c>
      <c r="AD18" s="2" t="s">
        <v>60</v>
      </c>
      <c r="AE18" s="2">
        <v>28000</v>
      </c>
      <c r="AF18" s="2" t="s">
        <v>60</v>
      </c>
      <c r="AG18" s="4" t="s">
        <v>2882</v>
      </c>
      <c r="AH18" s="4">
        <v>30000</v>
      </c>
      <c r="AI18" s="2">
        <v>5600</v>
      </c>
      <c r="AJ18" s="2">
        <v>56000</v>
      </c>
      <c r="AK18" s="2" t="s">
        <v>3290</v>
      </c>
      <c r="AL18" s="2" t="s">
        <v>60</v>
      </c>
      <c r="AM18" s="2" t="s">
        <v>60</v>
      </c>
      <c r="AO18" s="2" t="s">
        <v>2853</v>
      </c>
      <c r="AP18" s="7" t="s">
        <v>60</v>
      </c>
      <c r="AQ18" s="2">
        <v>4</v>
      </c>
      <c r="AR18" s="4" t="s">
        <v>163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60</v>
      </c>
      <c r="AZ18" s="2" t="s">
        <v>3203</v>
      </c>
      <c r="BA18" s="2" t="s">
        <v>41</v>
      </c>
      <c r="BB18" s="4" t="s">
        <v>149</v>
      </c>
      <c r="BC18" s="2" t="s">
        <v>8</v>
      </c>
      <c r="BD18" s="4" t="s">
        <v>161</v>
      </c>
      <c r="BE18" s="4" t="s">
        <v>18</v>
      </c>
      <c r="BF18" s="4" t="s">
        <v>166</v>
      </c>
      <c r="BG18" s="2" t="s">
        <v>103</v>
      </c>
      <c r="BH18" s="4" t="s">
        <v>167</v>
      </c>
      <c r="BI18" s="2" t="s">
        <v>60</v>
      </c>
      <c r="BK18" s="2" t="s">
        <v>60</v>
      </c>
      <c r="BM18" s="2" t="s">
        <v>3336</v>
      </c>
    </row>
    <row r="19" spans="2:65" x14ac:dyDescent="0.2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2847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127</v>
      </c>
      <c r="W19" s="2" t="s">
        <v>128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60</v>
      </c>
      <c r="AD19" s="2" t="s">
        <v>60</v>
      </c>
      <c r="AE19" s="2">
        <v>24000</v>
      </c>
      <c r="AF19" s="2" t="s">
        <v>60</v>
      </c>
      <c r="AG19" s="4" t="s">
        <v>2883</v>
      </c>
      <c r="AH19" s="4">
        <v>30000</v>
      </c>
      <c r="AI19" s="2">
        <v>4800</v>
      </c>
      <c r="AJ19" s="2">
        <v>48000</v>
      </c>
      <c r="AK19" s="2" t="s">
        <v>3290</v>
      </c>
      <c r="AL19" s="2" t="s">
        <v>60</v>
      </c>
      <c r="AM19" s="2" t="s">
        <v>60</v>
      </c>
      <c r="AO19" s="2" t="s">
        <v>2853</v>
      </c>
      <c r="AP19" s="7" t="s">
        <v>60</v>
      </c>
      <c r="AQ19" s="2">
        <v>4</v>
      </c>
      <c r="AR19" s="4" t="s">
        <v>163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60</v>
      </c>
      <c r="AZ19" s="2" t="s">
        <v>3204</v>
      </c>
      <c r="BA19" s="2" t="s">
        <v>24</v>
      </c>
      <c r="BB19" s="4" t="s">
        <v>156</v>
      </c>
      <c r="BC19" s="2" t="s">
        <v>17</v>
      </c>
      <c r="BD19" s="4" t="s">
        <v>165</v>
      </c>
      <c r="BE19" s="4" t="s">
        <v>208</v>
      </c>
      <c r="BF19" s="4" t="s">
        <v>170</v>
      </c>
      <c r="BG19" s="2" t="s">
        <v>60</v>
      </c>
      <c r="BH19" s="4"/>
      <c r="BI19" s="2" t="s">
        <v>60</v>
      </c>
      <c r="BK19" s="2" t="s">
        <v>60</v>
      </c>
      <c r="BM19" s="2" t="s">
        <v>3335</v>
      </c>
    </row>
    <row r="20" spans="2:65" x14ac:dyDescent="0.2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2847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172</v>
      </c>
      <c r="W20" s="2" t="s">
        <v>143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60</v>
      </c>
      <c r="AD20" s="2" t="s">
        <v>60</v>
      </c>
      <c r="AE20" s="2">
        <v>18000</v>
      </c>
      <c r="AF20" s="2" t="s">
        <v>60</v>
      </c>
      <c r="AG20" s="4" t="s">
        <v>2884</v>
      </c>
      <c r="AH20" s="4">
        <v>30000</v>
      </c>
      <c r="AI20" s="2">
        <v>5200</v>
      </c>
      <c r="AJ20" s="2">
        <v>52000</v>
      </c>
      <c r="AK20" s="2" t="s">
        <v>3290</v>
      </c>
      <c r="AL20" s="2" t="s">
        <v>60</v>
      </c>
      <c r="AM20" s="2" t="s">
        <v>60</v>
      </c>
      <c r="AO20" s="2" t="s">
        <v>2853</v>
      </c>
      <c r="AP20" s="7" t="s">
        <v>60</v>
      </c>
      <c r="AQ20" s="2">
        <v>5</v>
      </c>
      <c r="AR20" s="4" t="s">
        <v>173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60</v>
      </c>
      <c r="AZ20" s="2" t="s">
        <v>3205</v>
      </c>
      <c r="BA20" s="2" t="s">
        <v>41</v>
      </c>
      <c r="BB20" s="4" t="s">
        <v>149</v>
      </c>
      <c r="BC20" s="2" t="s">
        <v>17</v>
      </c>
      <c r="BD20" s="4" t="s">
        <v>165</v>
      </c>
      <c r="BE20" s="4" t="s">
        <v>103</v>
      </c>
      <c r="BF20" s="4" t="s">
        <v>167</v>
      </c>
      <c r="BG20" s="2" t="s">
        <v>104</v>
      </c>
      <c r="BH20" s="4" t="s">
        <v>174</v>
      </c>
      <c r="BI20" s="2" t="s">
        <v>60</v>
      </c>
      <c r="BK20" s="2" t="s">
        <v>60</v>
      </c>
      <c r="BM20" s="2" t="s">
        <v>3336</v>
      </c>
    </row>
    <row r="21" spans="2:65" x14ac:dyDescent="0.2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2847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127</v>
      </c>
      <c r="W21" s="2" t="s">
        <v>121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60</v>
      </c>
      <c r="AD21" s="2" t="s">
        <v>60</v>
      </c>
      <c r="AE21" s="2">
        <v>24000</v>
      </c>
      <c r="AF21" s="2" t="s">
        <v>60</v>
      </c>
      <c r="AG21" s="4" t="s">
        <v>2885</v>
      </c>
      <c r="AH21" s="4">
        <v>30000</v>
      </c>
      <c r="AI21" s="2">
        <v>4800</v>
      </c>
      <c r="AJ21" s="2">
        <v>48000</v>
      </c>
      <c r="AK21" s="2" t="s">
        <v>3290</v>
      </c>
      <c r="AL21" s="2" t="s">
        <v>60</v>
      </c>
      <c r="AM21" s="2" t="s">
        <v>60</v>
      </c>
      <c r="AO21" s="2" t="s">
        <v>2853</v>
      </c>
      <c r="AP21" s="7" t="s">
        <v>60</v>
      </c>
      <c r="AQ21" s="2">
        <v>6</v>
      </c>
      <c r="AR21" s="4" t="s">
        <v>177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60</v>
      </c>
      <c r="AZ21" s="2" t="s">
        <v>3206</v>
      </c>
      <c r="BA21" s="2" t="s">
        <v>17</v>
      </c>
      <c r="BB21" s="4" t="s">
        <v>165</v>
      </c>
      <c r="BC21" s="2" t="s">
        <v>18</v>
      </c>
      <c r="BD21" s="4" t="s">
        <v>166</v>
      </c>
      <c r="BE21" s="4" t="s">
        <v>104</v>
      </c>
      <c r="BF21" s="4" t="s">
        <v>174</v>
      </c>
      <c r="BG21" s="2" t="s">
        <v>105</v>
      </c>
      <c r="BH21" s="4" t="s">
        <v>178</v>
      </c>
      <c r="BI21" s="2" t="s">
        <v>208</v>
      </c>
      <c r="BJ21" s="2" t="s">
        <v>170</v>
      </c>
      <c r="BK21" s="2" t="s">
        <v>41</v>
      </c>
      <c r="BL21" s="2" t="s">
        <v>149</v>
      </c>
      <c r="BM21" s="2" t="s">
        <v>3335</v>
      </c>
    </row>
    <row r="22" spans="2:65" x14ac:dyDescent="0.2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2847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145</v>
      </c>
      <c r="W22" s="2" t="s">
        <v>121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60</v>
      </c>
      <c r="AD22" s="2" t="s">
        <v>60</v>
      </c>
      <c r="AE22" s="2">
        <v>24000</v>
      </c>
      <c r="AF22" s="2" t="s">
        <v>60</v>
      </c>
      <c r="AG22" s="4" t="s">
        <v>2886</v>
      </c>
      <c r="AH22" s="4">
        <v>30000</v>
      </c>
      <c r="AI22" s="2">
        <v>6000</v>
      </c>
      <c r="AJ22" s="2">
        <v>60000</v>
      </c>
      <c r="AK22" s="2" t="s">
        <v>3290</v>
      </c>
      <c r="AL22" s="2" t="s">
        <v>60</v>
      </c>
      <c r="AM22" s="2" t="s">
        <v>60</v>
      </c>
      <c r="AO22" s="2" t="s">
        <v>2853</v>
      </c>
      <c r="AP22" s="7" t="s">
        <v>60</v>
      </c>
      <c r="AQ22" s="2">
        <v>6</v>
      </c>
      <c r="AR22" s="4" t="s">
        <v>177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60</v>
      </c>
      <c r="AZ22" s="2" t="s">
        <v>3207</v>
      </c>
      <c r="BA22" s="2" t="s">
        <v>18</v>
      </c>
      <c r="BB22" s="4" t="s">
        <v>166</v>
      </c>
      <c r="BC22" s="2" t="s">
        <v>103</v>
      </c>
      <c r="BD22" s="4" t="s">
        <v>167</v>
      </c>
      <c r="BE22" s="4" t="s">
        <v>106</v>
      </c>
      <c r="BF22" s="4" t="s">
        <v>180</v>
      </c>
      <c r="BG22" s="2" t="s">
        <v>226</v>
      </c>
      <c r="BH22" s="4" t="s">
        <v>181</v>
      </c>
      <c r="BI22" s="2" t="s">
        <v>60</v>
      </c>
      <c r="BK22" s="2" t="s">
        <v>60</v>
      </c>
      <c r="BM22" s="2" t="s">
        <v>3336</v>
      </c>
    </row>
    <row r="23" spans="2:65" x14ac:dyDescent="0.2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2847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158</v>
      </c>
      <c r="W23" s="2" t="s">
        <v>128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60</v>
      </c>
      <c r="AD23" s="2" t="s">
        <v>60</v>
      </c>
      <c r="AE23" s="2">
        <v>0</v>
      </c>
      <c r="AF23" s="2" t="s">
        <v>60</v>
      </c>
      <c r="AG23" s="4" t="s">
        <v>2887</v>
      </c>
      <c r="AH23" s="4">
        <v>30000</v>
      </c>
      <c r="AI23" s="2">
        <v>0</v>
      </c>
      <c r="AJ23" s="2">
        <v>0</v>
      </c>
      <c r="AK23" s="2" t="s">
        <v>3290</v>
      </c>
      <c r="AL23" s="2" t="s">
        <v>60</v>
      </c>
      <c r="AM23" s="2" t="s">
        <v>60</v>
      </c>
      <c r="AO23" s="2" t="s">
        <v>2853</v>
      </c>
      <c r="AP23" s="7" t="s">
        <v>60</v>
      </c>
      <c r="AQ23" s="2">
        <v>6</v>
      </c>
      <c r="AR23" s="4" t="s">
        <v>177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60</v>
      </c>
      <c r="AZ23" s="2" t="s">
        <v>3208</v>
      </c>
      <c r="BA23" s="2" t="s">
        <v>103</v>
      </c>
      <c r="BB23" s="4" t="s">
        <v>167</v>
      </c>
      <c r="BC23" s="2" t="s">
        <v>208</v>
      </c>
      <c r="BD23" s="4" t="s">
        <v>170</v>
      </c>
      <c r="BE23" s="4" t="s">
        <v>226</v>
      </c>
      <c r="BF23" s="4" t="s">
        <v>181</v>
      </c>
      <c r="BG23" s="2" t="s">
        <v>60</v>
      </c>
      <c r="BH23" s="4"/>
      <c r="BI23" s="2" t="s">
        <v>60</v>
      </c>
      <c r="BK23" s="2" t="s">
        <v>60</v>
      </c>
      <c r="BM23" s="2" t="s">
        <v>3335</v>
      </c>
    </row>
    <row r="24" spans="2:65" x14ac:dyDescent="0.2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2847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120</v>
      </c>
      <c r="W24" s="2" t="s">
        <v>121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60</v>
      </c>
      <c r="AD24" s="2" t="s">
        <v>60</v>
      </c>
      <c r="AE24" s="2">
        <v>30000</v>
      </c>
      <c r="AF24" s="2" t="s">
        <v>60</v>
      </c>
      <c r="AG24" s="4" t="s">
        <v>2888</v>
      </c>
      <c r="AH24" s="4">
        <v>30000</v>
      </c>
      <c r="AI24" s="2">
        <v>6000</v>
      </c>
      <c r="AJ24" s="2">
        <v>60000</v>
      </c>
      <c r="AK24" s="2" t="s">
        <v>3290</v>
      </c>
      <c r="AL24" s="2" t="s">
        <v>60</v>
      </c>
      <c r="AM24" s="2" t="s">
        <v>60</v>
      </c>
      <c r="AO24" s="2" t="s">
        <v>2853</v>
      </c>
      <c r="AP24" s="7" t="s">
        <v>60</v>
      </c>
      <c r="AQ24" s="2">
        <v>7</v>
      </c>
      <c r="AR24" s="4" t="s">
        <v>182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60</v>
      </c>
      <c r="AZ24" s="2" t="s">
        <v>3209</v>
      </c>
      <c r="BA24" s="2" t="s">
        <v>104</v>
      </c>
      <c r="BB24" s="4" t="s">
        <v>174</v>
      </c>
      <c r="BC24" s="2" t="s">
        <v>107</v>
      </c>
      <c r="BD24" s="4" t="s">
        <v>2913</v>
      </c>
      <c r="BE24" s="4" t="s">
        <v>10</v>
      </c>
      <c r="BF24" s="4" t="s">
        <v>183</v>
      </c>
      <c r="BG24" s="2" t="s">
        <v>60</v>
      </c>
      <c r="BH24" s="4"/>
      <c r="BI24" s="2" t="s">
        <v>60</v>
      </c>
      <c r="BK24" s="2" t="s">
        <v>60</v>
      </c>
      <c r="BM24" s="2" t="s">
        <v>3336</v>
      </c>
    </row>
    <row r="25" spans="2:65" x14ac:dyDescent="0.25">
      <c r="B25" s="2" t="s">
        <v>107</v>
      </c>
      <c r="C25" s="2" t="s">
        <v>2913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2847</v>
      </c>
      <c r="H25" s="2" t="s">
        <v>107</v>
      </c>
      <c r="I25" s="4" t="str">
        <f>VLOOKUP(H25,forceSet!$B$5:$D$46,3,0)</f>
        <v>韩遂</v>
      </c>
      <c r="J25" s="4" t="s">
        <v>107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120</v>
      </c>
      <c r="W25" s="2" t="s">
        <v>128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60</v>
      </c>
      <c r="AD25" s="2" t="s">
        <v>60</v>
      </c>
      <c r="AE25" s="2">
        <v>24000</v>
      </c>
      <c r="AF25" s="2" t="s">
        <v>60</v>
      </c>
      <c r="AG25" s="4" t="s">
        <v>2889</v>
      </c>
      <c r="AH25" s="4">
        <v>30000</v>
      </c>
      <c r="AI25" s="2">
        <v>4800</v>
      </c>
      <c r="AJ25" s="2">
        <v>48000</v>
      </c>
      <c r="AK25" s="2" t="s">
        <v>3290</v>
      </c>
      <c r="AL25" s="2" t="s">
        <v>60</v>
      </c>
      <c r="AM25" s="2" t="s">
        <v>60</v>
      </c>
      <c r="AO25" s="2" t="s">
        <v>2853</v>
      </c>
      <c r="AP25" s="7" t="s">
        <v>60</v>
      </c>
      <c r="AQ25" s="2">
        <v>7</v>
      </c>
      <c r="AR25" s="4" t="s">
        <v>182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60</v>
      </c>
      <c r="AZ25" s="2" t="s">
        <v>3210</v>
      </c>
      <c r="BA25" s="2" t="s">
        <v>106</v>
      </c>
      <c r="BB25" s="4" t="s">
        <v>180</v>
      </c>
      <c r="BC25" s="2" t="s">
        <v>10</v>
      </c>
      <c r="BD25" s="4" t="s">
        <v>183</v>
      </c>
      <c r="BE25" s="4" t="s">
        <v>226</v>
      </c>
      <c r="BF25" s="4" t="s">
        <v>181</v>
      </c>
      <c r="BG25" s="2" t="s">
        <v>60</v>
      </c>
      <c r="BH25" s="4"/>
      <c r="BI25" s="2" t="s">
        <v>60</v>
      </c>
      <c r="BK25" s="2" t="s">
        <v>60</v>
      </c>
      <c r="BM25" s="2" t="s">
        <v>3335</v>
      </c>
    </row>
    <row r="26" spans="2:65" x14ac:dyDescent="0.2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2847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127</v>
      </c>
      <c r="W26" s="2" t="s">
        <v>146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60</v>
      </c>
      <c r="AD26" s="2" t="s">
        <v>60</v>
      </c>
      <c r="AE26" s="2">
        <v>26000</v>
      </c>
      <c r="AF26" s="2" t="s">
        <v>60</v>
      </c>
      <c r="AG26" s="4" t="s">
        <v>2890</v>
      </c>
      <c r="AH26" s="4">
        <v>30000</v>
      </c>
      <c r="AI26" s="2">
        <v>5200</v>
      </c>
      <c r="AJ26" s="2">
        <v>52000</v>
      </c>
      <c r="AK26" s="2" t="s">
        <v>3290</v>
      </c>
      <c r="AL26" s="2" t="s">
        <v>60</v>
      </c>
      <c r="AM26" s="2" t="s">
        <v>60</v>
      </c>
      <c r="AO26" s="2" t="s">
        <v>2853</v>
      </c>
      <c r="AP26" s="7" t="s">
        <v>60</v>
      </c>
      <c r="AQ26" s="2">
        <v>7</v>
      </c>
      <c r="AR26" s="4" t="s">
        <v>182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60</v>
      </c>
      <c r="AZ26" s="2" t="s">
        <v>3211</v>
      </c>
      <c r="BA26" s="2" t="s">
        <v>106</v>
      </c>
      <c r="BB26" s="4" t="s">
        <v>180</v>
      </c>
      <c r="BC26" s="2" t="s">
        <v>107</v>
      </c>
      <c r="BD26" s="4" t="s">
        <v>2913</v>
      </c>
      <c r="BE26" s="4" t="s">
        <v>60</v>
      </c>
      <c r="BF26" s="4"/>
      <c r="BG26" s="2" t="s">
        <v>60</v>
      </c>
      <c r="BH26" s="4"/>
      <c r="BI26" s="2" t="s">
        <v>60</v>
      </c>
      <c r="BK26" s="2" t="s">
        <v>60</v>
      </c>
      <c r="BM26" s="2" t="s">
        <v>3336</v>
      </c>
    </row>
    <row r="27" spans="2:65" x14ac:dyDescent="0.25">
      <c r="B27" s="2" t="s">
        <v>189</v>
      </c>
      <c r="C27" s="2" t="s">
        <v>2914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2847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127</v>
      </c>
      <c r="W27" s="2" t="s">
        <v>154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60</v>
      </c>
      <c r="AD27" s="2" t="s">
        <v>60</v>
      </c>
      <c r="AE27" s="2">
        <v>20000</v>
      </c>
      <c r="AF27" s="2" t="s">
        <v>60</v>
      </c>
      <c r="AG27" s="4" t="s">
        <v>2891</v>
      </c>
      <c r="AH27" s="4">
        <v>30000</v>
      </c>
      <c r="AI27" s="2">
        <v>4800</v>
      </c>
      <c r="AJ27" s="2">
        <v>48000</v>
      </c>
      <c r="AK27" s="2" t="s">
        <v>3290</v>
      </c>
      <c r="AL27" s="2" t="s">
        <v>60</v>
      </c>
      <c r="AM27" s="2" t="s">
        <v>60</v>
      </c>
      <c r="AO27" s="2" t="s">
        <v>2853</v>
      </c>
      <c r="AP27" s="7" t="s">
        <v>60</v>
      </c>
      <c r="AQ27" s="2">
        <v>8</v>
      </c>
      <c r="AR27" s="4" t="s">
        <v>186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60</v>
      </c>
      <c r="AZ27" s="2" t="s">
        <v>3212</v>
      </c>
      <c r="BA27" s="2" t="s">
        <v>24</v>
      </c>
      <c r="BB27" s="4" t="s">
        <v>156</v>
      </c>
      <c r="BC27" s="2" t="s">
        <v>193</v>
      </c>
      <c r="BD27" s="4" t="s">
        <v>187</v>
      </c>
      <c r="BE27" s="4" t="s">
        <v>200</v>
      </c>
      <c r="BF27" s="4" t="s">
        <v>162</v>
      </c>
      <c r="BG27" s="2" t="s">
        <v>204</v>
      </c>
      <c r="BH27" s="4" t="s">
        <v>188</v>
      </c>
      <c r="BI27" s="2" t="s">
        <v>60</v>
      </c>
      <c r="BK27" s="2" t="s">
        <v>60</v>
      </c>
      <c r="BM27" s="2" t="s">
        <v>3335</v>
      </c>
    </row>
    <row r="28" spans="2:65" x14ac:dyDescent="0.2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2847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120</v>
      </c>
      <c r="W28" s="2" t="s">
        <v>146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60</v>
      </c>
      <c r="AD28" s="2" t="s">
        <v>60</v>
      </c>
      <c r="AE28" s="2">
        <v>20000</v>
      </c>
      <c r="AF28" s="2" t="s">
        <v>60</v>
      </c>
      <c r="AG28" s="4" t="s">
        <v>2892</v>
      </c>
      <c r="AH28" s="4">
        <v>30000</v>
      </c>
      <c r="AI28" s="2">
        <v>4400</v>
      </c>
      <c r="AJ28" s="2">
        <v>44000</v>
      </c>
      <c r="AK28" s="2" t="s">
        <v>3290</v>
      </c>
      <c r="AL28" s="2" t="s">
        <v>60</v>
      </c>
      <c r="AM28" s="2" t="s">
        <v>60</v>
      </c>
      <c r="AO28" s="2" t="s">
        <v>2853</v>
      </c>
      <c r="AP28" s="7" t="s">
        <v>60</v>
      </c>
      <c r="AQ28" s="2">
        <v>8</v>
      </c>
      <c r="AR28" s="4" t="s">
        <v>186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60</v>
      </c>
      <c r="AZ28" s="2" t="s">
        <v>3213</v>
      </c>
      <c r="BA28" s="2" t="s">
        <v>189</v>
      </c>
      <c r="BB28" s="4" t="s">
        <v>2914</v>
      </c>
      <c r="BC28" s="2" t="s">
        <v>196</v>
      </c>
      <c r="BD28" s="4" t="s">
        <v>192</v>
      </c>
      <c r="BE28" s="4" t="s">
        <v>60</v>
      </c>
      <c r="BF28" s="4"/>
      <c r="BG28" s="2" t="s">
        <v>60</v>
      </c>
      <c r="BH28" s="4"/>
      <c r="BI28" s="2" t="s">
        <v>60</v>
      </c>
      <c r="BK28" s="2" t="s">
        <v>60</v>
      </c>
      <c r="BM28" s="2" t="s">
        <v>3336</v>
      </c>
    </row>
    <row r="29" spans="2:65" x14ac:dyDescent="0.2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2847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127</v>
      </c>
      <c r="W29" s="2" t="s">
        <v>128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60</v>
      </c>
      <c r="AD29" s="2" t="s">
        <v>60</v>
      </c>
      <c r="AE29" s="2">
        <v>20000</v>
      </c>
      <c r="AF29" s="2" t="s">
        <v>60</v>
      </c>
      <c r="AG29" s="4" t="s">
        <v>2893</v>
      </c>
      <c r="AH29" s="4">
        <v>30000</v>
      </c>
      <c r="AI29" s="2">
        <v>4400</v>
      </c>
      <c r="AJ29" s="2">
        <v>44000</v>
      </c>
      <c r="AK29" s="2" t="s">
        <v>3290</v>
      </c>
      <c r="AL29" s="2" t="s">
        <v>60</v>
      </c>
      <c r="AM29" s="2" t="s">
        <v>60</v>
      </c>
      <c r="AO29" s="2" t="s">
        <v>2853</v>
      </c>
      <c r="AP29" s="7" t="s">
        <v>60</v>
      </c>
      <c r="AQ29" s="2">
        <v>8</v>
      </c>
      <c r="AR29" s="4" t="s">
        <v>186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60</v>
      </c>
      <c r="AZ29" s="2" t="s">
        <v>193</v>
      </c>
      <c r="BA29" s="2" t="s">
        <v>193</v>
      </c>
      <c r="BB29" s="4" t="s">
        <v>187</v>
      </c>
      <c r="BC29" s="2" t="s">
        <v>60</v>
      </c>
      <c r="BD29" s="4"/>
      <c r="BE29" s="4" t="s">
        <v>60</v>
      </c>
      <c r="BF29" s="4"/>
      <c r="BG29" s="2" t="s">
        <v>60</v>
      </c>
      <c r="BH29" s="4"/>
      <c r="BI29" s="2" t="s">
        <v>60</v>
      </c>
      <c r="BK29" s="2" t="s">
        <v>60</v>
      </c>
      <c r="BM29" s="2" t="s">
        <v>3335</v>
      </c>
    </row>
    <row r="30" spans="2:65" x14ac:dyDescent="0.2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2847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120</v>
      </c>
      <c r="W30" s="2" t="s">
        <v>128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60</v>
      </c>
      <c r="AD30" s="2" t="s">
        <v>60</v>
      </c>
      <c r="AE30" s="2">
        <v>28000</v>
      </c>
      <c r="AF30" s="2" t="s">
        <v>60</v>
      </c>
      <c r="AG30" s="4" t="s">
        <v>2894</v>
      </c>
      <c r="AH30" s="4">
        <v>30000</v>
      </c>
      <c r="AI30" s="2">
        <v>6000</v>
      </c>
      <c r="AJ30" s="2">
        <v>60000</v>
      </c>
      <c r="AK30" s="2" t="s">
        <v>3290</v>
      </c>
      <c r="AL30" s="2" t="s">
        <v>60</v>
      </c>
      <c r="AM30" s="2" t="s">
        <v>60</v>
      </c>
      <c r="AO30" s="2" t="s">
        <v>2853</v>
      </c>
      <c r="AP30" s="7" t="s">
        <v>60</v>
      </c>
      <c r="AQ30" s="2">
        <v>8</v>
      </c>
      <c r="AR30" s="4" t="s">
        <v>186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60</v>
      </c>
      <c r="AZ30" s="2" t="s">
        <v>3214</v>
      </c>
      <c r="BA30" s="2" t="s">
        <v>24</v>
      </c>
      <c r="BB30" s="4" t="s">
        <v>156</v>
      </c>
      <c r="BC30" s="2" t="s">
        <v>189</v>
      </c>
      <c r="BD30" s="4" t="s">
        <v>2914</v>
      </c>
      <c r="BE30" s="4" t="s">
        <v>204</v>
      </c>
      <c r="BF30" s="4" t="s">
        <v>188</v>
      </c>
      <c r="BG30" s="2" t="s">
        <v>25</v>
      </c>
      <c r="BH30" s="4" t="s">
        <v>199</v>
      </c>
      <c r="BI30" s="2" t="s">
        <v>60</v>
      </c>
      <c r="BK30" s="2" t="s">
        <v>60</v>
      </c>
      <c r="BM30" s="2" t="s">
        <v>3336</v>
      </c>
    </row>
    <row r="31" spans="2:65" x14ac:dyDescent="0.2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2847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120</v>
      </c>
      <c r="W31" s="2" t="s">
        <v>128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60</v>
      </c>
      <c r="AD31" s="2" t="s">
        <v>60</v>
      </c>
      <c r="AE31" s="2">
        <v>20000</v>
      </c>
      <c r="AF31" s="2" t="s">
        <v>60</v>
      </c>
      <c r="AG31" s="4" t="s">
        <v>2895</v>
      </c>
      <c r="AH31" s="4">
        <v>30000</v>
      </c>
      <c r="AI31" s="2">
        <v>5600</v>
      </c>
      <c r="AJ31" s="2">
        <v>56000</v>
      </c>
      <c r="AK31" s="2" t="s">
        <v>3290</v>
      </c>
      <c r="AL31" s="2" t="s">
        <v>60</v>
      </c>
      <c r="AM31" s="2" t="s">
        <v>60</v>
      </c>
      <c r="AO31" s="2" t="s">
        <v>2853</v>
      </c>
      <c r="AP31" s="7" t="s">
        <v>60</v>
      </c>
      <c r="AQ31" s="2">
        <v>8</v>
      </c>
      <c r="AR31" s="4" t="s">
        <v>186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60</v>
      </c>
      <c r="AZ31" s="2" t="s">
        <v>3215</v>
      </c>
      <c r="BA31" s="2" t="s">
        <v>189</v>
      </c>
      <c r="BB31" s="4" t="s">
        <v>2914</v>
      </c>
      <c r="BC31" s="2" t="s">
        <v>200</v>
      </c>
      <c r="BD31" s="4" t="s">
        <v>162</v>
      </c>
      <c r="BE31" s="4" t="s">
        <v>25</v>
      </c>
      <c r="BF31" s="4" t="s">
        <v>199</v>
      </c>
      <c r="BG31" s="2" t="s">
        <v>213</v>
      </c>
      <c r="BH31" s="4" t="s">
        <v>202</v>
      </c>
      <c r="BI31" s="2" t="s">
        <v>5</v>
      </c>
      <c r="BJ31" s="2" t="s">
        <v>203</v>
      </c>
      <c r="BK31" s="2" t="s">
        <v>60</v>
      </c>
      <c r="BM31" s="2" t="s">
        <v>3335</v>
      </c>
    </row>
    <row r="32" spans="2:65" x14ac:dyDescent="0.2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2847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127</v>
      </c>
      <c r="W32" s="2" t="s">
        <v>121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60</v>
      </c>
      <c r="AD32" s="2" t="s">
        <v>60</v>
      </c>
      <c r="AE32" s="2">
        <v>0</v>
      </c>
      <c r="AF32" s="2" t="s">
        <v>60</v>
      </c>
      <c r="AG32" s="4" t="s">
        <v>2896</v>
      </c>
      <c r="AH32" s="4">
        <v>30000</v>
      </c>
      <c r="AI32" s="2">
        <v>0</v>
      </c>
      <c r="AJ32" s="2">
        <v>0</v>
      </c>
      <c r="AK32" s="2" t="s">
        <v>3290</v>
      </c>
      <c r="AL32" s="2" t="s">
        <v>60</v>
      </c>
      <c r="AM32" s="2" t="s">
        <v>60</v>
      </c>
      <c r="AO32" s="2" t="s">
        <v>2853</v>
      </c>
      <c r="AP32" s="7" t="s">
        <v>60</v>
      </c>
      <c r="AQ32" s="2">
        <v>9</v>
      </c>
      <c r="AR32" s="4" t="s">
        <v>205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60</v>
      </c>
      <c r="AZ32" s="2" t="s">
        <v>3216</v>
      </c>
      <c r="BA32" s="2" t="s">
        <v>200</v>
      </c>
      <c r="BB32" s="4" t="s">
        <v>162</v>
      </c>
      <c r="BC32" s="2" t="s">
        <v>204</v>
      </c>
      <c r="BD32" s="4" t="s">
        <v>188</v>
      </c>
      <c r="BE32" s="4" t="s">
        <v>119</v>
      </c>
      <c r="BF32" s="4" t="s">
        <v>206</v>
      </c>
      <c r="BG32" s="2" t="s">
        <v>213</v>
      </c>
      <c r="BH32" s="4" t="s">
        <v>202</v>
      </c>
      <c r="BI32" s="2" t="s">
        <v>5</v>
      </c>
      <c r="BJ32" s="2" t="s">
        <v>203</v>
      </c>
      <c r="BK32" s="2" t="s">
        <v>60</v>
      </c>
      <c r="BM32" s="2" t="s">
        <v>3336</v>
      </c>
    </row>
    <row r="33" spans="1:65" x14ac:dyDescent="0.2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2847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120</v>
      </c>
      <c r="W33" s="2" t="s">
        <v>128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60</v>
      </c>
      <c r="AD33" s="2" t="s">
        <v>60</v>
      </c>
      <c r="AE33" s="2">
        <v>0</v>
      </c>
      <c r="AF33" s="2" t="s">
        <v>60</v>
      </c>
      <c r="AG33" s="4" t="s">
        <v>2897</v>
      </c>
      <c r="AH33" s="4">
        <v>30000</v>
      </c>
      <c r="AI33" s="2">
        <v>0</v>
      </c>
      <c r="AJ33" s="2">
        <v>0</v>
      </c>
      <c r="AK33" s="2" t="s">
        <v>3290</v>
      </c>
      <c r="AL33" s="2" t="s">
        <v>60</v>
      </c>
      <c r="AM33" s="2" t="s">
        <v>60</v>
      </c>
      <c r="AO33" s="2" t="s">
        <v>2853</v>
      </c>
      <c r="AP33" s="7" t="s">
        <v>60</v>
      </c>
      <c r="AQ33" s="2">
        <v>9</v>
      </c>
      <c r="AR33" s="4" t="s">
        <v>205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60</v>
      </c>
      <c r="AZ33" s="2" t="s">
        <v>3217</v>
      </c>
      <c r="BA33" s="2" t="s">
        <v>8</v>
      </c>
      <c r="BB33" s="4" t="s">
        <v>161</v>
      </c>
      <c r="BC33" s="2" t="s">
        <v>103</v>
      </c>
      <c r="BD33" s="4" t="s">
        <v>167</v>
      </c>
      <c r="BE33" s="4" t="s">
        <v>105</v>
      </c>
      <c r="BF33" s="4" t="s">
        <v>178</v>
      </c>
      <c r="BG33" s="2" t="s">
        <v>119</v>
      </c>
      <c r="BH33" s="4" t="s">
        <v>206</v>
      </c>
      <c r="BI33" s="2" t="s">
        <v>60</v>
      </c>
      <c r="BK33" s="2" t="s">
        <v>60</v>
      </c>
      <c r="BM33" s="2" t="s">
        <v>3335</v>
      </c>
    </row>
    <row r="34" spans="1:65" x14ac:dyDescent="0.2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2847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145</v>
      </c>
      <c r="W34" s="2" t="s">
        <v>146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60</v>
      </c>
      <c r="AD34" s="2" t="s">
        <v>60</v>
      </c>
      <c r="AE34" s="2">
        <v>24000</v>
      </c>
      <c r="AF34" s="2" t="s">
        <v>60</v>
      </c>
      <c r="AG34" s="4" t="s">
        <v>2898</v>
      </c>
      <c r="AH34" s="4">
        <v>30000</v>
      </c>
      <c r="AI34" s="2">
        <v>5200</v>
      </c>
      <c r="AJ34" s="2">
        <v>52000</v>
      </c>
      <c r="AK34" s="2" t="s">
        <v>3290</v>
      </c>
      <c r="AL34" s="2" t="s">
        <v>60</v>
      </c>
      <c r="AM34" s="2" t="s">
        <v>60</v>
      </c>
      <c r="AO34" s="2" t="s">
        <v>2853</v>
      </c>
      <c r="AP34" s="7" t="s">
        <v>60</v>
      </c>
      <c r="AQ34" s="2">
        <v>9</v>
      </c>
      <c r="AR34" s="4" t="s">
        <v>205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60</v>
      </c>
      <c r="AZ34" s="2" t="s">
        <v>3218</v>
      </c>
      <c r="BA34" s="2" t="s">
        <v>25</v>
      </c>
      <c r="BB34" s="4" t="s">
        <v>199</v>
      </c>
      <c r="BC34" s="2" t="s">
        <v>208</v>
      </c>
      <c r="BD34" s="4" t="s">
        <v>170</v>
      </c>
      <c r="BE34" s="4" t="s">
        <v>213</v>
      </c>
      <c r="BF34" s="4" t="s">
        <v>202</v>
      </c>
      <c r="BG34" s="2" t="s">
        <v>60</v>
      </c>
      <c r="BH34" s="4"/>
      <c r="BI34" s="2" t="s">
        <v>60</v>
      </c>
      <c r="BK34" s="2" t="s">
        <v>60</v>
      </c>
      <c r="BM34" s="2" t="s">
        <v>3336</v>
      </c>
    </row>
    <row r="35" spans="1:65" x14ac:dyDescent="0.2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2847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127</v>
      </c>
      <c r="W35" s="2" t="s">
        <v>146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60</v>
      </c>
      <c r="AD35" s="2" t="s">
        <v>60</v>
      </c>
      <c r="AE35" s="2">
        <v>20000</v>
      </c>
      <c r="AF35" s="2" t="s">
        <v>60</v>
      </c>
      <c r="AG35" s="4" t="s">
        <v>2899</v>
      </c>
      <c r="AH35" s="4">
        <v>30000</v>
      </c>
      <c r="AI35" s="2">
        <v>5600</v>
      </c>
      <c r="AJ35" s="2">
        <v>56000</v>
      </c>
      <c r="AK35" s="2" t="s">
        <v>3290</v>
      </c>
      <c r="AL35" s="2" t="s">
        <v>60</v>
      </c>
      <c r="AM35" s="2" t="s">
        <v>60</v>
      </c>
      <c r="AO35" s="2" t="s">
        <v>2853</v>
      </c>
      <c r="AP35" s="7" t="s">
        <v>60</v>
      </c>
      <c r="AQ35" s="2">
        <v>9</v>
      </c>
      <c r="AR35" s="4" t="s">
        <v>205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60</v>
      </c>
      <c r="AZ35" s="2" t="s">
        <v>3219</v>
      </c>
      <c r="BA35" s="2" t="s">
        <v>204</v>
      </c>
      <c r="BB35" s="4" t="s">
        <v>188</v>
      </c>
      <c r="BC35" s="2" t="s">
        <v>25</v>
      </c>
      <c r="BD35" s="4" t="s">
        <v>199</v>
      </c>
      <c r="BE35" s="4" t="s">
        <v>119</v>
      </c>
      <c r="BF35" s="4" t="s">
        <v>206</v>
      </c>
      <c r="BG35" s="2" t="s">
        <v>5</v>
      </c>
      <c r="BH35" s="4" t="s">
        <v>203</v>
      </c>
      <c r="BI35" s="2" t="s">
        <v>95</v>
      </c>
      <c r="BJ35" s="2" t="s">
        <v>211</v>
      </c>
      <c r="BK35" s="2" t="s">
        <v>15</v>
      </c>
      <c r="BL35" s="2" t="s">
        <v>212</v>
      </c>
      <c r="BM35" s="2" t="s">
        <v>3335</v>
      </c>
    </row>
    <row r="36" spans="1:65" x14ac:dyDescent="0.2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2847</v>
      </c>
      <c r="H36" s="2" t="s">
        <v>3247</v>
      </c>
      <c r="I36" s="4" t="str">
        <f>VLOOKUP(H36,forceSet!$B$5:$D$46,3,0)</f>
        <v>韩玄</v>
      </c>
      <c r="J36" s="2" t="s">
        <v>3247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127</v>
      </c>
      <c r="W36" s="2" t="s">
        <v>143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60</v>
      </c>
      <c r="AD36" s="2" t="s">
        <v>60</v>
      </c>
      <c r="AE36" s="2">
        <v>22000</v>
      </c>
      <c r="AF36" s="2" t="s">
        <v>60</v>
      </c>
      <c r="AG36" s="4" t="s">
        <v>2900</v>
      </c>
      <c r="AH36" s="4">
        <v>30000</v>
      </c>
      <c r="AI36" s="2">
        <v>4800</v>
      </c>
      <c r="AJ36" s="2">
        <v>48000</v>
      </c>
      <c r="AK36" s="2" t="s">
        <v>3290</v>
      </c>
      <c r="AL36" s="2" t="s">
        <v>60</v>
      </c>
      <c r="AM36" s="2" t="s">
        <v>60</v>
      </c>
      <c r="AO36" s="2" t="s">
        <v>2853</v>
      </c>
      <c r="AP36" s="7" t="s">
        <v>60</v>
      </c>
      <c r="AQ36" s="2">
        <v>10</v>
      </c>
      <c r="AR36" s="4" t="s">
        <v>216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60</v>
      </c>
      <c r="AZ36" s="2" t="s">
        <v>3220</v>
      </c>
      <c r="BA36" s="2" t="s">
        <v>204</v>
      </c>
      <c r="BB36" s="4" t="s">
        <v>188</v>
      </c>
      <c r="BC36" s="2" t="s">
        <v>25</v>
      </c>
      <c r="BD36" s="4" t="s">
        <v>199</v>
      </c>
      <c r="BE36" s="4" t="s">
        <v>213</v>
      </c>
      <c r="BF36" s="4" t="s">
        <v>202</v>
      </c>
      <c r="BG36" s="2" t="s">
        <v>95</v>
      </c>
      <c r="BH36" s="4" t="s">
        <v>211</v>
      </c>
      <c r="BI36" s="2" t="s">
        <v>219</v>
      </c>
      <c r="BJ36" s="2" t="s">
        <v>217</v>
      </c>
      <c r="BK36" s="2" t="s">
        <v>60</v>
      </c>
      <c r="BM36" s="2" t="s">
        <v>3336</v>
      </c>
    </row>
    <row r="37" spans="1:65" x14ac:dyDescent="0.2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2847</v>
      </c>
      <c r="H37" s="2" t="s">
        <v>3281</v>
      </c>
      <c r="I37" s="4" t="str">
        <f>VLOOKUP(H37,forceSet!$B$5:$D$46,3,0)</f>
        <v>金旋</v>
      </c>
      <c r="J37" s="2" t="s">
        <v>3281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120</v>
      </c>
      <c r="W37" s="2" t="s">
        <v>121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60</v>
      </c>
      <c r="AD37" s="2" t="s">
        <v>60</v>
      </c>
      <c r="AE37" s="2">
        <v>20000</v>
      </c>
      <c r="AF37" s="2" t="s">
        <v>60</v>
      </c>
      <c r="AG37" s="4" t="s">
        <v>2901</v>
      </c>
      <c r="AH37" s="4">
        <v>30000</v>
      </c>
      <c r="AI37" s="2">
        <v>4800</v>
      </c>
      <c r="AJ37" s="2">
        <v>48000</v>
      </c>
      <c r="AK37" s="2" t="s">
        <v>3290</v>
      </c>
      <c r="AL37" s="2" t="s">
        <v>60</v>
      </c>
      <c r="AM37" s="2" t="s">
        <v>60</v>
      </c>
      <c r="AO37" s="2" t="s">
        <v>2853</v>
      </c>
      <c r="AP37" s="7" t="s">
        <v>60</v>
      </c>
      <c r="AQ37" s="2">
        <v>10</v>
      </c>
      <c r="AR37" s="4" t="s">
        <v>216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60</v>
      </c>
      <c r="AZ37" s="2" t="s">
        <v>3221</v>
      </c>
      <c r="BA37" s="2" t="s">
        <v>213</v>
      </c>
      <c r="BB37" s="4" t="s">
        <v>202</v>
      </c>
      <c r="BC37" s="2" t="s">
        <v>5</v>
      </c>
      <c r="BD37" s="4" t="s">
        <v>203</v>
      </c>
      <c r="BE37" s="4" t="s">
        <v>220</v>
      </c>
      <c r="BF37" s="4" t="s">
        <v>218</v>
      </c>
      <c r="BG37" s="2" t="s">
        <v>15</v>
      </c>
      <c r="BH37" s="4" t="s">
        <v>212</v>
      </c>
      <c r="BI37" s="2" t="s">
        <v>60</v>
      </c>
      <c r="BK37" s="2" t="s">
        <v>60</v>
      </c>
      <c r="BM37" s="2" t="s">
        <v>3335</v>
      </c>
    </row>
    <row r="38" spans="1:65" x14ac:dyDescent="0.2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2847</v>
      </c>
      <c r="H38" s="2" t="s">
        <v>3282</v>
      </c>
      <c r="I38" s="4" t="str">
        <f>VLOOKUP(H38,forceSet!$B$5:$D$46,3,0)</f>
        <v>赵范</v>
      </c>
      <c r="J38" s="2" t="s">
        <v>3282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158</v>
      </c>
      <c r="W38" s="2" t="s">
        <v>128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60</v>
      </c>
      <c r="AD38" s="2" t="s">
        <v>60</v>
      </c>
      <c r="AE38" s="2">
        <v>24000</v>
      </c>
      <c r="AF38" s="2" t="s">
        <v>60</v>
      </c>
      <c r="AG38" s="4" t="s">
        <v>2902</v>
      </c>
      <c r="AH38" s="4">
        <v>30000</v>
      </c>
      <c r="AI38" s="2">
        <v>4800</v>
      </c>
      <c r="AJ38" s="2">
        <v>48000</v>
      </c>
      <c r="AK38" s="2" t="s">
        <v>3290</v>
      </c>
      <c r="AL38" s="2" t="s">
        <v>60</v>
      </c>
      <c r="AM38" s="2" t="s">
        <v>60</v>
      </c>
      <c r="AO38" s="2" t="s">
        <v>2853</v>
      </c>
      <c r="AP38" s="7" t="s">
        <v>60</v>
      </c>
      <c r="AQ38" s="2">
        <v>10</v>
      </c>
      <c r="AR38" s="4" t="s">
        <v>216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60</v>
      </c>
      <c r="AZ38" s="2" t="s">
        <v>3222</v>
      </c>
      <c r="BA38" s="2" t="s">
        <v>5</v>
      </c>
      <c r="BB38" s="4" t="s">
        <v>203</v>
      </c>
      <c r="BC38" s="2" t="s">
        <v>220</v>
      </c>
      <c r="BD38" s="4" t="s">
        <v>218</v>
      </c>
      <c r="BE38" s="4" t="s">
        <v>60</v>
      </c>
      <c r="BF38" s="4"/>
      <c r="BG38" s="2" t="s">
        <v>60</v>
      </c>
      <c r="BH38" s="4"/>
      <c r="BI38" s="2" t="s">
        <v>60</v>
      </c>
      <c r="BK38" s="2" t="s">
        <v>60</v>
      </c>
      <c r="BM38" s="2" t="s">
        <v>3336</v>
      </c>
    </row>
    <row r="39" spans="1:65" x14ac:dyDescent="0.2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2847</v>
      </c>
      <c r="H39" s="2" t="s">
        <v>3283</v>
      </c>
      <c r="I39" s="4" t="str">
        <f>VLOOKUP(H39,forceSet!$B$5:$D$46,3,0)</f>
        <v>刘度</v>
      </c>
      <c r="J39" s="2" t="s">
        <v>3283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120</v>
      </c>
      <c r="W39" s="2" t="s">
        <v>121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60</v>
      </c>
      <c r="AD39" s="2" t="s">
        <v>60</v>
      </c>
      <c r="AE39" s="2">
        <v>24000</v>
      </c>
      <c r="AF39" s="2" t="s">
        <v>60</v>
      </c>
      <c r="AG39" s="4" t="s">
        <v>2903</v>
      </c>
      <c r="AH39" s="4">
        <v>30000</v>
      </c>
      <c r="AI39" s="2">
        <v>4800</v>
      </c>
      <c r="AJ39" s="2">
        <v>48000</v>
      </c>
      <c r="AK39" s="2" t="s">
        <v>3290</v>
      </c>
      <c r="AL39" s="2" t="s">
        <v>60</v>
      </c>
      <c r="AM39" s="2" t="s">
        <v>60</v>
      </c>
      <c r="AO39" s="2" t="s">
        <v>2853</v>
      </c>
      <c r="AP39" s="7" t="s">
        <v>60</v>
      </c>
      <c r="AQ39" s="2">
        <v>10</v>
      </c>
      <c r="AR39" s="4" t="s">
        <v>216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60</v>
      </c>
      <c r="AZ39" s="2" t="s">
        <v>3223</v>
      </c>
      <c r="BA39" s="2" t="s">
        <v>95</v>
      </c>
      <c r="BB39" s="4" t="s">
        <v>211</v>
      </c>
      <c r="BC39" s="2" t="s">
        <v>219</v>
      </c>
      <c r="BD39" s="4" t="s">
        <v>217</v>
      </c>
      <c r="BE39" s="4" t="s">
        <v>60</v>
      </c>
      <c r="BF39" s="4"/>
      <c r="BG39" s="2" t="s">
        <v>60</v>
      </c>
      <c r="BH39" s="4"/>
      <c r="BI39" s="2" t="s">
        <v>60</v>
      </c>
      <c r="BK39" s="2" t="s">
        <v>60</v>
      </c>
      <c r="BM39" s="2" t="s">
        <v>3335</v>
      </c>
    </row>
    <row r="40" spans="1:65" x14ac:dyDescent="0.2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2847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120</v>
      </c>
      <c r="W40" s="2" t="s">
        <v>146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60</v>
      </c>
      <c r="AD40" s="2" t="s">
        <v>60</v>
      </c>
      <c r="AE40" s="2">
        <v>0</v>
      </c>
      <c r="AF40" s="2" t="s">
        <v>60</v>
      </c>
      <c r="AG40" s="4" t="s">
        <v>2904</v>
      </c>
      <c r="AH40" s="4">
        <v>30000</v>
      </c>
      <c r="AI40" s="2">
        <v>0</v>
      </c>
      <c r="AJ40" s="2">
        <v>0</v>
      </c>
      <c r="AK40" s="2" t="s">
        <v>3290</v>
      </c>
      <c r="AL40" s="2" t="s">
        <v>60</v>
      </c>
      <c r="AM40" s="2" t="s">
        <v>60</v>
      </c>
      <c r="AO40" s="2" t="s">
        <v>2853</v>
      </c>
      <c r="AP40" s="7" t="s">
        <v>60</v>
      </c>
      <c r="AQ40" s="2">
        <v>11</v>
      </c>
      <c r="AR40" s="4" t="s">
        <v>222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60</v>
      </c>
      <c r="AZ40" s="2" t="s">
        <v>3224</v>
      </c>
      <c r="BA40" s="2" t="s">
        <v>213</v>
      </c>
      <c r="BB40" s="4" t="s">
        <v>202</v>
      </c>
      <c r="BC40" s="2" t="s">
        <v>95</v>
      </c>
      <c r="BD40" s="4" t="s">
        <v>211</v>
      </c>
      <c r="BE40" s="4" t="s">
        <v>21</v>
      </c>
      <c r="BF40" s="4" t="s">
        <v>223</v>
      </c>
      <c r="BG40" s="2" t="s">
        <v>60</v>
      </c>
      <c r="BH40" s="4"/>
      <c r="BI40" s="2" t="s">
        <v>60</v>
      </c>
      <c r="BK40" s="2" t="s">
        <v>60</v>
      </c>
      <c r="BM40" s="2" t="s">
        <v>3336</v>
      </c>
    </row>
    <row r="41" spans="1:65" x14ac:dyDescent="0.2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2847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127</v>
      </c>
      <c r="W41" s="2" t="s">
        <v>154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60</v>
      </c>
      <c r="AD41" s="2" t="s">
        <v>60</v>
      </c>
      <c r="AE41" s="2">
        <v>24000</v>
      </c>
      <c r="AF41" s="2" t="s">
        <v>60</v>
      </c>
      <c r="AG41" s="4" t="s">
        <v>2905</v>
      </c>
      <c r="AH41" s="4">
        <v>30000</v>
      </c>
      <c r="AI41" s="2">
        <v>4800</v>
      </c>
      <c r="AJ41" s="2">
        <v>48000</v>
      </c>
      <c r="AK41" s="2" t="s">
        <v>3290</v>
      </c>
      <c r="AL41" s="2" t="s">
        <v>60</v>
      </c>
      <c r="AM41" s="2" t="s">
        <v>60</v>
      </c>
      <c r="AO41" s="2" t="s">
        <v>2853</v>
      </c>
      <c r="AP41" s="7" t="s">
        <v>60</v>
      </c>
      <c r="AQ41" s="2">
        <v>11</v>
      </c>
      <c r="AR41" s="4" t="s">
        <v>222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60</v>
      </c>
      <c r="AZ41" s="2" t="s">
        <v>3225</v>
      </c>
      <c r="BA41" s="2" t="s">
        <v>104</v>
      </c>
      <c r="BB41" s="4" t="s">
        <v>174</v>
      </c>
      <c r="BC41" s="2" t="s">
        <v>105</v>
      </c>
      <c r="BD41" s="4" t="s">
        <v>178</v>
      </c>
      <c r="BE41" s="4" t="s">
        <v>107</v>
      </c>
      <c r="BF41" s="4" t="s">
        <v>2913</v>
      </c>
      <c r="BG41" s="2" t="s">
        <v>207</v>
      </c>
      <c r="BH41" s="4" t="s">
        <v>225</v>
      </c>
      <c r="BI41" s="2" t="s">
        <v>60</v>
      </c>
      <c r="BK41" s="2" t="s">
        <v>60</v>
      </c>
      <c r="BM41" s="2" t="s">
        <v>3335</v>
      </c>
    </row>
    <row r="42" spans="1:65" x14ac:dyDescent="0.2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2847</v>
      </c>
      <c r="H42" s="2" t="s">
        <v>3284</v>
      </c>
      <c r="I42" s="4" t="str">
        <f>VLOOKUP(H42,forceSet!$B$5:$D$46,3,0)</f>
        <v>锺会</v>
      </c>
      <c r="J42" s="2" t="s">
        <v>3284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120</v>
      </c>
      <c r="W42" s="2" t="s">
        <v>146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60</v>
      </c>
      <c r="AD42" s="2" t="s">
        <v>60</v>
      </c>
      <c r="AE42" s="2">
        <v>20000</v>
      </c>
      <c r="AF42" s="2" t="s">
        <v>60</v>
      </c>
      <c r="AG42" s="4" t="s">
        <v>2906</v>
      </c>
      <c r="AH42" s="4">
        <v>30000</v>
      </c>
      <c r="AI42" s="2">
        <v>4800</v>
      </c>
      <c r="AJ42" s="2">
        <v>48000</v>
      </c>
      <c r="AK42" s="2" t="s">
        <v>3290</v>
      </c>
      <c r="AL42" s="2" t="s">
        <v>60</v>
      </c>
      <c r="AM42" s="2" t="s">
        <v>60</v>
      </c>
      <c r="AO42" s="2" t="s">
        <v>2853</v>
      </c>
      <c r="AP42" s="7" t="s">
        <v>60</v>
      </c>
      <c r="AQ42" s="2">
        <v>11</v>
      </c>
      <c r="AR42" s="4" t="s">
        <v>222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60</v>
      </c>
      <c r="AZ42" s="2" t="s">
        <v>3226</v>
      </c>
      <c r="BA42" s="2" t="s">
        <v>226</v>
      </c>
      <c r="BB42" s="4" t="s">
        <v>181</v>
      </c>
      <c r="BC42" s="2" t="s">
        <v>21</v>
      </c>
      <c r="BD42" s="4" t="s">
        <v>223</v>
      </c>
      <c r="BE42" s="4" t="s">
        <v>126</v>
      </c>
      <c r="BF42" s="4" t="s">
        <v>229</v>
      </c>
      <c r="BG42" s="2" t="s">
        <v>60</v>
      </c>
      <c r="BH42" s="4"/>
      <c r="BI42" s="2" t="s">
        <v>60</v>
      </c>
      <c r="BK42" s="2" t="s">
        <v>60</v>
      </c>
      <c r="BM42" s="2" t="s">
        <v>3336</v>
      </c>
    </row>
    <row r="43" spans="1:65" x14ac:dyDescent="0.2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2847</v>
      </c>
      <c r="H43" s="2" t="s">
        <v>3285</v>
      </c>
      <c r="I43" s="4" t="str">
        <f>VLOOKUP(H43,forceSet!$B$5:$D$46,3,0)</f>
        <v>邓艾</v>
      </c>
      <c r="J43" s="2" t="s">
        <v>3285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158</v>
      </c>
      <c r="W43" s="2" t="s">
        <v>146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60</v>
      </c>
      <c r="AD43" s="2" t="s">
        <v>60</v>
      </c>
      <c r="AE43" s="2">
        <v>24000</v>
      </c>
      <c r="AF43" s="2" t="s">
        <v>60</v>
      </c>
      <c r="AG43" s="4" t="s">
        <v>2907</v>
      </c>
      <c r="AH43" s="4">
        <v>30000</v>
      </c>
      <c r="AI43" s="2">
        <v>4800</v>
      </c>
      <c r="AJ43" s="2">
        <v>48000</v>
      </c>
      <c r="AK43" s="2" t="s">
        <v>3290</v>
      </c>
      <c r="AL43" s="2" t="s">
        <v>60</v>
      </c>
      <c r="AM43" s="2" t="s">
        <v>60</v>
      </c>
      <c r="AO43" s="2" t="s">
        <v>2853</v>
      </c>
      <c r="AP43" s="7" t="s">
        <v>60</v>
      </c>
      <c r="AQ43" s="2">
        <v>11</v>
      </c>
      <c r="AR43" s="4" t="s">
        <v>222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60</v>
      </c>
      <c r="AZ43" s="2" t="s">
        <v>3227</v>
      </c>
      <c r="BA43" s="2" t="s">
        <v>15</v>
      </c>
      <c r="BB43" s="4" t="s">
        <v>212</v>
      </c>
      <c r="BC43" s="2" t="s">
        <v>207</v>
      </c>
      <c r="BD43" s="4" t="s">
        <v>225</v>
      </c>
      <c r="BE43" s="4" t="s">
        <v>126</v>
      </c>
      <c r="BF43" s="4" t="s">
        <v>229</v>
      </c>
      <c r="BG43" s="2" t="s">
        <v>237</v>
      </c>
      <c r="BH43" s="4" t="s">
        <v>3064</v>
      </c>
      <c r="BI43" s="2" t="s">
        <v>60</v>
      </c>
      <c r="BK43" s="2" t="s">
        <v>60</v>
      </c>
      <c r="BM43" s="2" t="s">
        <v>3335</v>
      </c>
    </row>
    <row r="44" spans="1:65" x14ac:dyDescent="0.2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2847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127</v>
      </c>
      <c r="W44" s="2" t="s">
        <v>154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60</v>
      </c>
      <c r="AD44" s="2" t="s">
        <v>60</v>
      </c>
      <c r="AE44" s="2">
        <v>22000</v>
      </c>
      <c r="AF44" s="2" t="s">
        <v>60</v>
      </c>
      <c r="AG44" s="4" t="s">
        <v>2908</v>
      </c>
      <c r="AH44" s="4">
        <v>30000</v>
      </c>
      <c r="AI44" s="2">
        <v>5200</v>
      </c>
      <c r="AJ44" s="2">
        <v>52000</v>
      </c>
      <c r="AK44" s="2" t="s">
        <v>3290</v>
      </c>
      <c r="AL44" s="2" t="s">
        <v>60</v>
      </c>
      <c r="AM44" s="2" t="s">
        <v>60</v>
      </c>
      <c r="AO44" s="2" t="s">
        <v>2853</v>
      </c>
      <c r="AP44" s="7" t="s">
        <v>60</v>
      </c>
      <c r="AQ44" s="2">
        <v>11</v>
      </c>
      <c r="AR44" s="4" t="s">
        <v>222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60</v>
      </c>
      <c r="AZ44" s="2" t="s">
        <v>3228</v>
      </c>
      <c r="BA44" s="2" t="s">
        <v>207</v>
      </c>
      <c r="BB44" s="4" t="s">
        <v>225</v>
      </c>
      <c r="BC44" s="2" t="s">
        <v>21</v>
      </c>
      <c r="BD44" s="4" t="s">
        <v>223</v>
      </c>
      <c r="BE44" s="4" t="s">
        <v>237</v>
      </c>
      <c r="BF44" s="4" t="s">
        <v>3064</v>
      </c>
      <c r="BG44" s="2" t="s">
        <v>60</v>
      </c>
      <c r="BH44" s="4"/>
      <c r="BI44" s="2" t="s">
        <v>60</v>
      </c>
      <c r="BK44" s="2" t="s">
        <v>60</v>
      </c>
      <c r="BM44" s="2" t="s">
        <v>3336</v>
      </c>
    </row>
    <row r="45" spans="1:65" x14ac:dyDescent="0.25">
      <c r="B45" s="2" t="s">
        <v>237</v>
      </c>
      <c r="C45" s="2" t="s">
        <v>3071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2847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158</v>
      </c>
      <c r="W45" s="2" t="s">
        <v>154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60</v>
      </c>
      <c r="AD45" s="2" t="s">
        <v>60</v>
      </c>
      <c r="AE45" s="2">
        <v>24000</v>
      </c>
      <c r="AF45" s="2" t="s">
        <v>60</v>
      </c>
      <c r="AG45" s="4" t="s">
        <v>2909</v>
      </c>
      <c r="AH45" s="4">
        <v>30000</v>
      </c>
      <c r="AI45" s="2">
        <v>4800</v>
      </c>
      <c r="AJ45" s="2">
        <v>48000</v>
      </c>
      <c r="AK45" s="2" t="s">
        <v>3290</v>
      </c>
      <c r="AL45" s="2" t="s">
        <v>60</v>
      </c>
      <c r="AM45" s="2" t="s">
        <v>60</v>
      </c>
      <c r="AO45" s="2" t="s">
        <v>2853</v>
      </c>
      <c r="AP45" s="7" t="s">
        <v>60</v>
      </c>
      <c r="AQ45" s="2">
        <v>12</v>
      </c>
      <c r="AR45" s="4" t="s">
        <v>236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60</v>
      </c>
      <c r="AZ45" s="2" t="s">
        <v>3229</v>
      </c>
      <c r="BA45" s="2" t="s">
        <v>126</v>
      </c>
      <c r="BB45" s="4" t="s">
        <v>229</v>
      </c>
      <c r="BC45" s="2" t="s">
        <v>98</v>
      </c>
      <c r="BD45" s="4" t="s">
        <v>3065</v>
      </c>
      <c r="BE45" s="4" t="s">
        <v>21</v>
      </c>
      <c r="BF45" s="4" t="s">
        <v>223</v>
      </c>
      <c r="BG45" s="2" t="s">
        <v>60</v>
      </c>
      <c r="BH45" s="4"/>
      <c r="BI45" s="2" t="s">
        <v>60</v>
      </c>
      <c r="BK45" s="2" t="s">
        <v>60</v>
      </c>
      <c r="BM45" s="2" t="s">
        <v>3335</v>
      </c>
    </row>
    <row r="46" spans="1:65" x14ac:dyDescent="0.25">
      <c r="B46" s="2" t="s">
        <v>98</v>
      </c>
      <c r="C46" s="2" t="s">
        <v>3072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2847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120</v>
      </c>
      <c r="W46" s="2" t="s">
        <v>146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60</v>
      </c>
      <c r="AD46" s="2" t="s">
        <v>60</v>
      </c>
      <c r="AE46" s="2">
        <v>28000</v>
      </c>
      <c r="AF46" s="2" t="s">
        <v>60</v>
      </c>
      <c r="AG46" s="4" t="s">
        <v>2910</v>
      </c>
      <c r="AH46" s="4">
        <v>30000</v>
      </c>
      <c r="AI46" s="2">
        <v>5600</v>
      </c>
      <c r="AJ46" s="2">
        <v>56000</v>
      </c>
      <c r="AK46" s="2" t="s">
        <v>3290</v>
      </c>
      <c r="AL46" s="2" t="s">
        <v>60</v>
      </c>
      <c r="AM46" s="2" t="s">
        <v>60</v>
      </c>
      <c r="AO46" s="2" t="s">
        <v>2853</v>
      </c>
      <c r="AP46" s="7" t="s">
        <v>60</v>
      </c>
      <c r="AQ46" s="2">
        <v>12</v>
      </c>
      <c r="AR46" s="4" t="s">
        <v>236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60</v>
      </c>
      <c r="AZ46" s="2" t="s">
        <v>3230</v>
      </c>
      <c r="BA46" s="2" t="s">
        <v>237</v>
      </c>
      <c r="BB46" s="4" t="s">
        <v>3064</v>
      </c>
      <c r="BC46" s="2" t="s">
        <v>60</v>
      </c>
      <c r="BD46" s="4"/>
      <c r="BE46" s="2" t="s">
        <v>60</v>
      </c>
      <c r="BF46" s="4"/>
      <c r="BG46" s="2" t="s">
        <v>60</v>
      </c>
      <c r="BH46" s="4"/>
      <c r="BI46" s="2" t="s">
        <v>60</v>
      </c>
      <c r="BK46" s="2" t="s">
        <v>60</v>
      </c>
      <c r="BM46" s="2" t="s">
        <v>3336</v>
      </c>
    </row>
    <row r="47" spans="1:65" s="34" customFormat="1" x14ac:dyDescent="0.25">
      <c r="A47" s="31"/>
      <c r="B47" s="31" t="s">
        <v>99</v>
      </c>
      <c r="C47" s="31" t="s">
        <v>241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3332</v>
      </c>
      <c r="H47" s="31" t="s">
        <v>3351</v>
      </c>
      <c r="I47" s="32" t="str">
        <f>VLOOKUP(H47,forceSet!$B$5:$D$46,3,0)</f>
        <v>韩馥</v>
      </c>
      <c r="J47" s="31" t="s">
        <v>3351</v>
      </c>
      <c r="K47" s="32" t="str">
        <f>VLOOKUP(J47,corpsSet!$B$5:$C$46,2,0)</f>
        <v>韩馥</v>
      </c>
      <c r="L47" s="32" t="s">
        <v>34</v>
      </c>
      <c r="M47" s="32" t="str">
        <f>VLOOKUP(L47,citySet!$B$5:$C$46,2,0)</f>
        <v>邺</v>
      </c>
      <c r="N47" s="32">
        <v>1</v>
      </c>
      <c r="O47" s="31" t="s">
        <v>3329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3347</v>
      </c>
      <c r="W47" s="31" t="s">
        <v>3349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60</v>
      </c>
      <c r="AE47" s="31" t="s">
        <v>263</v>
      </c>
      <c r="AF47" s="31" t="s">
        <v>2850</v>
      </c>
      <c r="AG47" s="32" t="s">
        <v>118</v>
      </c>
      <c r="AH47" s="32">
        <v>30000</v>
      </c>
      <c r="AI47" s="31" t="s">
        <v>120</v>
      </c>
      <c r="AJ47" s="31" t="s">
        <v>143</v>
      </c>
      <c r="AK47" s="31" t="s">
        <v>3291</v>
      </c>
      <c r="AL47" s="31" t="s">
        <v>60</v>
      </c>
      <c r="AM47" s="31" t="s">
        <v>60</v>
      </c>
      <c r="AN47" s="31"/>
      <c r="AO47" s="31" t="s">
        <v>2853</v>
      </c>
      <c r="AP47" s="33" t="s">
        <v>60</v>
      </c>
      <c r="AQ47" s="31">
        <v>1</v>
      </c>
      <c r="AR47" s="32" t="s">
        <v>124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2850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3339</v>
      </c>
    </row>
    <row r="48" spans="1:65" s="34" customFormat="1" x14ac:dyDescent="0.25">
      <c r="A48" s="31"/>
      <c r="B48" s="31" t="s">
        <v>100</v>
      </c>
      <c r="C48" s="31" t="s">
        <v>242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3332</v>
      </c>
      <c r="H48" s="31" t="s">
        <v>18</v>
      </c>
      <c r="I48" s="32" t="str">
        <f>VLOOKUP(H48,forceSet!$B$5:$D$46,3,0)</f>
        <v>司马懿</v>
      </c>
      <c r="J48" s="32" t="s">
        <v>18</v>
      </c>
      <c r="K48" s="32" t="str">
        <f>VLOOKUP(J48,corpsSet!$B$5:$C$46,2,0)</f>
        <v>司马懿</v>
      </c>
      <c r="L48" s="32" t="s">
        <v>18</v>
      </c>
      <c r="M48" s="32" t="str">
        <f>VLOOKUP(L48,citySet!$B$5:$C$46,2,0)</f>
        <v>洛阳</v>
      </c>
      <c r="N48" s="32">
        <v>1</v>
      </c>
      <c r="O48" s="31" t="s">
        <v>3329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3347</v>
      </c>
      <c r="W48" s="31" t="s">
        <v>3349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60</v>
      </c>
      <c r="AE48" s="31" t="s">
        <v>263</v>
      </c>
      <c r="AF48" s="31" t="s">
        <v>2850</v>
      </c>
      <c r="AG48" s="32" t="s">
        <v>2870</v>
      </c>
      <c r="AH48" s="32">
        <v>30000</v>
      </c>
      <c r="AI48" s="31" t="s">
        <v>120</v>
      </c>
      <c r="AJ48" s="31" t="s">
        <v>143</v>
      </c>
      <c r="AK48" s="31" t="s">
        <v>3291</v>
      </c>
      <c r="AL48" s="31" t="s">
        <v>60</v>
      </c>
      <c r="AM48" s="31" t="s">
        <v>60</v>
      </c>
      <c r="AN48" s="31"/>
      <c r="AO48" s="31" t="s">
        <v>2853</v>
      </c>
      <c r="AP48" s="33" t="s">
        <v>60</v>
      </c>
      <c r="AQ48" s="31">
        <v>1</v>
      </c>
      <c r="AR48" s="32" t="s">
        <v>124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2850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3339</v>
      </c>
    </row>
    <row r="49" spans="1:65" s="34" customFormat="1" x14ac:dyDescent="0.25">
      <c r="A49" s="31"/>
      <c r="B49" s="31" t="s">
        <v>101</v>
      </c>
      <c r="C49" s="31" t="s">
        <v>245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3332</v>
      </c>
      <c r="H49" s="31" t="s">
        <v>208</v>
      </c>
      <c r="I49" s="32" t="str">
        <f>VLOOKUP(H49,forceSet!$B$5:$D$46,3,0)</f>
        <v>何进</v>
      </c>
      <c r="J49" s="32" t="s">
        <v>208</v>
      </c>
      <c r="K49" s="32" t="str">
        <f>VLOOKUP(J49,corpsSet!$B$5:$C$46,2,0)</f>
        <v>何进</v>
      </c>
      <c r="L49" s="32" t="s">
        <v>104</v>
      </c>
      <c r="M49" s="32" t="str">
        <f>VLOOKUP(L49,citySet!$B$5:$C$46,2,0)</f>
        <v>长安</v>
      </c>
      <c r="N49" s="32">
        <v>1</v>
      </c>
      <c r="O49" s="31" t="s">
        <v>3330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185</v>
      </c>
      <c r="W49" s="31" t="s">
        <v>3348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60</v>
      </c>
      <c r="AE49" s="31" t="s">
        <v>263</v>
      </c>
      <c r="AF49" s="31" t="s">
        <v>60</v>
      </c>
      <c r="AG49" s="32" t="s">
        <v>2871</v>
      </c>
      <c r="AH49" s="32">
        <v>30000</v>
      </c>
      <c r="AI49" s="31" t="s">
        <v>120</v>
      </c>
      <c r="AJ49" s="31" t="s">
        <v>143</v>
      </c>
      <c r="AK49" s="31" t="s">
        <v>3290</v>
      </c>
      <c r="AL49" s="31" t="s">
        <v>60</v>
      </c>
      <c r="AM49" s="31" t="s">
        <v>60</v>
      </c>
      <c r="AN49" s="31"/>
      <c r="AO49" s="31" t="s">
        <v>2853</v>
      </c>
      <c r="AP49" s="33" t="s">
        <v>60</v>
      </c>
      <c r="AQ49" s="31">
        <v>1</v>
      </c>
      <c r="AR49" s="32" t="s">
        <v>124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60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3338</v>
      </c>
    </row>
    <row r="50" spans="1:65" s="34" customFormat="1" x14ac:dyDescent="0.25">
      <c r="A50" s="31"/>
      <c r="B50" s="31" t="s">
        <v>102</v>
      </c>
      <c r="C50" s="31" t="s">
        <v>246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3332</v>
      </c>
      <c r="H50" s="31" t="s">
        <v>18</v>
      </c>
      <c r="I50" s="32" t="str">
        <f>VLOOKUP(H50,forceSet!$B$5:$D$46,3,0)</f>
        <v>司马懿</v>
      </c>
      <c r="J50" s="31" t="s">
        <v>18</v>
      </c>
      <c r="K50" s="32" t="str">
        <f>VLOOKUP(J50,corpsSet!$B$5:$C$46,2,0)</f>
        <v>司马懿</v>
      </c>
      <c r="L50" s="32" t="s">
        <v>18</v>
      </c>
      <c r="M50" s="32" t="str">
        <f>VLOOKUP(L50,citySet!$B$5:$C$46,2,0)</f>
        <v>洛阳</v>
      </c>
      <c r="N50" s="32">
        <v>1</v>
      </c>
      <c r="O50" s="31" t="s">
        <v>3330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185</v>
      </c>
      <c r="W50" s="31" t="s">
        <v>3348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60</v>
      </c>
      <c r="AE50" s="31" t="s">
        <v>263</v>
      </c>
      <c r="AF50" s="31" t="s">
        <v>60</v>
      </c>
      <c r="AG50" s="32" t="s">
        <v>2872</v>
      </c>
      <c r="AH50" s="32">
        <v>30000</v>
      </c>
      <c r="AI50" s="31" t="s">
        <v>120</v>
      </c>
      <c r="AJ50" s="31" t="s">
        <v>143</v>
      </c>
      <c r="AK50" s="31" t="s">
        <v>3290</v>
      </c>
      <c r="AL50" s="31" t="s">
        <v>60</v>
      </c>
      <c r="AM50" s="31" t="s">
        <v>60</v>
      </c>
      <c r="AN50" s="31"/>
      <c r="AO50" s="31" t="s">
        <v>2853</v>
      </c>
      <c r="AP50" s="33" t="s">
        <v>60</v>
      </c>
      <c r="AQ50" s="31">
        <v>2</v>
      </c>
      <c r="AR50" s="32" t="s">
        <v>138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60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3338</v>
      </c>
    </row>
    <row r="51" spans="1:65" s="34" customFormat="1" x14ac:dyDescent="0.25">
      <c r="A51" s="31"/>
      <c r="B51" s="31" t="s">
        <v>191</v>
      </c>
      <c r="C51" s="31" t="s">
        <v>248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3332</v>
      </c>
      <c r="H51" s="31" t="s">
        <v>208</v>
      </c>
      <c r="I51" s="32" t="str">
        <f>VLOOKUP(H51,forceSet!$B$5:$D$46,3,0)</f>
        <v>何进</v>
      </c>
      <c r="J51" s="32" t="s">
        <v>208</v>
      </c>
      <c r="K51" s="32" t="str">
        <f>VLOOKUP(J51,corpsSet!$B$5:$C$46,2,0)</f>
        <v>何进</v>
      </c>
      <c r="L51" s="32" t="s">
        <v>104</v>
      </c>
      <c r="M51" s="32" t="str">
        <f>VLOOKUP(L51,citySet!$B$5:$C$46,2,0)</f>
        <v>长安</v>
      </c>
      <c r="N51" s="32">
        <v>1</v>
      </c>
      <c r="O51" s="31" t="s">
        <v>3330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185</v>
      </c>
      <c r="W51" s="31" t="s">
        <v>3348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60</v>
      </c>
      <c r="AE51" s="31" t="s">
        <v>263</v>
      </c>
      <c r="AF51" s="31" t="s">
        <v>60</v>
      </c>
      <c r="AG51" s="32" t="s">
        <v>2873</v>
      </c>
      <c r="AH51" s="32">
        <v>30000</v>
      </c>
      <c r="AI51" s="31" t="s">
        <v>120</v>
      </c>
      <c r="AJ51" s="31" t="s">
        <v>143</v>
      </c>
      <c r="AK51" s="31" t="s">
        <v>3290</v>
      </c>
      <c r="AL51" s="31" t="s">
        <v>60</v>
      </c>
      <c r="AM51" s="31" t="s">
        <v>60</v>
      </c>
      <c r="AN51" s="31"/>
      <c r="AO51" s="31" t="s">
        <v>2853</v>
      </c>
      <c r="AP51" s="33" t="s">
        <v>60</v>
      </c>
      <c r="AQ51" s="31">
        <v>2</v>
      </c>
      <c r="AR51" s="32" t="s">
        <v>138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60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3338</v>
      </c>
    </row>
    <row r="52" spans="1:65" s="34" customFormat="1" x14ac:dyDescent="0.25">
      <c r="A52" s="31"/>
      <c r="B52" s="31" t="s">
        <v>414</v>
      </c>
      <c r="C52" s="31" t="s">
        <v>250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3332</v>
      </c>
      <c r="H52" s="31" t="s">
        <v>32</v>
      </c>
      <c r="I52" s="32" t="str">
        <f>VLOOKUP(H52,forceSet!$B$5:$D$46,3,0)</f>
        <v>张鲁</v>
      </c>
      <c r="J52" s="31" t="s">
        <v>32</v>
      </c>
      <c r="K52" s="32" t="str">
        <f>VLOOKUP(J52,corpsSet!$B$5:$C$46,2,0)</f>
        <v>张鲁</v>
      </c>
      <c r="L52" s="32" t="s">
        <v>226</v>
      </c>
      <c r="M52" s="32" t="str">
        <f>VLOOKUP(L52,citySet!$B$5:$C$46,2,0)</f>
        <v>汉中</v>
      </c>
      <c r="N52" s="32">
        <v>1</v>
      </c>
      <c r="O52" s="31" t="s">
        <v>3330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185</v>
      </c>
      <c r="W52" s="31" t="s">
        <v>3348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60</v>
      </c>
      <c r="AE52" s="31" t="s">
        <v>263</v>
      </c>
      <c r="AF52" s="31" t="s">
        <v>60</v>
      </c>
      <c r="AG52" s="32" t="s">
        <v>2874</v>
      </c>
      <c r="AH52" s="32">
        <v>30000</v>
      </c>
      <c r="AI52" s="31" t="s">
        <v>120</v>
      </c>
      <c r="AJ52" s="31" t="s">
        <v>143</v>
      </c>
      <c r="AK52" s="31" t="s">
        <v>3290</v>
      </c>
      <c r="AL52" s="31" t="s">
        <v>60</v>
      </c>
      <c r="AM52" s="31" t="s">
        <v>60</v>
      </c>
      <c r="AN52" s="31"/>
      <c r="AO52" s="31" t="s">
        <v>2853</v>
      </c>
      <c r="AP52" s="33" t="s">
        <v>60</v>
      </c>
      <c r="AQ52" s="31">
        <v>2</v>
      </c>
      <c r="AR52" s="32" t="s">
        <v>138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60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3338</v>
      </c>
    </row>
    <row r="53" spans="1:65" s="34" customFormat="1" x14ac:dyDescent="0.25">
      <c r="A53" s="31"/>
      <c r="B53" s="31" t="s">
        <v>233</v>
      </c>
      <c r="C53" s="31" t="s">
        <v>252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3332</v>
      </c>
      <c r="H53" s="31" t="s">
        <v>3284</v>
      </c>
      <c r="I53" s="32" t="str">
        <f>VLOOKUP(H53,forceSet!$B$5:$D$46,3,0)</f>
        <v>锺会</v>
      </c>
      <c r="J53" s="32" t="s">
        <v>219</v>
      </c>
      <c r="K53" s="32" t="str">
        <f>VLOOKUP(J53,corpsSet!$B$5:$C$46,2,0)</f>
        <v>刘度</v>
      </c>
      <c r="L53" s="32" t="s">
        <v>207</v>
      </c>
      <c r="M53" s="32" t="str">
        <f>VLOOKUP(L53,citySet!$B$5:$C$46,2,0)</f>
        <v>梓潼</v>
      </c>
      <c r="N53" s="32">
        <v>1</v>
      </c>
      <c r="O53" s="31" t="s">
        <v>3330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185</v>
      </c>
      <c r="W53" s="31" t="s">
        <v>3348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60</v>
      </c>
      <c r="AE53" s="31" t="s">
        <v>263</v>
      </c>
      <c r="AF53" s="31" t="s">
        <v>60</v>
      </c>
      <c r="AG53" s="32" t="s">
        <v>2875</v>
      </c>
      <c r="AH53" s="32">
        <v>30000</v>
      </c>
      <c r="AI53" s="31" t="s">
        <v>120</v>
      </c>
      <c r="AJ53" s="31" t="s">
        <v>143</v>
      </c>
      <c r="AK53" s="31" t="s">
        <v>3290</v>
      </c>
      <c r="AL53" s="31" t="s">
        <v>60</v>
      </c>
      <c r="AM53" s="31" t="s">
        <v>60</v>
      </c>
      <c r="AN53" s="31"/>
      <c r="AO53" s="31" t="s">
        <v>2853</v>
      </c>
      <c r="AP53" s="33" t="s">
        <v>60</v>
      </c>
      <c r="AQ53" s="31">
        <v>2</v>
      </c>
      <c r="AR53" s="32" t="s">
        <v>138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60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3338</v>
      </c>
    </row>
    <row r="54" spans="1:65" s="34" customFormat="1" x14ac:dyDescent="0.25">
      <c r="A54" s="31"/>
      <c r="B54" s="31" t="s">
        <v>4</v>
      </c>
      <c r="C54" s="31" t="s">
        <v>253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3332</v>
      </c>
      <c r="H54" s="31" t="s">
        <v>3284</v>
      </c>
      <c r="I54" s="32" t="str">
        <f>VLOOKUP(H54,forceSet!$B$5:$D$46,3,0)</f>
        <v>锺会</v>
      </c>
      <c r="J54" s="32" t="s">
        <v>219</v>
      </c>
      <c r="K54" s="32" t="str">
        <f>VLOOKUP(J54,corpsSet!$B$5:$C$46,2,0)</f>
        <v>刘度</v>
      </c>
      <c r="L54" s="32" t="s">
        <v>207</v>
      </c>
      <c r="M54" s="32" t="str">
        <f>VLOOKUP(L54,citySet!$B$5:$C$46,2,0)</f>
        <v>梓潼</v>
      </c>
      <c r="N54" s="32">
        <v>1</v>
      </c>
      <c r="O54" s="31" t="s">
        <v>3330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185</v>
      </c>
      <c r="W54" s="31" t="s">
        <v>3348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60</v>
      </c>
      <c r="AE54" s="31" t="s">
        <v>263</v>
      </c>
      <c r="AF54" s="31" t="s">
        <v>60</v>
      </c>
      <c r="AG54" s="32" t="s">
        <v>2876</v>
      </c>
      <c r="AH54" s="32">
        <v>30000</v>
      </c>
      <c r="AI54" s="31" t="s">
        <v>120</v>
      </c>
      <c r="AJ54" s="31" t="s">
        <v>143</v>
      </c>
      <c r="AK54" s="31" t="s">
        <v>3290</v>
      </c>
      <c r="AL54" s="31" t="s">
        <v>60</v>
      </c>
      <c r="AM54" s="31" t="s">
        <v>60</v>
      </c>
      <c r="AN54" s="31"/>
      <c r="AO54" s="31" t="s">
        <v>2853</v>
      </c>
      <c r="AP54" s="33" t="s">
        <v>60</v>
      </c>
      <c r="AQ54" s="31">
        <v>3</v>
      </c>
      <c r="AR54" s="32" t="s">
        <v>151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60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3338</v>
      </c>
    </row>
    <row r="55" spans="1:65" s="34" customFormat="1" x14ac:dyDescent="0.25">
      <c r="A55" s="31"/>
      <c r="B55" s="31" t="s">
        <v>7</v>
      </c>
      <c r="C55" s="31" t="s">
        <v>255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3332</v>
      </c>
      <c r="H55" s="31" t="s">
        <v>33</v>
      </c>
      <c r="I55" s="32" t="str">
        <f>VLOOKUP(H55,forceSet!$B$5:$D$46,3,0)</f>
        <v>刘焉</v>
      </c>
      <c r="J55" s="32" t="s">
        <v>33</v>
      </c>
      <c r="K55" s="32" t="str">
        <f>VLOOKUP(J55,corpsSet!$B$5:$C$46,2,0)</f>
        <v>刘焉</v>
      </c>
      <c r="L55" s="32" t="s">
        <v>207</v>
      </c>
      <c r="M55" s="32" t="str">
        <f>VLOOKUP(L55,citySet!$B$5:$C$46,2,0)</f>
        <v>梓潼</v>
      </c>
      <c r="N55" s="32">
        <v>1</v>
      </c>
      <c r="O55" s="31" t="s">
        <v>3330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185</v>
      </c>
      <c r="W55" s="31" t="s">
        <v>3348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60</v>
      </c>
      <c r="AE55" s="31" t="s">
        <v>263</v>
      </c>
      <c r="AF55" s="31" t="s">
        <v>60</v>
      </c>
      <c r="AG55" s="32" t="s">
        <v>2877</v>
      </c>
      <c r="AH55" s="32">
        <v>30000</v>
      </c>
      <c r="AI55" s="31" t="s">
        <v>120</v>
      </c>
      <c r="AJ55" s="31" t="s">
        <v>143</v>
      </c>
      <c r="AK55" s="31" t="s">
        <v>3290</v>
      </c>
      <c r="AL55" s="31" t="s">
        <v>60</v>
      </c>
      <c r="AM55" s="31" t="s">
        <v>60</v>
      </c>
      <c r="AN55" s="31"/>
      <c r="AO55" s="31" t="s">
        <v>2853</v>
      </c>
      <c r="AP55" s="33" t="s">
        <v>60</v>
      </c>
      <c r="AQ55" s="31">
        <v>3</v>
      </c>
      <c r="AR55" s="32" t="s">
        <v>151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60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3338</v>
      </c>
    </row>
    <row r="56" spans="1:65" s="34" customFormat="1" x14ac:dyDescent="0.25">
      <c r="A56" s="31"/>
      <c r="B56" s="31" t="s">
        <v>14</v>
      </c>
      <c r="C56" s="31" t="s">
        <v>260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3332</v>
      </c>
      <c r="H56" s="31" t="s">
        <v>33</v>
      </c>
      <c r="I56" s="32" t="str">
        <f>VLOOKUP(H56,forceSet!$B$5:$D$46,3,0)</f>
        <v>刘焉</v>
      </c>
      <c r="J56" s="32" t="s">
        <v>33</v>
      </c>
      <c r="K56" s="32" t="str">
        <f>VLOOKUP(J56,corpsSet!$B$5:$C$46,2,0)</f>
        <v>刘焉</v>
      </c>
      <c r="L56" s="32" t="s">
        <v>126</v>
      </c>
      <c r="M56" s="32" t="str">
        <f>VLOOKUP(L56,citySet!$B$5:$C$46,2,0)</f>
        <v>成都</v>
      </c>
      <c r="N56" s="32">
        <v>1</v>
      </c>
      <c r="O56" s="31" t="s">
        <v>3330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185</v>
      </c>
      <c r="W56" s="31" t="s">
        <v>3348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60</v>
      </c>
      <c r="AE56" s="31" t="s">
        <v>263</v>
      </c>
      <c r="AF56" s="31" t="s">
        <v>60</v>
      </c>
      <c r="AG56" s="32" t="s">
        <v>2878</v>
      </c>
      <c r="AH56" s="32">
        <v>30000</v>
      </c>
      <c r="AI56" s="31" t="s">
        <v>120</v>
      </c>
      <c r="AJ56" s="31" t="s">
        <v>143</v>
      </c>
      <c r="AK56" s="31" t="s">
        <v>3290</v>
      </c>
      <c r="AL56" s="31" t="s">
        <v>60</v>
      </c>
      <c r="AM56" s="31" t="s">
        <v>60</v>
      </c>
      <c r="AN56" s="31"/>
      <c r="AO56" s="31" t="s">
        <v>2853</v>
      </c>
      <c r="AP56" s="33" t="s">
        <v>60</v>
      </c>
      <c r="AQ56" s="31">
        <v>3</v>
      </c>
      <c r="AR56" s="32" t="s">
        <v>151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60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3338</v>
      </c>
    </row>
    <row r="57" spans="1:65" s="39" customFormat="1" x14ac:dyDescent="0.25">
      <c r="A57" s="35"/>
      <c r="B57" s="35" t="s">
        <v>19</v>
      </c>
      <c r="C57" s="35" t="s">
        <v>262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3333</v>
      </c>
      <c r="H57" s="35" t="s">
        <v>41</v>
      </c>
      <c r="I57" s="36" t="str">
        <f>VLOOKUP(H57,forceSet!$B$5:$D$46,3,0)</f>
        <v>公孙度</v>
      </c>
      <c r="J57" s="36" t="s">
        <v>41</v>
      </c>
      <c r="K57" s="36" t="str">
        <f>VLOOKUP(J57,corpsSet!$B$5:$C$46,2,0)</f>
        <v>公孙度</v>
      </c>
      <c r="L57" s="36" t="s">
        <v>27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185</v>
      </c>
      <c r="W57" s="31" t="s">
        <v>3348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2855</v>
      </c>
      <c r="AE57" s="35" t="s">
        <v>571</v>
      </c>
      <c r="AF57" s="35" t="s">
        <v>2850</v>
      </c>
      <c r="AG57" s="36">
        <v>5000</v>
      </c>
      <c r="AH57" s="36">
        <v>30000</v>
      </c>
      <c r="AI57" s="35" t="s">
        <v>950</v>
      </c>
      <c r="AJ57" s="35" t="s">
        <v>263</v>
      </c>
      <c r="AK57" s="35" t="s">
        <v>3291</v>
      </c>
      <c r="AL57" s="35" t="s">
        <v>60</v>
      </c>
      <c r="AM57" s="35" t="s">
        <v>60</v>
      </c>
      <c r="AN57" s="35"/>
      <c r="AO57" s="35" t="s">
        <v>2853</v>
      </c>
      <c r="AP57" s="38" t="s">
        <v>60</v>
      </c>
      <c r="AQ57" s="35">
        <v>1</v>
      </c>
      <c r="AR57" s="36" t="s">
        <v>124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2850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3337</v>
      </c>
    </row>
    <row r="58" spans="1:65" s="39" customFormat="1" x14ac:dyDescent="0.25">
      <c r="A58" s="35"/>
      <c r="B58" s="35" t="s">
        <v>3</v>
      </c>
      <c r="C58" s="35" t="s">
        <v>266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3333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33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185</v>
      </c>
      <c r="W58" s="31" t="s">
        <v>3348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2855</v>
      </c>
      <c r="AE58" s="35" t="s">
        <v>60</v>
      </c>
      <c r="AF58" s="35" t="s">
        <v>2850</v>
      </c>
      <c r="AG58" s="36">
        <v>5000</v>
      </c>
      <c r="AH58" s="36">
        <v>30000</v>
      </c>
      <c r="AI58" s="35" t="s">
        <v>60</v>
      </c>
      <c r="AJ58" s="35" t="s">
        <v>60</v>
      </c>
      <c r="AK58" s="35" t="s">
        <v>3291</v>
      </c>
      <c r="AL58" s="35" t="s">
        <v>60</v>
      </c>
      <c r="AM58" s="35" t="s">
        <v>60</v>
      </c>
      <c r="AN58" s="35"/>
      <c r="AO58" s="35" t="s">
        <v>2853</v>
      </c>
      <c r="AP58" s="38" t="s">
        <v>60</v>
      </c>
      <c r="AQ58" s="35">
        <v>1</v>
      </c>
      <c r="AR58" s="36" t="s">
        <v>124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2850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3337</v>
      </c>
    </row>
    <row r="59" spans="1:65" s="39" customFormat="1" x14ac:dyDescent="0.25">
      <c r="A59" s="35"/>
      <c r="B59" s="35" t="s">
        <v>254</v>
      </c>
      <c r="C59" s="35" t="s">
        <v>268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3333</v>
      </c>
      <c r="H59" s="35" t="s">
        <v>3146</v>
      </c>
      <c r="I59" s="36" t="str">
        <f>VLOOKUP(H59,forceSet!$B$5:$D$46,3,0)</f>
        <v>丁原</v>
      </c>
      <c r="J59" s="35" t="s">
        <v>3146</v>
      </c>
      <c r="K59" s="36" t="str">
        <f>VLOOKUP(J59,corpsSet!$B$5:$C$46,2,0)</f>
        <v>丁原</v>
      </c>
      <c r="L59" s="36" t="s">
        <v>36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185</v>
      </c>
      <c r="W59" s="31" t="s">
        <v>3348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2855</v>
      </c>
      <c r="AE59" s="35" t="s">
        <v>263</v>
      </c>
      <c r="AF59" s="35" t="s">
        <v>60</v>
      </c>
      <c r="AG59" s="36">
        <v>5000</v>
      </c>
      <c r="AH59" s="36">
        <v>30000</v>
      </c>
      <c r="AI59" s="35" t="s">
        <v>950</v>
      </c>
      <c r="AJ59" s="35" t="s">
        <v>263</v>
      </c>
      <c r="AK59" s="35" t="s">
        <v>3290</v>
      </c>
      <c r="AL59" s="35" t="s">
        <v>60</v>
      </c>
      <c r="AM59" s="35" t="s">
        <v>60</v>
      </c>
      <c r="AN59" s="35"/>
      <c r="AO59" s="35" t="s">
        <v>2853</v>
      </c>
      <c r="AP59" s="38" t="s">
        <v>60</v>
      </c>
      <c r="AQ59" s="35">
        <v>1</v>
      </c>
      <c r="AR59" s="36" t="s">
        <v>124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60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3337</v>
      </c>
    </row>
    <row r="60" spans="1:65" s="39" customFormat="1" x14ac:dyDescent="0.25">
      <c r="A60" s="35"/>
      <c r="B60" s="35" t="s">
        <v>201</v>
      </c>
      <c r="C60" s="35" t="s">
        <v>272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3333</v>
      </c>
      <c r="H60" s="35" t="s">
        <v>8</v>
      </c>
      <c r="I60" s="36" t="str">
        <f>VLOOKUP(H60,forceSet!$B$5:$D$46,3,0)</f>
        <v>韩馥</v>
      </c>
      <c r="J60" s="36" t="s">
        <v>8</v>
      </c>
      <c r="K60" s="36" t="str">
        <f>VLOOKUP(J60,corpsSet!$B$5:$C$46,2,0)</f>
        <v>韩馥</v>
      </c>
      <c r="L60" s="36" t="s">
        <v>34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185</v>
      </c>
      <c r="W60" s="31" t="s">
        <v>3348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2855</v>
      </c>
      <c r="AE60" s="35" t="s">
        <v>263</v>
      </c>
      <c r="AF60" s="35" t="s">
        <v>60</v>
      </c>
      <c r="AG60" s="36">
        <v>5000</v>
      </c>
      <c r="AH60" s="36">
        <v>30000</v>
      </c>
      <c r="AI60" s="35" t="s">
        <v>120</v>
      </c>
      <c r="AJ60" s="35" t="s">
        <v>143</v>
      </c>
      <c r="AK60" s="35" t="s">
        <v>3290</v>
      </c>
      <c r="AL60" s="35" t="s">
        <v>60</v>
      </c>
      <c r="AM60" s="35" t="s">
        <v>60</v>
      </c>
      <c r="AN60" s="35"/>
      <c r="AO60" s="35" t="s">
        <v>2853</v>
      </c>
      <c r="AP60" s="38" t="s">
        <v>60</v>
      </c>
      <c r="AQ60" s="35">
        <v>2</v>
      </c>
      <c r="AR60" s="36" t="s">
        <v>138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60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3337</v>
      </c>
    </row>
    <row r="61" spans="1:65" s="39" customFormat="1" x14ac:dyDescent="0.25">
      <c r="A61" s="35"/>
      <c r="B61" s="35" t="s">
        <v>432</v>
      </c>
      <c r="C61" s="35" t="s">
        <v>275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3333</v>
      </c>
      <c r="H61" s="35" t="s">
        <v>103</v>
      </c>
      <c r="I61" s="36" t="str">
        <f>VLOOKUP(H61,forceSet!$B$5:$D$46,3,0)</f>
        <v>孔融</v>
      </c>
      <c r="J61" s="36" t="s">
        <v>103</v>
      </c>
      <c r="K61" s="36" t="str">
        <f>VLOOKUP(J61,corpsSet!$B$5:$C$46,2,0)</f>
        <v>孔融</v>
      </c>
      <c r="L61" s="36" t="s">
        <v>30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185</v>
      </c>
      <c r="W61" s="31" t="s">
        <v>3348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2855</v>
      </c>
      <c r="AE61" s="35" t="s">
        <v>571</v>
      </c>
      <c r="AF61" s="35" t="s">
        <v>60</v>
      </c>
      <c r="AG61" s="36">
        <v>5000</v>
      </c>
      <c r="AH61" s="36">
        <v>30000</v>
      </c>
      <c r="AI61" s="35" t="s">
        <v>950</v>
      </c>
      <c r="AJ61" s="35" t="s">
        <v>263</v>
      </c>
      <c r="AK61" s="35" t="s">
        <v>3290</v>
      </c>
      <c r="AL61" s="35" t="s">
        <v>60</v>
      </c>
      <c r="AM61" s="35" t="s">
        <v>60</v>
      </c>
      <c r="AN61" s="35"/>
      <c r="AO61" s="35" t="s">
        <v>2853</v>
      </c>
      <c r="AP61" s="38" t="s">
        <v>60</v>
      </c>
      <c r="AQ61" s="35">
        <v>2</v>
      </c>
      <c r="AR61" s="36" t="s">
        <v>138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60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3337</v>
      </c>
    </row>
    <row r="62" spans="1:65" s="39" customFormat="1" x14ac:dyDescent="0.25">
      <c r="A62" s="35"/>
      <c r="B62" s="35" t="s">
        <v>485</v>
      </c>
      <c r="C62" s="35" t="s">
        <v>279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3333</v>
      </c>
      <c r="H62" s="35" t="s">
        <v>103</v>
      </c>
      <c r="I62" s="36" t="str">
        <f>VLOOKUP(H62,forceSet!$B$5:$D$46,3,0)</f>
        <v>孔融</v>
      </c>
      <c r="J62" s="35" t="s">
        <v>103</v>
      </c>
      <c r="K62" s="36" t="str">
        <f>VLOOKUP(J62,corpsSet!$B$5:$C$46,2,0)</f>
        <v>孔融</v>
      </c>
      <c r="L62" s="36" t="s">
        <v>30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185</v>
      </c>
      <c r="W62" s="31" t="s">
        <v>3348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2855</v>
      </c>
      <c r="AE62" s="35" t="s">
        <v>263</v>
      </c>
      <c r="AF62" s="35" t="s">
        <v>60</v>
      </c>
      <c r="AG62" s="36">
        <v>5000</v>
      </c>
      <c r="AH62" s="36">
        <v>30000</v>
      </c>
      <c r="AI62" s="35" t="s">
        <v>120</v>
      </c>
      <c r="AJ62" s="35" t="s">
        <v>143</v>
      </c>
      <c r="AK62" s="35" t="s">
        <v>3290</v>
      </c>
      <c r="AL62" s="35" t="s">
        <v>60</v>
      </c>
      <c r="AM62" s="35" t="s">
        <v>60</v>
      </c>
      <c r="AN62" s="35"/>
      <c r="AO62" s="35" t="s">
        <v>2853</v>
      </c>
      <c r="AP62" s="38" t="s">
        <v>60</v>
      </c>
      <c r="AQ62" s="35">
        <v>2</v>
      </c>
      <c r="AR62" s="36" t="s">
        <v>138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60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3337</v>
      </c>
    </row>
    <row r="63" spans="1:65" s="39" customFormat="1" x14ac:dyDescent="0.25">
      <c r="A63" s="35"/>
      <c r="B63" s="35" t="s">
        <v>486</v>
      </c>
      <c r="C63" s="35" t="s">
        <v>280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3333</v>
      </c>
      <c r="H63" s="35" t="s">
        <v>24</v>
      </c>
      <c r="I63" s="36" t="str">
        <f>VLOOKUP(H63,forceSet!$B$5:$D$46,3,0)</f>
        <v>吕布</v>
      </c>
      <c r="J63" s="36" t="s">
        <v>24</v>
      </c>
      <c r="K63" s="36" t="str">
        <f>VLOOKUP(J63,corpsSet!$B$5:$C$46,2,0)</f>
        <v>吕布</v>
      </c>
      <c r="L63" s="36" t="s">
        <v>29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185</v>
      </c>
      <c r="W63" s="31" t="s">
        <v>3348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2855</v>
      </c>
      <c r="AE63" s="35" t="s">
        <v>571</v>
      </c>
      <c r="AF63" s="35" t="s">
        <v>60</v>
      </c>
      <c r="AG63" s="36">
        <v>5000</v>
      </c>
      <c r="AH63" s="36">
        <v>30000</v>
      </c>
      <c r="AI63" s="35" t="s">
        <v>950</v>
      </c>
      <c r="AJ63" s="35" t="s">
        <v>263</v>
      </c>
      <c r="AK63" s="35" t="s">
        <v>3290</v>
      </c>
      <c r="AL63" s="35" t="s">
        <v>60</v>
      </c>
      <c r="AM63" s="35" t="s">
        <v>60</v>
      </c>
      <c r="AN63" s="35"/>
      <c r="AO63" s="35" t="s">
        <v>2853</v>
      </c>
      <c r="AP63" s="38" t="s">
        <v>60</v>
      </c>
      <c r="AQ63" s="35">
        <v>2</v>
      </c>
      <c r="AR63" s="36" t="s">
        <v>138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60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3337</v>
      </c>
    </row>
    <row r="64" spans="1:65" s="39" customFormat="1" x14ac:dyDescent="0.25">
      <c r="A64" s="35"/>
      <c r="B64" s="35" t="s">
        <v>93</v>
      </c>
      <c r="C64" s="35" t="s">
        <v>282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3333</v>
      </c>
      <c r="H64" s="35" t="s">
        <v>24</v>
      </c>
      <c r="I64" s="36" t="str">
        <f>VLOOKUP(H64,forceSet!$B$5:$D$46,3,0)</f>
        <v>吕布</v>
      </c>
      <c r="J64" s="36" t="s">
        <v>24</v>
      </c>
      <c r="K64" s="36" t="str">
        <f>VLOOKUP(J64,corpsSet!$B$5:$C$46,2,0)</f>
        <v>吕布</v>
      </c>
      <c r="L64" s="36" t="s">
        <v>29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185</v>
      </c>
      <c r="W64" s="31" t="s">
        <v>3348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2855</v>
      </c>
      <c r="AE64" s="35" t="s">
        <v>263</v>
      </c>
      <c r="AF64" s="35" t="s">
        <v>60</v>
      </c>
      <c r="AG64" s="36">
        <v>5000</v>
      </c>
      <c r="AH64" s="36">
        <v>30000</v>
      </c>
      <c r="AI64" s="35" t="s">
        <v>120</v>
      </c>
      <c r="AJ64" s="35" t="s">
        <v>143</v>
      </c>
      <c r="AK64" s="35" t="s">
        <v>3290</v>
      </c>
      <c r="AL64" s="35" t="s">
        <v>60</v>
      </c>
      <c r="AM64" s="35" t="s">
        <v>60</v>
      </c>
      <c r="AN64" s="35"/>
      <c r="AO64" s="35" t="s">
        <v>2853</v>
      </c>
      <c r="AP64" s="38" t="s">
        <v>60</v>
      </c>
      <c r="AQ64" s="35">
        <v>3</v>
      </c>
      <c r="AR64" s="36" t="s">
        <v>151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60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3337</v>
      </c>
    </row>
    <row r="65" spans="1:65" s="39" customFormat="1" x14ac:dyDescent="0.25">
      <c r="A65" s="35"/>
      <c r="B65" s="35" t="s">
        <v>269</v>
      </c>
      <c r="C65" s="35" t="s">
        <v>285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3333</v>
      </c>
      <c r="H65" s="35" t="s">
        <v>3350</v>
      </c>
      <c r="I65" s="36" t="str">
        <f>VLOOKUP(H65,forceSet!$B$5:$D$46,3,0)</f>
        <v>袁术</v>
      </c>
      <c r="J65" s="35" t="s">
        <v>3350</v>
      </c>
      <c r="K65" s="36" t="str">
        <f>VLOOKUP(J65,corpsSet!$B$5:$C$46,2,0)</f>
        <v>袁术</v>
      </c>
      <c r="L65" s="36" t="s">
        <v>200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185</v>
      </c>
      <c r="W65" s="31" t="s">
        <v>3348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2855</v>
      </c>
      <c r="AE65" s="35" t="s">
        <v>263</v>
      </c>
      <c r="AF65" s="35" t="s">
        <v>60</v>
      </c>
      <c r="AG65" s="36">
        <v>5000</v>
      </c>
      <c r="AH65" s="36">
        <v>30000</v>
      </c>
      <c r="AI65" s="35" t="s">
        <v>120</v>
      </c>
      <c r="AJ65" s="35" t="s">
        <v>143</v>
      </c>
      <c r="AK65" s="35" t="s">
        <v>3290</v>
      </c>
      <c r="AL65" s="35" t="s">
        <v>60</v>
      </c>
      <c r="AM65" s="35" t="s">
        <v>60</v>
      </c>
      <c r="AN65" s="35"/>
      <c r="AO65" s="35" t="s">
        <v>2853</v>
      </c>
      <c r="AP65" s="38" t="s">
        <v>60</v>
      </c>
      <c r="AQ65" s="35">
        <v>3</v>
      </c>
      <c r="AR65" s="36" t="s">
        <v>151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60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3337</v>
      </c>
    </row>
    <row r="66" spans="1:65" s="39" customFormat="1" x14ac:dyDescent="0.25">
      <c r="A66" s="35"/>
      <c r="B66" s="35" t="s">
        <v>423</v>
      </c>
      <c r="C66" s="35" t="s">
        <v>286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3333</v>
      </c>
      <c r="H66" s="35" t="s">
        <v>25</v>
      </c>
      <c r="I66" s="36" t="str">
        <f>VLOOKUP(H66,forceSet!$B$5:$D$46,3,0)</f>
        <v>张角</v>
      </c>
      <c r="J66" s="36" t="s">
        <v>25</v>
      </c>
      <c r="K66" s="36" t="str">
        <f>VLOOKUP(J66,corpsSet!$B$5:$C$46,2,0)</f>
        <v>张角</v>
      </c>
      <c r="L66" s="36" t="s">
        <v>20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185</v>
      </c>
      <c r="W66" s="31" t="s">
        <v>3348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2855</v>
      </c>
      <c r="AE66" s="35" t="s">
        <v>263</v>
      </c>
      <c r="AF66" s="35" t="s">
        <v>60</v>
      </c>
      <c r="AG66" s="36">
        <v>5000</v>
      </c>
      <c r="AH66" s="36">
        <v>30000</v>
      </c>
      <c r="AI66" s="35" t="s">
        <v>120</v>
      </c>
      <c r="AJ66" s="35" t="s">
        <v>143</v>
      </c>
      <c r="AK66" s="35" t="s">
        <v>3290</v>
      </c>
      <c r="AL66" s="35" t="s">
        <v>60</v>
      </c>
      <c r="AM66" s="35" t="s">
        <v>60</v>
      </c>
      <c r="AN66" s="35"/>
      <c r="AO66" s="35" t="s">
        <v>2853</v>
      </c>
      <c r="AP66" s="38" t="s">
        <v>60</v>
      </c>
      <c r="AQ66" s="35">
        <v>3</v>
      </c>
      <c r="AR66" s="36" t="s">
        <v>151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60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3337</v>
      </c>
    </row>
    <row r="67" spans="1:65" s="39" customFormat="1" x14ac:dyDescent="0.25">
      <c r="A67" s="35"/>
      <c r="B67" s="35" t="s">
        <v>382</v>
      </c>
      <c r="C67" s="35" t="s">
        <v>288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3333</v>
      </c>
      <c r="H67" s="35" t="s">
        <v>104</v>
      </c>
      <c r="I67" s="36" t="str">
        <f>VLOOKUP(H67,forceSet!$B$5:$D$46,3,0)</f>
        <v>刘岱</v>
      </c>
      <c r="J67" s="35" t="s">
        <v>104</v>
      </c>
      <c r="K67" s="36" t="str">
        <f>VLOOKUP(J67,corpsSet!$B$5:$C$46,2,0)</f>
        <v>刘岱</v>
      </c>
      <c r="L67" s="36" t="s">
        <v>41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185</v>
      </c>
      <c r="W67" s="31" t="s">
        <v>3348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2855</v>
      </c>
      <c r="AE67" s="35" t="s">
        <v>263</v>
      </c>
      <c r="AF67" s="35" t="s">
        <v>60</v>
      </c>
      <c r="AG67" s="36">
        <v>5000</v>
      </c>
      <c r="AH67" s="36">
        <v>30000</v>
      </c>
      <c r="AI67" s="35" t="s">
        <v>120</v>
      </c>
      <c r="AJ67" s="35" t="s">
        <v>143</v>
      </c>
      <c r="AK67" s="35" t="s">
        <v>3290</v>
      </c>
      <c r="AL67" s="35" t="s">
        <v>60</v>
      </c>
      <c r="AM67" s="35" t="s">
        <v>60</v>
      </c>
      <c r="AN67" s="35"/>
      <c r="AO67" s="35" t="s">
        <v>2853</v>
      </c>
      <c r="AP67" s="38" t="s">
        <v>60</v>
      </c>
      <c r="AQ67" s="35">
        <v>3</v>
      </c>
      <c r="AR67" s="36" t="s">
        <v>151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60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3337</v>
      </c>
    </row>
    <row r="68" spans="1:65" s="39" customFormat="1" x14ac:dyDescent="0.25">
      <c r="A68" s="35"/>
      <c r="B68" s="35" t="s">
        <v>444</v>
      </c>
      <c r="C68" s="35" t="s">
        <v>289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3333</v>
      </c>
      <c r="H68" s="35" t="s">
        <v>18</v>
      </c>
      <c r="I68" s="36" t="str">
        <f>VLOOKUP(H68,forceSet!$B$5:$D$46,3,0)</f>
        <v>司马懿</v>
      </c>
      <c r="J68" s="36" t="s">
        <v>18</v>
      </c>
      <c r="K68" s="36" t="str">
        <f>VLOOKUP(J68,corpsSet!$B$5:$C$46,2,0)</f>
        <v>司马懿</v>
      </c>
      <c r="L68" s="36" t="s">
        <v>18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185</v>
      </c>
      <c r="W68" s="31" t="s">
        <v>3348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2855</v>
      </c>
      <c r="AE68" s="35" t="s">
        <v>263</v>
      </c>
      <c r="AF68" s="35" t="s">
        <v>60</v>
      </c>
      <c r="AG68" s="36">
        <v>5000</v>
      </c>
      <c r="AH68" s="36">
        <v>30000</v>
      </c>
      <c r="AI68" s="35" t="s">
        <v>120</v>
      </c>
      <c r="AJ68" s="35" t="s">
        <v>143</v>
      </c>
      <c r="AK68" s="35" t="s">
        <v>3290</v>
      </c>
      <c r="AL68" s="35" t="s">
        <v>60</v>
      </c>
      <c r="AM68" s="35" t="s">
        <v>60</v>
      </c>
      <c r="AN68" s="35"/>
      <c r="AO68" s="35" t="s">
        <v>2853</v>
      </c>
      <c r="AP68" s="38" t="s">
        <v>60</v>
      </c>
      <c r="AQ68" s="35">
        <v>4</v>
      </c>
      <c r="AR68" s="36" t="s">
        <v>163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60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3337</v>
      </c>
    </row>
    <row r="69" spans="1:65" s="39" customFormat="1" x14ac:dyDescent="0.25">
      <c r="A69" s="35"/>
      <c r="B69" s="35" t="s">
        <v>257</v>
      </c>
      <c r="C69" s="35" t="s">
        <v>290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3333</v>
      </c>
      <c r="H69" s="35" t="s">
        <v>18</v>
      </c>
      <c r="I69" s="36" t="str">
        <f>VLOOKUP(H69,forceSet!$B$5:$D$46,3,0)</f>
        <v>司马懿</v>
      </c>
      <c r="J69" s="36" t="s">
        <v>18</v>
      </c>
      <c r="K69" s="36" t="str">
        <f>VLOOKUP(J69,corpsSet!$B$5:$C$46,2,0)</f>
        <v>司马懿</v>
      </c>
      <c r="L69" s="36" t="s">
        <v>18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185</v>
      </c>
      <c r="W69" s="31" t="s">
        <v>3348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2855</v>
      </c>
      <c r="AE69" s="35" t="s">
        <v>263</v>
      </c>
      <c r="AF69" s="35" t="s">
        <v>60</v>
      </c>
      <c r="AG69" s="36">
        <v>5000</v>
      </c>
      <c r="AH69" s="36">
        <v>30000</v>
      </c>
      <c r="AI69" s="35" t="s">
        <v>120</v>
      </c>
      <c r="AJ69" s="35" t="s">
        <v>143</v>
      </c>
      <c r="AK69" s="35" t="s">
        <v>3290</v>
      </c>
      <c r="AL69" s="35" t="s">
        <v>60</v>
      </c>
      <c r="AM69" s="35" t="s">
        <v>60</v>
      </c>
      <c r="AN69" s="35"/>
      <c r="AO69" s="35" t="s">
        <v>2853</v>
      </c>
      <c r="AP69" s="38" t="s">
        <v>60</v>
      </c>
      <c r="AQ69" s="35">
        <v>4</v>
      </c>
      <c r="AR69" s="36" t="s">
        <v>163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60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3337</v>
      </c>
    </row>
    <row r="70" spans="1:65" s="39" customFormat="1" x14ac:dyDescent="0.25">
      <c r="A70" s="35"/>
      <c r="B70" s="35" t="s">
        <v>404</v>
      </c>
      <c r="C70" s="35" t="s">
        <v>3328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3333</v>
      </c>
      <c r="H70" s="35" t="s">
        <v>208</v>
      </c>
      <c r="I70" s="36" t="str">
        <f>VLOOKUP(H70,forceSet!$B$5:$D$46,3,0)</f>
        <v>何进</v>
      </c>
      <c r="J70" s="36" t="s">
        <v>208</v>
      </c>
      <c r="K70" s="36" t="str">
        <f>VLOOKUP(J70,corpsSet!$B$5:$C$46,2,0)</f>
        <v>何进</v>
      </c>
      <c r="L70" s="36" t="s">
        <v>104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185</v>
      </c>
      <c r="W70" s="31" t="s">
        <v>3348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2855</v>
      </c>
      <c r="AE70" s="35" t="s">
        <v>571</v>
      </c>
      <c r="AF70" s="35" t="s">
        <v>60</v>
      </c>
      <c r="AG70" s="36">
        <v>5000</v>
      </c>
      <c r="AH70" s="36">
        <v>30000</v>
      </c>
      <c r="AI70" s="35" t="s">
        <v>950</v>
      </c>
      <c r="AJ70" s="35" t="s">
        <v>263</v>
      </c>
      <c r="AK70" s="35" t="s">
        <v>3290</v>
      </c>
      <c r="AL70" s="35" t="s">
        <v>60</v>
      </c>
      <c r="AM70" s="35" t="s">
        <v>60</v>
      </c>
      <c r="AN70" s="35"/>
      <c r="AO70" s="35" t="s">
        <v>2853</v>
      </c>
      <c r="AP70" s="38" t="s">
        <v>60</v>
      </c>
      <c r="AQ70" s="35">
        <v>4</v>
      </c>
      <c r="AR70" s="36" t="s">
        <v>163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60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3337</v>
      </c>
    </row>
    <row r="71" spans="1:65" s="39" customFormat="1" x14ac:dyDescent="0.25">
      <c r="A71" s="35"/>
      <c r="B71" s="35" t="s">
        <v>445</v>
      </c>
      <c r="C71" s="35" t="s">
        <v>291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3333</v>
      </c>
      <c r="H71" s="35" t="s">
        <v>208</v>
      </c>
      <c r="I71" s="36" t="str">
        <f>VLOOKUP(H71,forceSet!$B$5:$D$46,3,0)</f>
        <v>何进</v>
      </c>
      <c r="J71" s="36" t="s">
        <v>208</v>
      </c>
      <c r="K71" s="36" t="str">
        <f>VLOOKUP(J71,corpsSet!$B$5:$C$46,2,0)</f>
        <v>何进</v>
      </c>
      <c r="L71" s="36" t="s">
        <v>104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185</v>
      </c>
      <c r="W71" s="31" t="s">
        <v>3348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2855</v>
      </c>
      <c r="AE71" s="35" t="s">
        <v>263</v>
      </c>
      <c r="AF71" s="35" t="s">
        <v>60</v>
      </c>
      <c r="AG71" s="36">
        <v>5000</v>
      </c>
      <c r="AH71" s="36">
        <v>30000</v>
      </c>
      <c r="AI71" s="35" t="s">
        <v>120</v>
      </c>
      <c r="AJ71" s="35" t="s">
        <v>143</v>
      </c>
      <c r="AK71" s="35" t="s">
        <v>3290</v>
      </c>
      <c r="AL71" s="35" t="s">
        <v>60</v>
      </c>
      <c r="AM71" s="35" t="s">
        <v>60</v>
      </c>
      <c r="AN71" s="35"/>
      <c r="AO71" s="35" t="s">
        <v>2853</v>
      </c>
      <c r="AP71" s="38" t="s">
        <v>60</v>
      </c>
      <c r="AQ71" s="35">
        <v>4</v>
      </c>
      <c r="AR71" s="36" t="s">
        <v>163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60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3337</v>
      </c>
    </row>
    <row r="72" spans="1:65" s="39" customFormat="1" x14ac:dyDescent="0.25">
      <c r="A72" s="35"/>
      <c r="B72" s="35" t="s">
        <v>321</v>
      </c>
      <c r="C72" s="35" t="s">
        <v>292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3333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105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185</v>
      </c>
      <c r="W72" s="31" t="s">
        <v>3348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2855</v>
      </c>
      <c r="AE72" s="35" t="s">
        <v>60</v>
      </c>
      <c r="AF72" s="35" t="s">
        <v>60</v>
      </c>
      <c r="AG72" s="36">
        <v>5000</v>
      </c>
      <c r="AH72" s="36">
        <v>30000</v>
      </c>
      <c r="AI72" s="35" t="s">
        <v>60</v>
      </c>
      <c r="AJ72" s="35" t="s">
        <v>60</v>
      </c>
      <c r="AK72" s="35" t="s">
        <v>3290</v>
      </c>
      <c r="AL72" s="35" t="s">
        <v>60</v>
      </c>
      <c r="AM72" s="35" t="s">
        <v>60</v>
      </c>
      <c r="AN72" s="35"/>
      <c r="AO72" s="35" t="s">
        <v>2853</v>
      </c>
      <c r="AP72" s="38" t="s">
        <v>60</v>
      </c>
      <c r="AQ72" s="35">
        <v>5</v>
      </c>
      <c r="AR72" s="36" t="s">
        <v>173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60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3337</v>
      </c>
    </row>
    <row r="73" spans="1:65" s="39" customFormat="1" x14ac:dyDescent="0.25">
      <c r="A73" s="35"/>
      <c r="B73" s="35" t="s">
        <v>454</v>
      </c>
      <c r="C73" s="35" t="s">
        <v>293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3333</v>
      </c>
      <c r="H73" s="35" t="s">
        <v>193</v>
      </c>
      <c r="I73" s="36" t="str">
        <f>VLOOKUP(H73,forceSet!$B$5:$D$46,3,0)</f>
        <v>刘繇</v>
      </c>
      <c r="J73" s="36" t="s">
        <v>193</v>
      </c>
      <c r="K73" s="36" t="str">
        <f>VLOOKUP(J73,corpsSet!$B$5:$C$46,2,0)</f>
        <v>刘繇</v>
      </c>
      <c r="L73" s="36" t="s">
        <v>189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185</v>
      </c>
      <c r="W73" s="31" t="s">
        <v>3348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2855</v>
      </c>
      <c r="AE73" s="35" t="s">
        <v>263</v>
      </c>
      <c r="AF73" s="35" t="s">
        <v>60</v>
      </c>
      <c r="AG73" s="36">
        <v>5000</v>
      </c>
      <c r="AH73" s="36">
        <v>30000</v>
      </c>
      <c r="AI73" s="35" t="s">
        <v>120</v>
      </c>
      <c r="AJ73" s="35" t="s">
        <v>143</v>
      </c>
      <c r="AK73" s="35" t="s">
        <v>3290</v>
      </c>
      <c r="AL73" s="35" t="s">
        <v>60</v>
      </c>
      <c r="AM73" s="35" t="s">
        <v>60</v>
      </c>
      <c r="AN73" s="35"/>
      <c r="AO73" s="35" t="s">
        <v>2853</v>
      </c>
      <c r="AP73" s="38" t="s">
        <v>60</v>
      </c>
      <c r="AQ73" s="35">
        <v>6</v>
      </c>
      <c r="AR73" s="36" t="s">
        <v>177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60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3337</v>
      </c>
    </row>
    <row r="74" spans="1:65" s="39" customFormat="1" x14ac:dyDescent="0.25">
      <c r="A74" s="35"/>
      <c r="B74" s="35" t="s">
        <v>153</v>
      </c>
      <c r="C74" s="35" t="s">
        <v>295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3333</v>
      </c>
      <c r="H74" s="35" t="s">
        <v>193</v>
      </c>
      <c r="I74" s="36" t="str">
        <f>VLOOKUP(H74,forceSet!$B$5:$D$46,3,0)</f>
        <v>刘繇</v>
      </c>
      <c r="J74" s="36" t="s">
        <v>193</v>
      </c>
      <c r="K74" s="36" t="str">
        <f>VLOOKUP(J74,corpsSet!$B$5:$C$46,2,0)</f>
        <v>刘繇</v>
      </c>
      <c r="L74" s="36" t="s">
        <v>189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185</v>
      </c>
      <c r="W74" s="31" t="s">
        <v>3348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2855</v>
      </c>
      <c r="AE74" s="35" t="s">
        <v>263</v>
      </c>
      <c r="AF74" s="35" t="s">
        <v>60</v>
      </c>
      <c r="AG74" s="36">
        <v>5000</v>
      </c>
      <c r="AH74" s="36">
        <v>30000</v>
      </c>
      <c r="AI74" s="35" t="s">
        <v>120</v>
      </c>
      <c r="AJ74" s="35" t="s">
        <v>143</v>
      </c>
      <c r="AK74" s="35" t="s">
        <v>3290</v>
      </c>
      <c r="AL74" s="35" t="s">
        <v>60</v>
      </c>
      <c r="AM74" s="35" t="s">
        <v>60</v>
      </c>
      <c r="AN74" s="35"/>
      <c r="AO74" s="35" t="s">
        <v>2853</v>
      </c>
      <c r="AP74" s="38" t="s">
        <v>60</v>
      </c>
      <c r="AQ74" s="35">
        <v>6</v>
      </c>
      <c r="AR74" s="36" t="s">
        <v>177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60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3337</v>
      </c>
    </row>
    <row r="75" spans="1:65" s="39" customFormat="1" x14ac:dyDescent="0.25">
      <c r="A75" s="35"/>
      <c r="B75" s="35" t="s">
        <v>515</v>
      </c>
      <c r="C75" s="35" t="s">
        <v>296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3333</v>
      </c>
      <c r="H75" s="35" t="s">
        <v>189</v>
      </c>
      <c r="I75" s="36" t="str">
        <f>VLOOKUP(H75,forceSet!$B$5:$D$46,3,0)</f>
        <v>严白虎</v>
      </c>
      <c r="J75" s="36" t="s">
        <v>189</v>
      </c>
      <c r="K75" s="36" t="str">
        <f>VLOOKUP(J75,corpsSet!$B$5:$C$46,2,0)</f>
        <v>严白虎</v>
      </c>
      <c r="L75" s="36" t="s">
        <v>193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185</v>
      </c>
      <c r="W75" s="31" t="s">
        <v>3348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2855</v>
      </c>
      <c r="AE75" s="35" t="s">
        <v>263</v>
      </c>
      <c r="AF75" s="35" t="s">
        <v>60</v>
      </c>
      <c r="AG75" s="36">
        <v>5000</v>
      </c>
      <c r="AH75" s="36">
        <v>30000</v>
      </c>
      <c r="AI75" s="35" t="s">
        <v>120</v>
      </c>
      <c r="AJ75" s="35" t="s">
        <v>143</v>
      </c>
      <c r="AK75" s="35" t="s">
        <v>3290</v>
      </c>
      <c r="AL75" s="35" t="s">
        <v>60</v>
      </c>
      <c r="AM75" s="35" t="s">
        <v>60</v>
      </c>
      <c r="AN75" s="35"/>
      <c r="AO75" s="35" t="s">
        <v>2853</v>
      </c>
      <c r="AP75" s="38" t="s">
        <v>60</v>
      </c>
      <c r="AQ75" s="35">
        <v>6</v>
      </c>
      <c r="AR75" s="36" t="s">
        <v>177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60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3337</v>
      </c>
    </row>
    <row r="76" spans="1:65" s="39" customFormat="1" x14ac:dyDescent="0.25">
      <c r="A76" s="35"/>
      <c r="B76" s="35" t="s">
        <v>374</v>
      </c>
      <c r="C76" s="35" t="s">
        <v>297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3333</v>
      </c>
      <c r="H76" s="35" t="s">
        <v>10</v>
      </c>
      <c r="I76" s="36" t="str">
        <f>VLOOKUP(H76,forceSet!$B$5:$D$46,3,0)</f>
        <v>王朗</v>
      </c>
      <c r="J76" s="36" t="s">
        <v>10</v>
      </c>
      <c r="K76" s="36" t="str">
        <f>VLOOKUP(J76,corpsSet!$B$5:$C$46,2,0)</f>
        <v>王朗</v>
      </c>
      <c r="L76" s="36" t="s">
        <v>196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185</v>
      </c>
      <c r="W76" s="31" t="s">
        <v>3348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2855</v>
      </c>
      <c r="AE76" s="35" t="s">
        <v>263</v>
      </c>
      <c r="AF76" s="35" t="s">
        <v>60</v>
      </c>
      <c r="AG76" s="36">
        <v>5000</v>
      </c>
      <c r="AH76" s="36">
        <v>30000</v>
      </c>
      <c r="AI76" s="35" t="s">
        <v>120</v>
      </c>
      <c r="AJ76" s="35" t="s">
        <v>143</v>
      </c>
      <c r="AK76" s="35" t="s">
        <v>3290</v>
      </c>
      <c r="AL76" s="35" t="s">
        <v>60</v>
      </c>
      <c r="AM76" s="35" t="s">
        <v>60</v>
      </c>
      <c r="AN76" s="35"/>
      <c r="AO76" s="35" t="s">
        <v>2853</v>
      </c>
      <c r="AP76" s="38" t="s">
        <v>60</v>
      </c>
      <c r="AQ76" s="35">
        <v>7</v>
      </c>
      <c r="AR76" s="36" t="s">
        <v>182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60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3337</v>
      </c>
    </row>
    <row r="77" spans="1:65" s="39" customFormat="1" x14ac:dyDescent="0.25">
      <c r="A77" s="35"/>
      <c r="B77" s="35" t="s">
        <v>261</v>
      </c>
      <c r="C77" s="35" t="s">
        <v>298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3333</v>
      </c>
      <c r="H77" s="35" t="s">
        <v>29</v>
      </c>
      <c r="I77" s="36" t="str">
        <f>VLOOKUP(H77,forceSet!$B$5:$D$46,3,0)</f>
        <v>袁术</v>
      </c>
      <c r="J77" s="36" t="s">
        <v>29</v>
      </c>
      <c r="K77" s="36" t="str">
        <f>VLOOKUP(J77,corpsSet!$B$5:$C$46,2,0)</f>
        <v>袁术</v>
      </c>
      <c r="L77" s="36" t="s">
        <v>200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185</v>
      </c>
      <c r="W77" s="31" t="s">
        <v>3348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2855</v>
      </c>
      <c r="AE77" s="35" t="s">
        <v>263</v>
      </c>
      <c r="AF77" s="35" t="s">
        <v>60</v>
      </c>
      <c r="AG77" s="36">
        <v>5000</v>
      </c>
      <c r="AH77" s="36">
        <v>30000</v>
      </c>
      <c r="AI77" s="35" t="s">
        <v>120</v>
      </c>
      <c r="AJ77" s="35" t="s">
        <v>143</v>
      </c>
      <c r="AK77" s="35" t="s">
        <v>3290</v>
      </c>
      <c r="AL77" s="35" t="s">
        <v>60</v>
      </c>
      <c r="AM77" s="35" t="s">
        <v>60</v>
      </c>
      <c r="AN77" s="35"/>
      <c r="AO77" s="35" t="s">
        <v>2853</v>
      </c>
      <c r="AP77" s="38" t="s">
        <v>60</v>
      </c>
      <c r="AQ77" s="35">
        <v>7</v>
      </c>
      <c r="AR77" s="36" t="s">
        <v>182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60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3337</v>
      </c>
    </row>
    <row r="78" spans="1:65" s="39" customFormat="1" x14ac:dyDescent="0.25">
      <c r="A78" s="35"/>
      <c r="B78" s="35" t="s">
        <v>367</v>
      </c>
      <c r="C78" s="35" t="s">
        <v>299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3333</v>
      </c>
      <c r="H78" s="35" t="s">
        <v>31</v>
      </c>
      <c r="I78" s="36" t="str">
        <f>VLOOKUP(H78,forceSet!$B$5:$D$46,3,0)</f>
        <v>孙坚</v>
      </c>
      <c r="J78" s="36" t="s">
        <v>31</v>
      </c>
      <c r="K78" s="36" t="str">
        <f>VLOOKUP(J78,corpsSet!$B$5:$C$46,2,0)</f>
        <v>孙坚</v>
      </c>
      <c r="L78" s="36" t="s">
        <v>204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185</v>
      </c>
      <c r="W78" s="31" t="s">
        <v>3348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2855</v>
      </c>
      <c r="AE78" s="35" t="s">
        <v>263</v>
      </c>
      <c r="AF78" s="35" t="s">
        <v>60</v>
      </c>
      <c r="AG78" s="36">
        <v>5000</v>
      </c>
      <c r="AH78" s="36">
        <v>30000</v>
      </c>
      <c r="AI78" s="35" t="s">
        <v>120</v>
      </c>
      <c r="AJ78" s="35" t="s">
        <v>143</v>
      </c>
      <c r="AK78" s="35" t="s">
        <v>3290</v>
      </c>
      <c r="AL78" s="35" t="s">
        <v>60</v>
      </c>
      <c r="AM78" s="35" t="s">
        <v>60</v>
      </c>
      <c r="AN78" s="35"/>
      <c r="AO78" s="35" t="s">
        <v>2853</v>
      </c>
      <c r="AP78" s="38" t="s">
        <v>60</v>
      </c>
      <c r="AQ78" s="35">
        <v>7</v>
      </c>
      <c r="AR78" s="36" t="s">
        <v>182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60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3337</v>
      </c>
    </row>
    <row r="79" spans="1:65" s="39" customFormat="1" x14ac:dyDescent="0.25">
      <c r="A79" s="35"/>
      <c r="B79" s="35" t="s">
        <v>481</v>
      </c>
      <c r="C79" s="35" t="s">
        <v>301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3333</v>
      </c>
      <c r="H79" s="35" t="s">
        <v>31</v>
      </c>
      <c r="I79" s="36" t="str">
        <f>VLOOKUP(H79,forceSet!$B$5:$D$46,3,0)</f>
        <v>孙坚</v>
      </c>
      <c r="J79" s="36" t="s">
        <v>31</v>
      </c>
      <c r="K79" s="36" t="str">
        <f>VLOOKUP(J79,corpsSet!$B$5:$C$46,2,0)</f>
        <v>孙坚</v>
      </c>
      <c r="L79" s="36" t="s">
        <v>204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185</v>
      </c>
      <c r="W79" s="31" t="s">
        <v>3348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2855</v>
      </c>
      <c r="AE79" s="35" t="s">
        <v>263</v>
      </c>
      <c r="AF79" s="35" t="s">
        <v>60</v>
      </c>
      <c r="AG79" s="36">
        <v>5000</v>
      </c>
      <c r="AH79" s="36">
        <v>30000</v>
      </c>
      <c r="AI79" s="35" t="s">
        <v>120</v>
      </c>
      <c r="AJ79" s="35" t="s">
        <v>143</v>
      </c>
      <c r="AK79" s="35" t="s">
        <v>3290</v>
      </c>
      <c r="AL79" s="35" t="s">
        <v>60</v>
      </c>
      <c r="AM79" s="35" t="s">
        <v>60</v>
      </c>
      <c r="AN79" s="35"/>
      <c r="AO79" s="35" t="s">
        <v>2853</v>
      </c>
      <c r="AP79" s="38" t="s">
        <v>60</v>
      </c>
      <c r="AQ79" s="35">
        <v>8</v>
      </c>
      <c r="AR79" s="36" t="s">
        <v>186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60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3337</v>
      </c>
    </row>
    <row r="80" spans="1:65" s="39" customFormat="1" x14ac:dyDescent="0.25">
      <c r="A80" s="35"/>
      <c r="B80" s="35" t="s">
        <v>434</v>
      </c>
      <c r="C80" s="35" t="s">
        <v>302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3333</v>
      </c>
      <c r="H80" s="35" t="s">
        <v>31</v>
      </c>
      <c r="I80" s="36" t="str">
        <f>VLOOKUP(H80,forceSet!$B$5:$D$46,3,0)</f>
        <v>孙坚</v>
      </c>
      <c r="J80" s="36" t="s">
        <v>31</v>
      </c>
      <c r="K80" s="36" t="str">
        <f>VLOOKUP(J80,corpsSet!$B$5:$C$46,2,0)</f>
        <v>孙坚</v>
      </c>
      <c r="L80" s="36" t="s">
        <v>204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185</v>
      </c>
      <c r="W80" s="31" t="s">
        <v>3348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2855</v>
      </c>
      <c r="AE80" s="35" t="s">
        <v>263</v>
      </c>
      <c r="AF80" s="35" t="s">
        <v>60</v>
      </c>
      <c r="AG80" s="36">
        <v>5000</v>
      </c>
      <c r="AH80" s="36">
        <v>30000</v>
      </c>
      <c r="AI80" s="35" t="s">
        <v>120</v>
      </c>
      <c r="AJ80" s="35" t="s">
        <v>143</v>
      </c>
      <c r="AK80" s="35" t="s">
        <v>3290</v>
      </c>
      <c r="AL80" s="35" t="s">
        <v>60</v>
      </c>
      <c r="AM80" s="35" t="s">
        <v>60</v>
      </c>
      <c r="AN80" s="35"/>
      <c r="AO80" s="35" t="s">
        <v>2853</v>
      </c>
      <c r="AP80" s="38" t="s">
        <v>60</v>
      </c>
      <c r="AQ80" s="35">
        <v>8</v>
      </c>
      <c r="AR80" s="36" t="s">
        <v>186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60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3337</v>
      </c>
    </row>
    <row r="81" spans="1:65" s="39" customFormat="1" x14ac:dyDescent="0.25">
      <c r="A81" s="35"/>
      <c r="B81" s="35" t="s">
        <v>422</v>
      </c>
      <c r="C81" s="35" t="s">
        <v>303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3333</v>
      </c>
      <c r="H81" s="35" t="s">
        <v>31</v>
      </c>
      <c r="I81" s="36" t="str">
        <f>VLOOKUP(H81,forceSet!$B$5:$D$46,3,0)</f>
        <v>孙坚</v>
      </c>
      <c r="J81" s="36" t="s">
        <v>31</v>
      </c>
      <c r="K81" s="36" t="str">
        <f>VLOOKUP(J81,corpsSet!$B$5:$C$46,2,0)</f>
        <v>孙坚</v>
      </c>
      <c r="L81" s="36" t="s">
        <v>204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185</v>
      </c>
      <c r="W81" s="31" t="s">
        <v>3348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2855</v>
      </c>
      <c r="AE81" s="35" t="s">
        <v>263</v>
      </c>
      <c r="AF81" s="35" t="s">
        <v>60</v>
      </c>
      <c r="AG81" s="36">
        <v>5000</v>
      </c>
      <c r="AH81" s="36">
        <v>30000</v>
      </c>
      <c r="AI81" s="35" t="s">
        <v>120</v>
      </c>
      <c r="AJ81" s="35" t="s">
        <v>143</v>
      </c>
      <c r="AK81" s="35" t="s">
        <v>3290</v>
      </c>
      <c r="AL81" s="35" t="s">
        <v>60</v>
      </c>
      <c r="AM81" s="35" t="s">
        <v>60</v>
      </c>
      <c r="AN81" s="35"/>
      <c r="AO81" s="35" t="s">
        <v>2853</v>
      </c>
      <c r="AP81" s="38" t="s">
        <v>60</v>
      </c>
      <c r="AQ81" s="35">
        <v>8</v>
      </c>
      <c r="AR81" s="36" t="s">
        <v>186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60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3337</v>
      </c>
    </row>
    <row r="82" spans="1:65" s="39" customFormat="1" x14ac:dyDescent="0.25">
      <c r="A82" s="35"/>
      <c r="B82" s="35" t="s">
        <v>431</v>
      </c>
      <c r="C82" s="35" t="s">
        <v>304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3333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25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185</v>
      </c>
      <c r="W82" s="31" t="s">
        <v>3348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2855</v>
      </c>
      <c r="AE82" s="35" t="s">
        <v>60</v>
      </c>
      <c r="AF82" s="35" t="s">
        <v>60</v>
      </c>
      <c r="AG82" s="36">
        <v>5000</v>
      </c>
      <c r="AH82" s="36">
        <v>30000</v>
      </c>
      <c r="AI82" s="35" t="s">
        <v>60</v>
      </c>
      <c r="AJ82" s="35" t="s">
        <v>60</v>
      </c>
      <c r="AK82" s="35" t="s">
        <v>3290</v>
      </c>
      <c r="AL82" s="35" t="s">
        <v>60</v>
      </c>
      <c r="AM82" s="35" t="s">
        <v>60</v>
      </c>
      <c r="AN82" s="35"/>
      <c r="AO82" s="35" t="s">
        <v>2853</v>
      </c>
      <c r="AP82" s="38" t="s">
        <v>60</v>
      </c>
      <c r="AQ82" s="35">
        <v>8</v>
      </c>
      <c r="AR82" s="36" t="s">
        <v>186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60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3337</v>
      </c>
    </row>
    <row r="83" spans="1:65" s="39" customFormat="1" x14ac:dyDescent="0.25">
      <c r="A83" s="35"/>
      <c r="B83" s="35" t="s">
        <v>88</v>
      </c>
      <c r="C83" s="35" t="s">
        <v>305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3333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208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185</v>
      </c>
      <c r="W83" s="31" t="s">
        <v>3348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2855</v>
      </c>
      <c r="AE83" s="35" t="s">
        <v>60</v>
      </c>
      <c r="AF83" s="35" t="s">
        <v>60</v>
      </c>
      <c r="AG83" s="36">
        <v>5000</v>
      </c>
      <c r="AH83" s="36">
        <v>30000</v>
      </c>
      <c r="AI83" s="35" t="s">
        <v>60</v>
      </c>
      <c r="AJ83" s="35" t="s">
        <v>60</v>
      </c>
      <c r="AK83" s="35" t="s">
        <v>3290</v>
      </c>
      <c r="AL83" s="35" t="s">
        <v>60</v>
      </c>
      <c r="AM83" s="35" t="s">
        <v>60</v>
      </c>
      <c r="AN83" s="35"/>
      <c r="AO83" s="35" t="s">
        <v>2853</v>
      </c>
      <c r="AP83" s="38" t="s">
        <v>60</v>
      </c>
      <c r="AQ83" s="35">
        <v>8</v>
      </c>
      <c r="AR83" s="36" t="s">
        <v>186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60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3337</v>
      </c>
    </row>
    <row r="84" spans="1:65" s="39" customFormat="1" x14ac:dyDescent="0.25">
      <c r="A84" s="35"/>
      <c r="B84" s="35" t="s">
        <v>329</v>
      </c>
      <c r="C84" s="35" t="s">
        <v>306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3333</v>
      </c>
      <c r="H84" s="35" t="s">
        <v>34</v>
      </c>
      <c r="I84" s="36" t="str">
        <f>VLOOKUP(H84,forceSet!$B$5:$D$46,3,0)</f>
        <v>刘表</v>
      </c>
      <c r="J84" s="36" t="s">
        <v>34</v>
      </c>
      <c r="K84" s="36" t="str">
        <f>VLOOKUP(J84,corpsSet!$B$5:$C$46,2,0)</f>
        <v>刘表</v>
      </c>
      <c r="L84" s="36" t="s">
        <v>119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185</v>
      </c>
      <c r="W84" s="31" t="s">
        <v>3348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2855</v>
      </c>
      <c r="AE84" s="35" t="s">
        <v>263</v>
      </c>
      <c r="AF84" s="35" t="s">
        <v>60</v>
      </c>
      <c r="AG84" s="36">
        <v>5000</v>
      </c>
      <c r="AH84" s="36">
        <v>30000</v>
      </c>
      <c r="AI84" s="35" t="s">
        <v>120</v>
      </c>
      <c r="AJ84" s="35" t="s">
        <v>143</v>
      </c>
      <c r="AK84" s="35" t="s">
        <v>3290</v>
      </c>
      <c r="AL84" s="35" t="s">
        <v>60</v>
      </c>
      <c r="AM84" s="35" t="s">
        <v>60</v>
      </c>
      <c r="AN84" s="35"/>
      <c r="AO84" s="35" t="s">
        <v>2853</v>
      </c>
      <c r="AP84" s="38" t="s">
        <v>60</v>
      </c>
      <c r="AQ84" s="35">
        <v>9</v>
      </c>
      <c r="AR84" s="36" t="s">
        <v>205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60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3337</v>
      </c>
    </row>
    <row r="85" spans="1:65" s="39" customFormat="1" x14ac:dyDescent="0.25">
      <c r="A85" s="35"/>
      <c r="B85" s="35" t="s">
        <v>235</v>
      </c>
      <c r="C85" s="35" t="s">
        <v>308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3333</v>
      </c>
      <c r="H85" s="35" t="s">
        <v>35</v>
      </c>
      <c r="I85" s="36" t="str">
        <f>VLOOKUP(H85,forceSet!$B$5:$D$46,3,0)</f>
        <v>刘备</v>
      </c>
      <c r="J85" s="36" t="s">
        <v>35</v>
      </c>
      <c r="K85" s="36" t="str">
        <f>VLOOKUP(J85,corpsSet!$B$5:$C$46,2,0)</f>
        <v>刘备</v>
      </c>
      <c r="L85" s="36" t="s">
        <v>213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185</v>
      </c>
      <c r="W85" s="31" t="s">
        <v>3348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2855</v>
      </c>
      <c r="AE85" s="35" t="s">
        <v>263</v>
      </c>
      <c r="AF85" s="35" t="s">
        <v>60</v>
      </c>
      <c r="AG85" s="36">
        <v>5000</v>
      </c>
      <c r="AH85" s="36">
        <v>30000</v>
      </c>
      <c r="AI85" s="35" t="s">
        <v>120</v>
      </c>
      <c r="AJ85" s="35" t="s">
        <v>143</v>
      </c>
      <c r="AK85" s="35" t="s">
        <v>3290</v>
      </c>
      <c r="AL85" s="35" t="s">
        <v>60</v>
      </c>
      <c r="AM85" s="35" t="s">
        <v>60</v>
      </c>
      <c r="AN85" s="35"/>
      <c r="AO85" s="35" t="s">
        <v>2853</v>
      </c>
      <c r="AP85" s="38" t="s">
        <v>60</v>
      </c>
      <c r="AQ85" s="35">
        <v>9</v>
      </c>
      <c r="AR85" s="36" t="s">
        <v>205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60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3337</v>
      </c>
    </row>
    <row r="86" spans="1:65" s="39" customFormat="1" x14ac:dyDescent="0.25">
      <c r="A86" s="35"/>
      <c r="B86" s="35" t="s">
        <v>554</v>
      </c>
      <c r="C86" s="35" t="s">
        <v>309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3333</v>
      </c>
      <c r="H86" s="35" t="s">
        <v>35</v>
      </c>
      <c r="I86" s="36" t="str">
        <f>VLOOKUP(H86,forceSet!$B$5:$D$46,3,0)</f>
        <v>刘备</v>
      </c>
      <c r="J86" s="36" t="s">
        <v>35</v>
      </c>
      <c r="K86" s="36" t="str">
        <f>VLOOKUP(J86,corpsSet!$B$5:$C$46,2,0)</f>
        <v>刘备</v>
      </c>
      <c r="L86" s="36" t="s">
        <v>213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185</v>
      </c>
      <c r="W86" s="31" t="s">
        <v>3348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2855</v>
      </c>
      <c r="AE86" s="35" t="s">
        <v>263</v>
      </c>
      <c r="AF86" s="35" t="s">
        <v>60</v>
      </c>
      <c r="AG86" s="36">
        <v>5000</v>
      </c>
      <c r="AH86" s="36">
        <v>30000</v>
      </c>
      <c r="AI86" s="35" t="s">
        <v>120</v>
      </c>
      <c r="AJ86" s="35" t="s">
        <v>143</v>
      </c>
      <c r="AK86" s="35" t="s">
        <v>3290</v>
      </c>
      <c r="AL86" s="35" t="s">
        <v>60</v>
      </c>
      <c r="AM86" s="35" t="s">
        <v>60</v>
      </c>
      <c r="AN86" s="35"/>
      <c r="AO86" s="35" t="s">
        <v>2853</v>
      </c>
      <c r="AP86" s="38" t="s">
        <v>60</v>
      </c>
      <c r="AQ86" s="35">
        <v>9</v>
      </c>
      <c r="AR86" s="36" t="s">
        <v>205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60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3337</v>
      </c>
    </row>
    <row r="87" spans="1:65" s="39" customFormat="1" x14ac:dyDescent="0.25">
      <c r="A87" s="35"/>
      <c r="B87" s="35" t="s">
        <v>397</v>
      </c>
      <c r="C87" s="35" t="s">
        <v>311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3333</v>
      </c>
      <c r="H87" s="35" t="s">
        <v>35</v>
      </c>
      <c r="I87" s="36" t="str">
        <f>VLOOKUP(H87,forceSet!$B$5:$D$46,3,0)</f>
        <v>刘备</v>
      </c>
      <c r="J87" s="36" t="s">
        <v>35</v>
      </c>
      <c r="K87" s="36" t="str">
        <f>VLOOKUP(J87,corpsSet!$B$5:$C$46,2,0)</f>
        <v>刘备</v>
      </c>
      <c r="L87" s="36" t="s">
        <v>213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185</v>
      </c>
      <c r="W87" s="31" t="s">
        <v>3348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2855</v>
      </c>
      <c r="AE87" s="35" t="s">
        <v>263</v>
      </c>
      <c r="AF87" s="35" t="s">
        <v>60</v>
      </c>
      <c r="AG87" s="36">
        <v>5000</v>
      </c>
      <c r="AH87" s="36">
        <v>30000</v>
      </c>
      <c r="AI87" s="35" t="s">
        <v>120</v>
      </c>
      <c r="AJ87" s="35" t="s">
        <v>143</v>
      </c>
      <c r="AK87" s="35" t="s">
        <v>3290</v>
      </c>
      <c r="AL87" s="35" t="s">
        <v>60</v>
      </c>
      <c r="AM87" s="35" t="s">
        <v>60</v>
      </c>
      <c r="AN87" s="35"/>
      <c r="AO87" s="35" t="s">
        <v>2853</v>
      </c>
      <c r="AP87" s="38" t="s">
        <v>60</v>
      </c>
      <c r="AQ87" s="35">
        <v>9</v>
      </c>
      <c r="AR87" s="36" t="s">
        <v>205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60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3337</v>
      </c>
    </row>
    <row r="88" spans="1:65" s="39" customFormat="1" x14ac:dyDescent="0.25">
      <c r="A88" s="35"/>
      <c r="B88" s="35" t="s">
        <v>391</v>
      </c>
      <c r="C88" s="35" t="s">
        <v>312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3333</v>
      </c>
      <c r="H88" s="35" t="s">
        <v>3247</v>
      </c>
      <c r="I88" s="36" t="str">
        <f>VLOOKUP(H88,forceSet!$B$5:$D$46,3,0)</f>
        <v>韩玄</v>
      </c>
      <c r="J88" s="35" t="s">
        <v>3247</v>
      </c>
      <c r="K88" s="36" t="str">
        <f>VLOOKUP(J88,corpsSet!$B$5:$C$46,2,0)</f>
        <v>韩玄</v>
      </c>
      <c r="L88" s="36" t="s">
        <v>5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185</v>
      </c>
      <c r="W88" s="31" t="s">
        <v>3348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2855</v>
      </c>
      <c r="AE88" s="35" t="s">
        <v>263</v>
      </c>
      <c r="AF88" s="35" t="s">
        <v>60</v>
      </c>
      <c r="AG88" s="36">
        <v>5000</v>
      </c>
      <c r="AH88" s="36">
        <v>30000</v>
      </c>
      <c r="AI88" s="35" t="s">
        <v>120</v>
      </c>
      <c r="AJ88" s="35" t="s">
        <v>143</v>
      </c>
      <c r="AK88" s="35" t="s">
        <v>3290</v>
      </c>
      <c r="AL88" s="35" t="s">
        <v>60</v>
      </c>
      <c r="AM88" s="35" t="s">
        <v>60</v>
      </c>
      <c r="AN88" s="35"/>
      <c r="AO88" s="35" t="s">
        <v>2853</v>
      </c>
      <c r="AP88" s="38" t="s">
        <v>60</v>
      </c>
      <c r="AQ88" s="35">
        <v>10</v>
      </c>
      <c r="AR88" s="36" t="s">
        <v>216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60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3337</v>
      </c>
    </row>
    <row r="89" spans="1:65" s="39" customFormat="1" x14ac:dyDescent="0.25">
      <c r="A89" s="35"/>
      <c r="B89" s="35" t="s">
        <v>256</v>
      </c>
      <c r="C89" s="35" t="s">
        <v>313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3333</v>
      </c>
      <c r="H89" s="35" t="s">
        <v>3281</v>
      </c>
      <c r="I89" s="36" t="str">
        <f>VLOOKUP(H89,forceSet!$B$5:$D$46,3,0)</f>
        <v>金旋</v>
      </c>
      <c r="J89" s="35" t="s">
        <v>3281</v>
      </c>
      <c r="K89" s="36" t="str">
        <f>VLOOKUP(J89,corpsSet!$B$5:$C$46,2,0)</f>
        <v>金旋</v>
      </c>
      <c r="L89" s="36" t="s">
        <v>95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185</v>
      </c>
      <c r="W89" s="31" t="s">
        <v>3348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2855</v>
      </c>
      <c r="AE89" s="35" t="s">
        <v>263</v>
      </c>
      <c r="AF89" s="35" t="s">
        <v>60</v>
      </c>
      <c r="AG89" s="36">
        <v>5000</v>
      </c>
      <c r="AH89" s="36">
        <v>30000</v>
      </c>
      <c r="AI89" s="35" t="s">
        <v>120</v>
      </c>
      <c r="AJ89" s="35" t="s">
        <v>143</v>
      </c>
      <c r="AK89" s="35" t="s">
        <v>3290</v>
      </c>
      <c r="AL89" s="35" t="s">
        <v>60</v>
      </c>
      <c r="AM89" s="35" t="s">
        <v>60</v>
      </c>
      <c r="AN89" s="35"/>
      <c r="AO89" s="35" t="s">
        <v>2853</v>
      </c>
      <c r="AP89" s="38" t="s">
        <v>60</v>
      </c>
      <c r="AQ89" s="35">
        <v>10</v>
      </c>
      <c r="AR89" s="36" t="s">
        <v>216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60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3337</v>
      </c>
    </row>
    <row r="90" spans="1:65" s="39" customFormat="1" x14ac:dyDescent="0.25">
      <c r="A90" s="35"/>
      <c r="B90" s="35" t="s">
        <v>258</v>
      </c>
      <c r="C90" s="35" t="s">
        <v>314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3333</v>
      </c>
      <c r="H90" s="35" t="s">
        <v>3281</v>
      </c>
      <c r="I90" s="36" t="str">
        <f>VLOOKUP(H90,forceSet!$B$5:$D$46,3,0)</f>
        <v>金旋</v>
      </c>
      <c r="J90" s="35" t="s">
        <v>3281</v>
      </c>
      <c r="K90" s="36" t="str">
        <f>VLOOKUP(J90,corpsSet!$B$5:$C$46,2,0)</f>
        <v>金旋</v>
      </c>
      <c r="L90" s="36" t="s">
        <v>95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185</v>
      </c>
      <c r="W90" s="31" t="s">
        <v>3348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2855</v>
      </c>
      <c r="AE90" s="36">
        <v>2000</v>
      </c>
      <c r="AF90" s="35" t="s">
        <v>60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3290</v>
      </c>
      <c r="AL90" s="35" t="s">
        <v>60</v>
      </c>
      <c r="AM90" s="35" t="s">
        <v>60</v>
      </c>
      <c r="AN90" s="35"/>
      <c r="AO90" s="35" t="s">
        <v>2853</v>
      </c>
      <c r="AP90" s="38" t="s">
        <v>60</v>
      </c>
      <c r="AQ90" s="35">
        <v>10</v>
      </c>
      <c r="AR90" s="36" t="s">
        <v>216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60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3337</v>
      </c>
    </row>
    <row r="91" spans="1:65" s="39" customFormat="1" x14ac:dyDescent="0.25">
      <c r="A91" s="35"/>
      <c r="B91" s="35" t="s">
        <v>837</v>
      </c>
      <c r="C91" s="36" t="s">
        <v>315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3333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15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185</v>
      </c>
      <c r="W91" s="31" t="s">
        <v>3348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2855</v>
      </c>
      <c r="AE91" s="36">
        <v>0</v>
      </c>
      <c r="AF91" s="35" t="s">
        <v>60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3290</v>
      </c>
      <c r="AL91" s="35" t="s">
        <v>60</v>
      </c>
      <c r="AM91" s="35" t="s">
        <v>60</v>
      </c>
      <c r="AN91" s="35"/>
      <c r="AO91" s="35" t="s">
        <v>2853</v>
      </c>
      <c r="AP91" s="38" t="s">
        <v>60</v>
      </c>
      <c r="AQ91" s="35">
        <v>10</v>
      </c>
      <c r="AR91" s="36" t="s">
        <v>216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60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3337</v>
      </c>
    </row>
    <row r="94" spans="1:65" x14ac:dyDescent="0.2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2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2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2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2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2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2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2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2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2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2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2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2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2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2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2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2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2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2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2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2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2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2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2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2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2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2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2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2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2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2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2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2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2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2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2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2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2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2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2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2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2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2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2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2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2025-11-01T13:40:51Z</dcterms:modified>
</cp:coreProperties>
</file>