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5CA27B1C-A9B0-4AB9-AA3B-A347380F43E7}" xr6:coauthVersionLast="47" xr6:coauthVersionMax="47" xr10:uidLastSave="{00000000-0000-0000-0000-000000000000}"/>
  <bookViews>
    <workbookView xWindow="-120" yWindow="-120" windowWidth="29040" windowHeight="15840" tabRatio="923" activeTab="2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7" l="1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/>
  <c r="E10" i="7"/>
  <c r="F56" i="10"/>
  <c r="E11" i="7"/>
  <c r="F306" i="10"/>
  <c r="E12" i="7"/>
  <c r="F31" i="10"/>
  <c r="E13" i="7"/>
  <c r="F78" i="10"/>
  <c r="E14" i="7"/>
  <c r="F43" i="10"/>
  <c r="E15" i="7"/>
  <c r="F570" i="10"/>
  <c r="E16" i="7"/>
  <c r="F403" i="10"/>
  <c r="E17" i="7"/>
  <c r="F642" i="10"/>
  <c r="E18" i="7"/>
  <c r="F66" i="10"/>
  <c r="E19" i="7"/>
  <c r="F189" i="10"/>
  <c r="E20" i="7"/>
  <c r="F42" i="10"/>
  <c r="E21" i="7"/>
  <c r="F79" i="10"/>
  <c r="E22" i="7"/>
  <c r="F30" i="10"/>
  <c r="E23" i="7"/>
  <c r="F307" i="10"/>
  <c r="E24" i="7"/>
  <c r="F138" i="10"/>
  <c r="E25" i="7"/>
  <c r="F114" i="10"/>
  <c r="E26" i="7"/>
  <c r="F510" i="10"/>
  <c r="E27" i="7"/>
  <c r="F402" i="10"/>
  <c r="E28" i="7"/>
  <c r="F6" i="10"/>
  <c r="E29" i="7"/>
  <c r="F55" i="10"/>
  <c r="E30" i="7"/>
  <c r="F102" i="10"/>
  <c r="E31" i="7"/>
  <c r="F378" i="10"/>
  <c r="E32" i="7"/>
  <c r="F574" i="10"/>
  <c r="E33" i="7"/>
  <c r="F546" i="10"/>
  <c r="E34" i="7"/>
  <c r="F222" i="10"/>
  <c r="E35" i="7"/>
  <c r="F126" i="10"/>
  <c r="E36" i="7"/>
  <c r="F44" i="10"/>
  <c r="E37" i="7"/>
  <c r="F152" i="10"/>
  <c r="E38" i="7"/>
  <c r="F527" i="10"/>
  <c r="E39" i="7"/>
  <c r="F157" i="10"/>
  <c r="E40" i="7"/>
  <c r="E41" i="7"/>
  <c r="F584" i="10"/>
  <c r="E42" i="7"/>
  <c r="F175" i="10"/>
  <c r="E43" i="7"/>
  <c r="F486" i="10"/>
  <c r="E44" i="7"/>
  <c r="F54" i="10"/>
  <c r="E45" i="7"/>
  <c r="F69" i="10"/>
  <c r="E46" i="7"/>
  <c r="F212" i="10"/>
  <c r="E6" i="7"/>
  <c r="F186" i="10"/>
  <c r="E7" i="7"/>
  <c r="F198" i="10"/>
  <c r="E8" i="7"/>
  <c r="F18" i="10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53" i="10"/>
  <c r="F641" i="10"/>
  <c r="F629" i="10"/>
  <c r="F617" i="10"/>
  <c r="F605" i="10"/>
  <c r="F593" i="10"/>
  <c r="F581" i="10"/>
  <c r="F569" i="10"/>
  <c r="F557" i="10"/>
  <c r="F545" i="10"/>
  <c r="F533" i="10"/>
  <c r="F521" i="10"/>
  <c r="F509" i="10"/>
  <c r="F497" i="10"/>
  <c r="F485" i="10"/>
  <c r="F473" i="10"/>
  <c r="F461" i="10"/>
  <c r="F449" i="10"/>
  <c r="F437" i="10"/>
  <c r="F425" i="10"/>
  <c r="F413" i="10"/>
  <c r="F401" i="10"/>
  <c r="F389" i="10"/>
  <c r="F377" i="10"/>
  <c r="F365" i="10"/>
  <c r="F353" i="10"/>
  <c r="F341" i="10"/>
  <c r="F329" i="10"/>
  <c r="F317" i="10"/>
  <c r="F305" i="10"/>
  <c r="F293" i="10"/>
  <c r="F281" i="10"/>
  <c r="F269" i="10"/>
  <c r="F257" i="10"/>
  <c r="F245" i="10"/>
  <c r="F233" i="10"/>
  <c r="F221" i="10"/>
  <c r="F209" i="10"/>
  <c r="F197" i="10"/>
  <c r="F185" i="10"/>
  <c r="F173" i="10"/>
  <c r="F161" i="10"/>
  <c r="F149" i="10"/>
  <c r="F137" i="10"/>
  <c r="F125" i="10"/>
  <c r="F113" i="10"/>
  <c r="F101" i="10"/>
  <c r="F89" i="10"/>
  <c r="F77" i="10"/>
  <c r="F65" i="10"/>
  <c r="F53" i="10"/>
  <c r="F41" i="10"/>
  <c r="F29" i="10"/>
  <c r="F17" i="10"/>
  <c r="F712" i="10"/>
  <c r="F664" i="10"/>
  <c r="F652" i="10"/>
  <c r="F640" i="10"/>
  <c r="F628" i="10"/>
  <c r="F616" i="10"/>
  <c r="F604" i="10"/>
  <c r="F592" i="10"/>
  <c r="F580" i="10"/>
  <c r="F568" i="10"/>
  <c r="F556" i="10"/>
  <c r="F544" i="10"/>
  <c r="F532" i="10"/>
  <c r="F520" i="10"/>
  <c r="F508" i="10"/>
  <c r="F496" i="10"/>
  <c r="F484" i="10"/>
  <c r="F472" i="10"/>
  <c r="F460" i="10"/>
  <c r="F448" i="10"/>
  <c r="F436" i="10"/>
  <c r="F424" i="10"/>
  <c r="F412" i="10"/>
  <c r="F400" i="10"/>
  <c r="F388" i="10"/>
  <c r="F376" i="10"/>
  <c r="F364" i="10"/>
  <c r="F352" i="10"/>
  <c r="F340" i="10"/>
  <c r="F328" i="10"/>
  <c r="F316" i="10"/>
  <c r="F304" i="10"/>
  <c r="F292" i="10"/>
  <c r="F280" i="10"/>
  <c r="F268" i="10"/>
  <c r="F256" i="10"/>
  <c r="F244" i="10"/>
  <c r="F232" i="10"/>
  <c r="F220" i="10"/>
  <c r="F208" i="10"/>
  <c r="F196" i="10"/>
  <c r="F184" i="10"/>
  <c r="F172" i="10"/>
  <c r="F160" i="10"/>
  <c r="F148" i="10"/>
  <c r="F136" i="10"/>
  <c r="F124" i="10"/>
  <c r="F112" i="10"/>
  <c r="F100" i="10"/>
  <c r="F88" i="10"/>
  <c r="F76" i="10"/>
  <c r="F64" i="10"/>
  <c r="F52" i="10"/>
  <c r="F40" i="10"/>
  <c r="F28" i="10"/>
  <c r="F16" i="10"/>
  <c r="F735" i="10"/>
  <c r="F711" i="10"/>
  <c r="F663" i="10"/>
  <c r="F651" i="10"/>
  <c r="F639" i="10"/>
  <c r="F627" i="10"/>
  <c r="F615" i="10"/>
  <c r="F603" i="10"/>
  <c r="F591" i="10"/>
  <c r="F579" i="10"/>
  <c r="F567" i="10"/>
  <c r="F555" i="10"/>
  <c r="F543" i="10"/>
  <c r="F531" i="10"/>
  <c r="F519" i="10"/>
  <c r="F507" i="10"/>
  <c r="F495" i="10"/>
  <c r="F483" i="10"/>
  <c r="F471" i="10"/>
  <c r="F459" i="10"/>
  <c r="F447" i="10"/>
  <c r="F435" i="10"/>
  <c r="F423" i="10"/>
  <c r="F411" i="10"/>
  <c r="F399" i="10"/>
  <c r="F387" i="10"/>
  <c r="F375" i="10"/>
  <c r="F363" i="10"/>
  <c r="F351" i="10"/>
  <c r="F339" i="10"/>
  <c r="F327" i="10"/>
  <c r="F315" i="10"/>
  <c r="F303" i="10"/>
  <c r="F291" i="10"/>
  <c r="F279" i="10"/>
  <c r="F267" i="10"/>
  <c r="F255" i="10"/>
  <c r="F243" i="10"/>
  <c r="F231" i="10"/>
  <c r="F219" i="10"/>
  <c r="F207" i="10"/>
  <c r="F195" i="10"/>
  <c r="F183" i="10"/>
  <c r="F171" i="10"/>
  <c r="F159" i="10"/>
  <c r="F147" i="10"/>
  <c r="F135" i="10"/>
  <c r="F123" i="10"/>
  <c r="F111" i="10"/>
  <c r="F99" i="10"/>
  <c r="F87" i="10"/>
  <c r="F75" i="10"/>
  <c r="F63" i="10"/>
  <c r="F51" i="10"/>
  <c r="F39" i="10"/>
  <c r="F27" i="10"/>
  <c r="F15" i="10"/>
  <c r="F734" i="10"/>
  <c r="F710" i="10"/>
  <c r="F674" i="10"/>
  <c r="F662" i="10"/>
  <c r="F650" i="10"/>
  <c r="F638" i="10"/>
  <c r="F626" i="10"/>
  <c r="F614" i="10"/>
  <c r="F602" i="10"/>
  <c r="F590" i="10"/>
  <c r="F578" i="10"/>
  <c r="F566" i="10"/>
  <c r="F554" i="10"/>
  <c r="F542" i="10"/>
  <c r="F530" i="10"/>
  <c r="F518" i="10"/>
  <c r="F506" i="10"/>
  <c r="F494" i="10"/>
  <c r="F482" i="10"/>
  <c r="F470" i="10"/>
  <c r="F458" i="10"/>
  <c r="F446" i="10"/>
  <c r="F434" i="10"/>
  <c r="F422" i="10"/>
  <c r="F410" i="10"/>
  <c r="F398" i="10"/>
  <c r="F386" i="10"/>
  <c r="F374" i="10"/>
  <c r="F362" i="10"/>
  <c r="F350" i="10"/>
  <c r="F338" i="10"/>
  <c r="F326" i="10"/>
  <c r="F314" i="10"/>
  <c r="F302" i="10"/>
  <c r="F290" i="10"/>
  <c r="F278" i="10"/>
  <c r="F266" i="10"/>
  <c r="F254" i="10"/>
  <c r="F242" i="10"/>
  <c r="F230" i="10"/>
  <c r="F218" i="10"/>
  <c r="F206" i="10"/>
  <c r="F194" i="10"/>
  <c r="F182" i="10"/>
  <c r="F170" i="10"/>
  <c r="F158" i="10"/>
  <c r="F146" i="10"/>
  <c r="F134" i="10"/>
  <c r="F122" i="10"/>
  <c r="F110" i="10"/>
  <c r="F98" i="10"/>
  <c r="F86" i="10"/>
  <c r="F74" i="10"/>
  <c r="F62" i="10"/>
  <c r="F50" i="10"/>
  <c r="F38" i="10"/>
  <c r="F26" i="10"/>
  <c r="F14" i="10"/>
  <c r="F709" i="10"/>
  <c r="F673" i="10"/>
  <c r="F661" i="10"/>
  <c r="F649" i="10"/>
  <c r="F637" i="10"/>
  <c r="F625" i="10"/>
  <c r="F613" i="10"/>
  <c r="F601" i="10"/>
  <c r="F589" i="10"/>
  <c r="F577" i="10"/>
  <c r="F565" i="10"/>
  <c r="F553" i="10"/>
  <c r="F541" i="10"/>
  <c r="F529" i="10"/>
  <c r="F517" i="10"/>
  <c r="F505" i="10"/>
  <c r="F493" i="10"/>
  <c r="F481" i="10"/>
  <c r="F469" i="10"/>
  <c r="F457" i="10"/>
  <c r="F445" i="10"/>
  <c r="F433" i="10"/>
  <c r="F421" i="10"/>
  <c r="F409" i="10"/>
  <c r="F397" i="10"/>
  <c r="F385" i="10"/>
  <c r="F373" i="10"/>
  <c r="F361" i="10"/>
  <c r="F349" i="10"/>
  <c r="F337" i="10"/>
  <c r="F325" i="10"/>
  <c r="F313" i="10"/>
  <c r="F301" i="10"/>
  <c r="F289" i="10"/>
  <c r="F277" i="10"/>
  <c r="F265" i="10"/>
  <c r="F253" i="10"/>
  <c r="F241" i="10"/>
  <c r="F229" i="10"/>
  <c r="F217" i="10"/>
  <c r="F205" i="10"/>
  <c r="F193" i="10"/>
  <c r="F181" i="10"/>
  <c r="F169" i="10"/>
  <c r="F145" i="10"/>
  <c r="F133" i="10"/>
  <c r="F121" i="10"/>
  <c r="F109" i="10"/>
  <c r="F97" i="10"/>
  <c r="F85" i="10"/>
  <c r="F73" i="10"/>
  <c r="F61" i="10"/>
  <c r="F49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64" i="10"/>
  <c r="F552" i="10"/>
  <c r="F540" i="10"/>
  <c r="F528" i="10"/>
  <c r="F516" i="10"/>
  <c r="F504" i="10"/>
  <c r="F492" i="10"/>
  <c r="F480" i="10"/>
  <c r="F468" i="10"/>
  <c r="F456" i="10"/>
  <c r="F444" i="10"/>
  <c r="F432" i="10"/>
  <c r="F420" i="10"/>
  <c r="F408" i="10"/>
  <c r="F396" i="10"/>
  <c r="F384" i="10"/>
  <c r="F372" i="10"/>
  <c r="F360" i="10"/>
  <c r="F348" i="10"/>
  <c r="F336" i="10"/>
  <c r="F324" i="10"/>
  <c r="F312" i="10"/>
  <c r="F300" i="10"/>
  <c r="F288" i="10"/>
  <c r="F276" i="10"/>
  <c r="F264" i="10"/>
  <c r="F252" i="10"/>
  <c r="F240" i="10"/>
  <c r="F228" i="10"/>
  <c r="F216" i="10"/>
  <c r="F204" i="10"/>
  <c r="F192" i="10"/>
  <c r="F180" i="10"/>
  <c r="F168" i="10"/>
  <c r="F156" i="10"/>
  <c r="F144" i="10"/>
  <c r="F132" i="10"/>
  <c r="F120" i="10"/>
  <c r="F108" i="10"/>
  <c r="F96" i="10"/>
  <c r="F84" i="10"/>
  <c r="F72" i="10"/>
  <c r="F60" i="10"/>
  <c r="F48" i="10"/>
  <c r="F36" i="10"/>
  <c r="F24" i="10"/>
  <c r="F12" i="10"/>
  <c r="F707" i="10"/>
  <c r="F671" i="10"/>
  <c r="F659" i="10"/>
  <c r="F647" i="10"/>
  <c r="F635" i="10"/>
  <c r="F623" i="10"/>
  <c r="F611" i="10"/>
  <c r="F599" i="10"/>
  <c r="F587" i="10"/>
  <c r="F575" i="10"/>
  <c r="F563" i="10"/>
  <c r="F551" i="10"/>
  <c r="F539" i="10"/>
  <c r="F515" i="10"/>
  <c r="F503" i="10"/>
  <c r="F491" i="10"/>
  <c r="F479" i="10"/>
  <c r="F467" i="10"/>
  <c r="F455" i="10"/>
  <c r="F443" i="10"/>
  <c r="F431" i="10"/>
  <c r="F419" i="10"/>
  <c r="F407" i="10"/>
  <c r="F395" i="10"/>
  <c r="F383" i="10"/>
  <c r="F371" i="10"/>
  <c r="F359" i="10"/>
  <c r="F347" i="10"/>
  <c r="F335" i="10"/>
  <c r="F323" i="10"/>
  <c r="F311" i="10"/>
  <c r="F299" i="10"/>
  <c r="F287" i="10"/>
  <c r="F275" i="10"/>
  <c r="F263" i="10"/>
  <c r="F251" i="10"/>
  <c r="F239" i="10"/>
  <c r="F227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35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502" i="10"/>
  <c r="F490" i="10"/>
  <c r="F478" i="10"/>
  <c r="F466" i="10"/>
  <c r="F454" i="10"/>
  <c r="F442" i="10"/>
  <c r="F430" i="10"/>
  <c r="F418" i="10"/>
  <c r="F406" i="10"/>
  <c r="F394" i="10"/>
  <c r="F382" i="10"/>
  <c r="F370" i="10"/>
  <c r="F358" i="10"/>
  <c r="F346" i="10"/>
  <c r="F334" i="10"/>
  <c r="F322" i="10"/>
  <c r="F310" i="10"/>
  <c r="F298" i="10"/>
  <c r="F286" i="10"/>
  <c r="F274" i="10"/>
  <c r="F262" i="10"/>
  <c r="F250" i="10"/>
  <c r="F238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85" i="10"/>
  <c r="F573" i="10"/>
  <c r="F561" i="10"/>
  <c r="F549" i="10"/>
  <c r="F537" i="10"/>
  <c r="F525" i="10"/>
  <c r="F513" i="10"/>
  <c r="F501" i="10"/>
  <c r="F489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73" i="10"/>
  <c r="F261" i="10"/>
  <c r="F249" i="10"/>
  <c r="F237" i="10"/>
  <c r="F225" i="10"/>
  <c r="F213" i="10"/>
  <c r="F201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12" i="10"/>
  <c r="F500" i="10"/>
  <c r="F488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48" i="10"/>
  <c r="F236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95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35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82" i="10"/>
  <c r="F558" i="10"/>
  <c r="F522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34" i="10"/>
  <c r="F210" i="10"/>
  <c r="F174" i="10"/>
  <c r="F162" i="10"/>
  <c r="F150" i="10"/>
  <c r="F90" i="10"/>
</calcChain>
</file>

<file path=xl/sharedStrings.xml><?xml version="1.0" encoding="utf-8"?>
<sst xmlns="http://schemas.openxmlformats.org/spreadsheetml/2006/main" count="24066" uniqueCount="3340">
  <si>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</si>
  <si>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</si>
  <si>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</si>
  <si>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</si>
  <si>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</si>
  <si>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</si>
  <si>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</si>
  <si>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</si>
  <si>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</si>
  <si>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</si>
  <si>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</si>
  <si>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</si>
  <si>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</si>
  <si>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</si>
  <si>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</si>
  <si>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</si>
  <si>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</si>
  <si>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</si>
  <si>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</si>
  <si>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</si>
  <si>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</si>
  <si>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</si>
  <si>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</si>
  <si>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</si>
  <si>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</si>
  <si>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</si>
  <si>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</si>
  <si>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</si>
  <si>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</si>
  <si>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</si>
  <si>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</si>
  <si>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</si>
  <si>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</si>
  <si>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</si>
  <si>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</si>
  <si>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</si>
  <si>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</si>
  <si>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</si>
  <si>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</si>
  <si>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</si>
  <si>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</si>
  <si>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</si>
  <si>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</si>
  <si>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</si>
  <si>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</si>
  <si>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</si>
  <si>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</si>
  <si>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</si>
  <si>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</si>
  <si>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</si>
  <si>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</si>
  <si>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</si>
  <si>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</si>
  <si>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</si>
  <si>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</si>
  <si>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</si>
  <si>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</si>
  <si>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</si>
  <si>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</si>
  <si>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</si>
  <si>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</si>
  <si>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</si>
  <si>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</si>
  <si>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</si>
  <si>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</si>
  <si>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</si>
  <si>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</si>
  <si>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</si>
  <si>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</si>
  <si>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</si>
  <si>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</si>
  <si>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</si>
  <si>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</si>
  <si>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</si>
  <si>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</si>
  <si>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</si>
  <si>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</si>
  <si>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</si>
  <si>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</si>
  <si>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</si>
  <si>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</si>
  <si>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</si>
  <si>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</si>
  <si>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</si>
  <si>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</si>
  <si>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</si>
  <si>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</si>
  <si>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</si>
  <si>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</si>
  <si>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</si>
  <si>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</si>
  <si>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</si>
  <si>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</si>
  <si>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</si>
  <si>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</si>
  <si>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</si>
  <si>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</si>
  <si>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</si>
  <si>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</si>
  <si>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</si>
  <si>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</si>
  <si>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</si>
  <si>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</si>
  <si>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</si>
  <si>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</si>
  <si>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</si>
  <si>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</si>
  <si>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</si>
  <si>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</si>
  <si>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</si>
  <si>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</si>
  <si>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</si>
  <si>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</si>
  <si>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</si>
  <si>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</si>
  <si>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</si>
  <si>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</si>
  <si>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</si>
  <si>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</si>
  <si>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</si>
  <si>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</si>
  <si>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</si>
  <si>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</si>
  <si>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</si>
  <si>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</si>
  <si>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</si>
  <si>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</si>
  <si>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</si>
  <si>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</si>
  <si>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</si>
  <si>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</si>
  <si>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</si>
  <si>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</si>
  <si>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</si>
  <si>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</si>
  <si>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</si>
  <si>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</si>
  <si>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</si>
  <si>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</si>
  <si>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</si>
  <si>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</si>
  <si>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</si>
  <si>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</si>
  <si>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</si>
  <si>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</si>
  <si>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</si>
  <si>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</si>
  <si>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</si>
  <si>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</si>
  <si>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</si>
  <si>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</si>
  <si>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</si>
  <si>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</si>
  <si>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</si>
  <si>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</si>
  <si>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</si>
  <si>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</si>
  <si>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</si>
  <si>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</si>
  <si>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</si>
  <si>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</si>
  <si>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</si>
  <si>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</si>
  <si>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</si>
  <si>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</si>
  <si>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</si>
  <si>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</si>
  <si>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</si>
  <si>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</si>
  <si>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</si>
  <si>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</si>
  <si>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</si>
  <si>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</si>
  <si>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</si>
  <si>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</si>
  <si>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</si>
  <si>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</si>
  <si>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</si>
  <si>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</si>
  <si>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</si>
  <si>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</si>
  <si>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</si>
  <si>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</si>
  <si>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</si>
  <si>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</si>
  <si>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</si>
  <si>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</si>
  <si>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</si>
  <si>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</si>
  <si>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</si>
  <si>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</si>
  <si>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</si>
  <si>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</si>
  <si>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</si>
  <si>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</si>
  <si>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</si>
  <si>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</si>
  <si>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</si>
  <si>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</si>
  <si>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</si>
  <si>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</si>
  <si>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</si>
  <si>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</si>
  <si>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</si>
  <si>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</si>
  <si>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</si>
  <si>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</si>
  <si>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</si>
  <si>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</si>
  <si>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</si>
  <si>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</si>
  <si>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</si>
  <si>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</si>
  <si>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</si>
  <si>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</si>
  <si>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</si>
  <si>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</si>
  <si>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</si>
  <si>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</si>
  <si>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</si>
  <si>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</si>
  <si>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</si>
  <si>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</si>
  <si>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</si>
  <si>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</si>
  <si>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</si>
  <si>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</si>
  <si>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</si>
  <si>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</si>
  <si>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</si>
  <si>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</si>
  <si>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</si>
  <si>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</si>
  <si>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</si>
  <si>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</si>
  <si>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</si>
  <si>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</si>
  <si>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</si>
  <si>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</si>
  <si>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</si>
  <si>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</si>
  <si>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</si>
  <si>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</si>
  <si>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</si>
  <si>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</si>
  <si>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</si>
  <si>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</si>
  <si>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</si>
  <si>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</si>
  <si>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</si>
  <si>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</si>
  <si>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</si>
  <si>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</si>
  <si>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</si>
  <si>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</si>
  <si>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</si>
  <si>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</si>
  <si>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</si>
  <si>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</si>
  <si>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</si>
  <si>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</si>
  <si>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</si>
  <si>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</si>
  <si>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</si>
  <si>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</si>
  <si>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</si>
  <si>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</si>
  <si>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</si>
  <si>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</si>
  <si>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</si>
  <si>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</si>
  <si>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</si>
  <si>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</si>
  <si>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</si>
  <si>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</si>
  <si>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</si>
  <si>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</si>
  <si>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</si>
  <si>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</si>
  <si>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</si>
  <si>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</si>
  <si>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</si>
  <si>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</si>
  <si>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</si>
  <si>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</si>
  <si>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</si>
  <si>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</si>
  <si>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</si>
  <si>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</si>
  <si>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</si>
  <si>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</si>
  <si>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</si>
  <si>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</si>
  <si>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</si>
  <si>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</si>
  <si>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</si>
  <si>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</si>
  <si>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</si>
  <si>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</si>
  <si>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</si>
  <si>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</si>
  <si>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</si>
  <si>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</si>
  <si>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</si>
  <si>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</si>
  <si>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</si>
  <si>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</si>
  <si>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</si>
  <si>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</si>
  <si>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</si>
  <si>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</si>
  <si>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</si>
  <si>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</si>
  <si>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</si>
  <si>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</si>
  <si>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</si>
  <si>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</si>
  <si>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</si>
  <si>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</si>
  <si>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</si>
  <si>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</si>
  <si>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</si>
  <si>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</si>
  <si>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</si>
  <si>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</si>
  <si>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</si>
  <si>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</si>
  <si>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</si>
  <si>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</si>
  <si>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</si>
  <si>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</si>
  <si>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</si>
  <si>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</si>
  <si>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</si>
  <si>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</si>
  <si>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</si>
  <si>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</si>
  <si>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</si>
  <si>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</si>
  <si>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</si>
  <si>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</si>
  <si>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</si>
  <si>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</si>
  <si>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</si>
  <si>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</si>
  <si>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</si>
  <si>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</si>
  <si>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</si>
  <si>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</si>
  <si>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</si>
  <si>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</si>
  <si>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</si>
  <si>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</si>
  <si>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</si>
  <si>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</si>
  <si>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</si>
  <si>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</si>
  <si>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</si>
  <si>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</si>
  <si>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</si>
  <si>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</si>
  <si>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</si>
  <si>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</si>
  <si>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</si>
  <si>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</si>
  <si>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</si>
  <si>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</si>
  <si>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</si>
  <si>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</si>
  <si>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</si>
  <si>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</si>
  <si>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</si>
  <si>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</si>
  <si>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</si>
  <si>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</si>
  <si>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</si>
  <si>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</si>
  <si>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</si>
  <si>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</si>
  <si>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</si>
  <si>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</si>
  <si>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</si>
  <si>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</si>
  <si>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</si>
  <si>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</si>
  <si>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</si>
  <si>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</si>
  <si>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</si>
  <si>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</si>
  <si>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</si>
  <si>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</si>
  <si>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</si>
  <si>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</si>
  <si>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</si>
  <si>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</si>
  <si>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</si>
  <si>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</si>
  <si>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</si>
  <si>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</si>
  <si>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</si>
  <si>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</si>
  <si>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</si>
  <si>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</si>
  <si>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</si>
  <si>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</si>
  <si>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</si>
  <si>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</si>
  <si>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</si>
  <si>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</si>
  <si>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</si>
  <si>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</si>
  <si>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</si>
  <si>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</si>
  <si>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</si>
  <si>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</si>
  <si>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</si>
  <si>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</si>
  <si>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</si>
  <si>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</si>
  <si>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</si>
  <si>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</si>
  <si>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</si>
  <si>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</si>
  <si>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</si>
  <si>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</si>
  <si>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</si>
  <si>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</si>
  <si>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</si>
  <si>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</si>
  <si>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</si>
  <si>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</si>
  <si>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</si>
  <si>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</si>
  <si>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</si>
  <si>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</si>
  <si>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</si>
  <si>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</si>
  <si>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</si>
  <si>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</si>
  <si>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</si>
  <si>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</si>
  <si>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</si>
  <si>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</si>
  <si>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</si>
  <si>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</si>
  <si>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</si>
  <si>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</si>
  <si>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</si>
  <si>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</si>
  <si>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</si>
  <si>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</si>
  <si>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</si>
  <si>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</si>
  <si>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</si>
  <si>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</si>
  <si>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</si>
  <si>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</si>
  <si>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</si>
  <si>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</si>
  <si>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</si>
  <si>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</si>
  <si>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</si>
  <si>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</si>
  <si>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</si>
  <si>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</si>
  <si>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</si>
  <si>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</si>
  <si>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</si>
  <si>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</si>
  <si>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</si>
  <si>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</si>
  <si>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</si>
  <si>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</si>
  <si>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</si>
  <si>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</si>
  <si>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</si>
  <si>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</si>
  <si>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</si>
  <si>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</si>
  <si>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</si>
  <si>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</si>
  <si>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</si>
  <si>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</si>
  <si>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</si>
  <si>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</si>
  <si>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</si>
  <si>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</si>
  <si>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</si>
  <si>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</si>
  <si>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</si>
  <si>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</si>
  <si>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</si>
  <si>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</si>
  <si>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</si>
  <si>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</si>
  <si>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</si>
  <si>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</si>
  <si>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</si>
  <si>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</si>
  <si>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</si>
  <si>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</si>
  <si>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</si>
  <si>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</si>
  <si>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</si>
  <si>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</si>
  <si>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</si>
  <si>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</si>
  <si>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</si>
  <si>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</si>
  <si>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</si>
  <si>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</si>
  <si>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</si>
  <si>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</si>
  <si>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</si>
  <si>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</si>
  <si>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</si>
  <si>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</si>
  <si>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</si>
  <si>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</si>
  <si>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</si>
  <si>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</si>
  <si>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</si>
  <si>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</si>
  <si>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</si>
  <si>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</si>
  <si>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</si>
  <si>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</si>
  <si>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</si>
  <si>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</si>
  <si>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</si>
  <si>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</si>
  <si>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</si>
  <si>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</si>
  <si>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</si>
  <si>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</si>
  <si>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</si>
  <si>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</si>
  <si>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</si>
  <si>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</si>
  <si>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</si>
  <si>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</si>
  <si>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</si>
  <si>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</si>
  <si>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</si>
  <si>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</si>
  <si>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</si>
  <si>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</si>
  <si>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</si>
  <si>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</si>
  <si>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</si>
  <si>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</si>
  <si>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</si>
  <si>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</si>
  <si>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</si>
  <si>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</si>
  <si>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</si>
  <si>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</si>
  <si>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</si>
  <si>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</si>
  <si>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</si>
  <si>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</si>
  <si>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</si>
  <si>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</si>
  <si>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</si>
  <si>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</si>
  <si>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</si>
  <si>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</si>
  <si>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</si>
  <si>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</si>
  <si>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</si>
  <si>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</si>
  <si>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</si>
  <si>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</si>
  <si>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</si>
  <si>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</si>
  <si>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</si>
  <si>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</si>
  <si>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</si>
  <si>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</si>
  <si>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</si>
  <si>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</si>
  <si>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</si>
  <si>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</si>
  <si>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</si>
  <si>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</si>
  <si>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</si>
  <si>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</si>
  <si>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</si>
  <si>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</si>
  <si>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</si>
  <si>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</si>
  <si>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</si>
  <si>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</si>
  <si>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</si>
  <si>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</si>
  <si>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</si>
  <si>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</si>
  <si>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</si>
  <si>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</si>
  <si>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</si>
  <si>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</si>
  <si>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</si>
  <si>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</si>
  <si>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</si>
  <si>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</si>
  <si>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</si>
  <si>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</si>
  <si>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</si>
  <si>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</si>
  <si>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</si>
  <si>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</si>
  <si>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</si>
  <si>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</si>
  <si>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</si>
  <si>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</si>
  <si>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</si>
  <si>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</si>
  <si>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</si>
  <si>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</si>
  <si>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</si>
  <si>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</si>
  <si>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</si>
  <si>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</si>
  <si>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</si>
  <si>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</si>
  <si>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</si>
  <si>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</si>
  <si>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</si>
  <si>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</si>
  <si>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</si>
  <si>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</si>
  <si>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</si>
  <si>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</si>
  <si>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</si>
  <si>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</si>
  <si>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</si>
  <si>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</si>
  <si>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</si>
  <si>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</si>
  <si>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</si>
  <si>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</si>
  <si>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</si>
  <si>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</si>
  <si>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</si>
  <si>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</si>
  <si>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</si>
  <si>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</si>
  <si>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</si>
  <si>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</si>
  <si>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</si>
  <si>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</si>
  <si>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</si>
  <si>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</si>
  <si>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</si>
  <si>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</si>
  <si>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</si>
  <si>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</si>
  <si>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</si>
  <si>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</si>
  <si>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</si>
  <si>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</si>
  <si>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</si>
  <si>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</si>
  <si>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</si>
  <si>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</si>
  <si>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</si>
  <si>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</si>
  <si>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</si>
  <si>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</si>
  <si>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</si>
  <si>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</si>
  <si>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</si>
  <si>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</si>
  <si>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</si>
  <si>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</si>
  <si>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</si>
  <si>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</si>
  <si>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</si>
  <si>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</si>
  <si>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</si>
  <si>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</si>
  <si>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</si>
  <si>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</si>
  <si>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</si>
  <si>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</si>
  <si>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</si>
  <si>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</si>
  <si>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</si>
  <si>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</si>
  <si>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</si>
  <si>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</si>
  <si>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</si>
  <si>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</si>
  <si>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</si>
  <si>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</si>
  <si>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</si>
  <si>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</si>
  <si>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</si>
  <si>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</si>
  <si>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</si>
  <si>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</si>
  <si>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</si>
  <si>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</si>
  <si>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</si>
  <si>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</si>
  <si>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</si>
  <si>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</si>
  <si>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</si>
  <si>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</si>
  <si>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</si>
  <si>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</si>
  <si>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</si>
  <si>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</si>
  <si>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</si>
  <si>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</si>
  <si>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</si>
  <si>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</si>
  <si>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</si>
  <si>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</si>
  <si>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</si>
  <si>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</si>
  <si>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</si>
  <si>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</si>
  <si>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</si>
  <si>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</si>
  <si>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</si>
  <si>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</si>
  <si>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</si>
  <si>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</si>
  <si>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</si>
  <si>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</si>
  <si>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</si>
  <si>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</si>
  <si>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</si>
  <si>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</si>
  <si>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</si>
  <si>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</si>
  <si>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</si>
  <si>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</si>
  <si>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</si>
  <si>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</si>
  <si>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</si>
  <si>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</si>
  <si>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</si>
  <si>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</si>
  <si>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</si>
  <si>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</si>
  <si>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</si>
  <si>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</si>
  <si>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</si>
  <si>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</si>
  <si>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</si>
  <si>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</si>
  <si>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</si>
  <si>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</si>
  <si>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</si>
  <si>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</si>
  <si>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</si>
  <si>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</si>
  <si>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</si>
  <si>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</si>
  <si>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</si>
  <si>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</si>
  <si>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</si>
  <si>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</si>
  <si>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</si>
  <si>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</si>
  <si>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</si>
  <si>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</si>
  <si>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</si>
  <si>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</si>
  <si>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</si>
  <si>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</si>
  <si>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</si>
  <si>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</si>
  <si>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</si>
  <si>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</si>
  <si>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</si>
  <si>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</si>
  <si>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</si>
  <si>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</si>
  <si>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</si>
  <si>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</si>
  <si>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</si>
  <si>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</si>
  <si>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</si>
  <si>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</si>
  <si>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</si>
  <si>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</si>
  <si>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</si>
  <si>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</si>
  <si>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</si>
  <si>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</si>
  <si>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</si>
  <si>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</si>
  <si>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</si>
  <si>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</si>
  <si>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</si>
  <si>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</si>
  <si>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</si>
  <si>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</si>
  <si>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</si>
  <si>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</si>
  <si>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</si>
  <si>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</si>
  <si>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</si>
  <si>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</si>
  <si>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</si>
  <si>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</si>
  <si>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</si>
  <si>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</si>
  <si>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</si>
  <si>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</si>
  <si>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</si>
  <si>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</si>
  <si>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</si>
  <si>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</si>
  <si>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</si>
  <si>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</si>
  <si>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</si>
  <si>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</si>
  <si>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</si>
  <si>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</si>
  <si>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</si>
  <si>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</si>
  <si>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</si>
  <si>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</si>
  <si>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</si>
  <si>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</si>
  <si>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</si>
  <si>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</si>
  <si>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</si>
  <si>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</si>
  <si>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</si>
  <si>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</si>
  <si>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</si>
  <si>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</si>
  <si>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</si>
  <si>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</si>
  <si>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</si>
  <si>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</si>
  <si>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</si>
  <si>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</si>
  <si>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</si>
  <si>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</si>
  <si>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</si>
  <si>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</si>
  <si>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</si>
  <si>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</si>
  <si>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</si>
  <si>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</si>
  <si>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</si>
  <si>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</si>
  <si>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</si>
  <si>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</si>
  <si>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</si>
  <si>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</si>
  <si>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</si>
  <si>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</si>
  <si>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</si>
  <si>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</si>
  <si>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</si>
  <si>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</si>
  <si>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</si>
  <si>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</si>
  <si>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</si>
  <si>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</si>
  <si>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</si>
  <si>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</si>
  <si>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</si>
  <si>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</si>
  <si>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</si>
  <si>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</si>
  <si>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</si>
  <si>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</si>
  <si>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</si>
  <si>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</si>
  <si>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</si>
  <si>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</si>
  <si>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</si>
  <si>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</si>
  <si>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</si>
  <si>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</si>
  <si>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</si>
  <si>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</si>
  <si>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</si>
  <si>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</si>
  <si>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</si>
  <si>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</si>
  <si>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</si>
  <si>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</si>
  <si>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</si>
  <si>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</si>
  <si>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</si>
  <si>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</si>
  <si>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</si>
  <si>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</si>
  <si>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</si>
  <si>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</si>
  <si>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</si>
  <si>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</si>
  <si>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</si>
  <si>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</si>
  <si>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</si>
  <si>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</si>
  <si>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</si>
  <si>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</si>
  <si>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</si>
  <si>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</si>
  <si>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</si>
  <si>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</si>
  <si>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</si>
  <si>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</si>
  <si>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</si>
  <si>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</si>
  <si>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</si>
  <si>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</si>
  <si>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</si>
  <si>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</si>
  <si>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</si>
  <si>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</si>
  <si>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</si>
  <si>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</si>
  <si>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</si>
  <si>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</si>
  <si>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</si>
  <si>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</si>
  <si>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</si>
  <si>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</si>
  <si>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</si>
  <si>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</si>
  <si>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</si>
  <si>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</si>
  <si>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</si>
  <si>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</si>
  <si>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</si>
  <si>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</si>
  <si>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</si>
  <si>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</si>
  <si>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</si>
  <si>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</si>
  <si>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</si>
  <si>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</si>
  <si>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</si>
  <si>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</si>
  <si>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</si>
  <si>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</si>
  <si>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</si>
  <si>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</si>
  <si>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</si>
  <si>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</si>
  <si>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</si>
  <si>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</si>
  <si>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</si>
  <si>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</si>
  <si>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</si>
  <si>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</si>
  <si>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</si>
  <si>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</si>
  <si>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</si>
  <si>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</si>
  <si>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</si>
  <si>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</si>
  <si>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</si>
  <si>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</si>
  <si>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</si>
  <si>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</si>
  <si>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</si>
  <si>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</si>
  <si>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</si>
  <si>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</si>
  <si>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</si>
  <si>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</si>
  <si>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</si>
  <si>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</si>
  <si>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</si>
  <si>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</si>
  <si>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</si>
  <si>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</si>
  <si>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</si>
  <si>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</si>
  <si>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</si>
  <si>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</si>
  <si>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</si>
  <si>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</si>
  <si>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</si>
  <si>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</si>
  <si>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</si>
  <si>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</si>
  <si>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</si>
  <si>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</si>
  <si>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</si>
  <si>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</si>
  <si>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</si>
  <si>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</si>
  <si>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</si>
  <si>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</si>
  <si>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</si>
  <si>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</si>
  <si>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</si>
  <si>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</si>
  <si>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</si>
  <si>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</si>
  <si>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</si>
  <si>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</si>
  <si>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</si>
  <si>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</si>
  <si>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</si>
  <si>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</si>
  <si>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</si>
  <si>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</si>
  <si>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</si>
  <si>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</si>
  <si>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</si>
  <si>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</si>
  <si>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</si>
  <si>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</si>
  <si>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</si>
  <si>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</si>
  <si>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</si>
  <si>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</si>
  <si>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</si>
  <si>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</si>
  <si>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</si>
  <si>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</si>
  <si>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</si>
  <si>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</si>
  <si>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</si>
  <si>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</si>
  <si>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</si>
  <si>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</si>
  <si>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</si>
  <si>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</si>
  <si>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</si>
  <si>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</si>
  <si>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</si>
  <si>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</si>
  <si>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</si>
  <si>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</si>
  <si>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</si>
  <si>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</si>
  <si>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</si>
  <si>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</si>
  <si>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</si>
  <si>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</si>
  <si>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</si>
  <si>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</si>
  <si>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</si>
  <si>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</si>
  <si>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</si>
  <si>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</si>
  <si>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</si>
  <si>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</si>
  <si>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</si>
  <si>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</si>
  <si>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</si>
  <si>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</si>
  <si>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</si>
  <si>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</si>
  <si>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</si>
  <si>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</si>
  <si>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</si>
  <si>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</si>
  <si>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</si>
  <si>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</si>
  <si>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</si>
  <si>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</si>
  <si>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</si>
  <si>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</si>
  <si>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</si>
  <si>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</si>
  <si>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</si>
  <si>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</si>
  <si>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</si>
  <si>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</si>
  <si>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</si>
  <si>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</si>
  <si>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</si>
  <si>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</si>
  <si>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</si>
  <si>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</si>
  <si>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</si>
  <si>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</si>
  <si>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</si>
  <si>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</si>
  <si>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</si>
  <si>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</si>
  <si>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</si>
  <si>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</si>
  <si>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</si>
  <si>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</si>
  <si>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</si>
  <si>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</si>
  <si>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</si>
  <si>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</si>
  <si>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</si>
  <si>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</si>
  <si>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</si>
  <si>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</si>
  <si>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</si>
  <si>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</si>
  <si>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</si>
  <si>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</si>
  <si>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</si>
  <si>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</si>
  <si>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</si>
  <si>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</si>
  <si>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</si>
  <si>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</si>
  <si>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</si>
  <si>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</si>
  <si>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</si>
  <si>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</si>
  <si>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</si>
  <si>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</si>
  <si>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</si>
  <si>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</si>
  <si>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</si>
  <si>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</si>
  <si>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</si>
  <si>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</si>
  <si>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</si>
  <si>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</si>
  <si>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</si>
  <si>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</si>
  <si>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</si>
  <si>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</si>
  <si>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</si>
  <si>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</si>
  <si>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</si>
  <si>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</si>
  <si>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</si>
  <si>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</si>
  <si>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</si>
  <si>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</si>
  <si>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</si>
  <si>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</si>
  <si>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</si>
  <si>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</si>
  <si>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</si>
  <si>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</si>
  <si>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</si>
  <si>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</si>
  <si>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</si>
  <si>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</si>
  <si>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</si>
  <si>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</si>
  <si>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</si>
  <si>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</si>
  <si>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</si>
  <si>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</si>
  <si>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</si>
  <si>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</si>
  <si>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</si>
  <si>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</si>
  <si>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</si>
  <si>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</si>
  <si>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</si>
  <si>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</si>
  <si>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</si>
  <si>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</si>
  <si>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</si>
  <si>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</si>
  <si>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</si>
  <si>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</si>
  <si>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</si>
  <si>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</si>
  <si>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</si>
  <si>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</si>
  <si>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</si>
  <si>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</si>
  <si>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</si>
  <si>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</si>
  <si>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</si>
  <si>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</si>
  <si>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</si>
  <si>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</si>
  <si>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</si>
  <si>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</si>
  <si>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</si>
  <si>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</si>
  <si>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</si>
  <si>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</si>
  <si>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</si>
  <si>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</si>
  <si>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</si>
  <si>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</si>
  <si>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</si>
  <si>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</si>
  <si>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</si>
  <si>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</si>
  <si>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</si>
  <si>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</si>
  <si>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</si>
  <si>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</si>
  <si>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</si>
  <si>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</si>
  <si>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</si>
  <si>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</si>
  <si>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</si>
  <si>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</si>
  <si>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</si>
  <si>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</si>
  <si>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</si>
  <si>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</si>
  <si>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</si>
  <si>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</si>
  <si>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</si>
  <si>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</si>
  <si>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</si>
  <si>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</si>
  <si>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</si>
  <si>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</si>
  <si>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</si>
  <si>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</si>
  <si>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</si>
  <si>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</si>
  <si>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</si>
  <si>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</si>
  <si>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</si>
  <si>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</si>
  <si>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</si>
  <si>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</si>
  <si>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</si>
  <si>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</si>
  <si>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</si>
  <si>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</si>
  <si>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</si>
  <si>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</si>
  <si>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</si>
  <si>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</si>
  <si>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</si>
  <si>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</si>
  <si>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</si>
  <si>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</si>
  <si>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</si>
  <si>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</si>
  <si>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</si>
  <si>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</si>
  <si>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</si>
  <si>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</si>
  <si>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</si>
  <si>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</si>
  <si>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</si>
  <si>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</si>
  <si>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</si>
  <si>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</si>
  <si>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</si>
  <si>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</si>
  <si>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</si>
  <si>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</si>
  <si>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</si>
  <si>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</si>
  <si>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</si>
  <si>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</si>
  <si>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</si>
  <si>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</si>
  <si>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</si>
  <si>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</si>
  <si>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</si>
  <si>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</si>
  <si>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</si>
  <si>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</si>
  <si>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</si>
  <si>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</si>
  <si>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</si>
  <si>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</si>
  <si>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</si>
  <si>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</si>
  <si>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</si>
  <si>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</si>
  <si>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</si>
  <si>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</si>
  <si>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</si>
  <si>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</si>
  <si>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</si>
  <si>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</si>
  <si>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</si>
  <si>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</si>
  <si>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</si>
  <si>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</si>
  <si>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</si>
  <si>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</si>
  <si>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</si>
  <si>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</si>
  <si>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</si>
  <si>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</si>
  <si>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</si>
  <si>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</si>
  <si>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</si>
  <si>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</si>
  <si>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</si>
  <si>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</si>
  <si>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</si>
  <si>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</si>
  <si>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</si>
  <si>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</si>
  <si>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</si>
  <si>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</si>
  <si>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</si>
  <si>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</si>
  <si>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</si>
  <si>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</si>
  <si>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</si>
  <si>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</si>
  <si>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</si>
  <si>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</si>
  <si>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</si>
  <si>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</si>
  <si>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</si>
  <si>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</si>
  <si>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</si>
  <si>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</si>
  <si>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</si>
  <si>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</si>
  <si>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</si>
  <si>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</si>
  <si>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</si>
  <si>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</si>
  <si>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</si>
  <si>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</si>
  <si>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</si>
  <si>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</si>
  <si>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</si>
  <si>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</si>
  <si>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</si>
  <si>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</si>
  <si>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</si>
  <si>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</si>
  <si>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</si>
  <si>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</si>
  <si>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</si>
  <si>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</si>
  <si>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</si>
  <si>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</si>
  <si>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</si>
  <si>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</si>
  <si>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</si>
  <si>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</si>
  <si>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</si>
  <si>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</si>
  <si>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</si>
  <si>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</si>
  <si>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</si>
  <si>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</si>
  <si>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</si>
  <si>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</si>
  <si>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</si>
  <si>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</si>
  <si>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</si>
  <si>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</si>
  <si>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</si>
  <si>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</si>
  <si>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</si>
  <si>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</si>
  <si>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</si>
  <si>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</si>
  <si>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</si>
  <si>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</si>
  <si>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</si>
  <si>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</si>
  <si>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</si>
  <si>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</si>
  <si>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</si>
  <si>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</si>
  <si>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</si>
  <si>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</si>
  <si>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</si>
  <si>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</si>
  <si>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</si>
  <si>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</si>
  <si>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</si>
  <si>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</si>
  <si>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</si>
  <si>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</si>
  <si>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</si>
  <si>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</si>
  <si>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</si>
  <si>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</si>
  <si>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</si>
  <si>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</si>
  <si>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</si>
  <si>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</si>
  <si>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</si>
  <si>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</si>
  <si>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</si>
  <si>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</si>
  <si>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</si>
  <si>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</si>
  <si>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</si>
  <si>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</si>
  <si>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</si>
  <si>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</si>
  <si>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</si>
  <si>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</si>
  <si>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</si>
  <si>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</si>
  <si>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</si>
  <si>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</si>
  <si>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</si>
  <si>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</si>
  <si>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</si>
  <si>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</si>
  <si>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</si>
  <si>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</si>
  <si>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</si>
  <si>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</si>
  <si>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</si>
  <si>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</si>
  <si>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</si>
  <si>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</si>
  <si>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</si>
  <si>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</si>
  <si>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</si>
  <si>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</si>
  <si>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</si>
  <si>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</si>
  <si>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</si>
  <si>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</si>
  <si>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</si>
  <si>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</si>
  <si>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</si>
  <si>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</si>
  <si>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</si>
  <si>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</si>
  <si>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</si>
  <si>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</si>
  <si>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</si>
  <si>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</si>
  <si>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</si>
  <si>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</si>
  <si>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</si>
  <si>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</si>
  <si>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</si>
  <si>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</si>
  <si>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</si>
  <si>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</si>
  <si>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</si>
  <si>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</si>
  <si>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</si>
  <si>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</si>
  <si>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</si>
  <si>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</si>
  <si>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</si>
  <si>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</si>
  <si>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</si>
  <si>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</si>
  <si>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</si>
  <si>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</si>
  <si>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</si>
  <si>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</si>
  <si>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</si>
  <si>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</si>
  <si>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</si>
  <si>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</si>
  <si>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</si>
  <si>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</si>
  <si>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</si>
  <si>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</si>
  <si>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</si>
  <si>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</si>
  <si>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</si>
  <si>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</si>
  <si>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</si>
  <si>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</si>
  <si>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</si>
  <si>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</si>
  <si>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</si>
  <si>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</si>
  <si>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</si>
  <si>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</si>
  <si>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</si>
  <si>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</si>
  <si>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</si>
  <si>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</si>
  <si>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</si>
  <si>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</si>
  <si>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</si>
  <si>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</si>
  <si>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</si>
  <si>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</si>
  <si>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</si>
  <si>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</si>
  <si>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</si>
  <si>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</si>
  <si>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</si>
  <si>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</si>
  <si>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</si>
  <si>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</si>
  <si>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</si>
  <si>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</si>
  <si>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</si>
  <si>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</si>
  <si>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</si>
  <si>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</si>
  <si>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</si>
  <si>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</si>
  <si>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</si>
  <si>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</si>
  <si>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</si>
  <si>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</si>
  <si>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</si>
  <si>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</si>
  <si>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</si>
  <si>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</si>
  <si>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</si>
  <si>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</si>
  <si>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</si>
  <si>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</si>
  <si>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</si>
  <si>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</si>
  <si>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</si>
  <si>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</si>
  <si>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</si>
  <si>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</si>
  <si>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</si>
  <si>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</si>
  <si>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</si>
  <si>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</si>
  <si>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</si>
  <si>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</si>
  <si>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</si>
  <si>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</si>
  <si>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</si>
  <si>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</si>
  <si>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</si>
  <si>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</si>
  <si>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</si>
  <si>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</si>
  <si>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</si>
  <si>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</si>
  <si>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</si>
  <si>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</si>
  <si>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</si>
  <si>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</si>
  <si>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</si>
  <si>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</si>
  <si>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</si>
  <si>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</si>
  <si>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</si>
  <si>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</si>
  <si>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</si>
  <si>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</si>
  <si>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</si>
  <si>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</si>
  <si>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</si>
  <si>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</si>
  <si>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</si>
  <si>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</si>
  <si>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</si>
  <si>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</si>
  <si>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</si>
  <si>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</si>
  <si>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</si>
  <si>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</si>
  <si>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</si>
  <si>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</si>
  <si>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</si>
  <si>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</si>
  <si>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</si>
  <si>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</si>
  <si>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</si>
  <si>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</si>
  <si>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</si>
  <si>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</si>
  <si>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</si>
  <si>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</si>
  <si>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</si>
  <si>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</si>
  <si>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</si>
  <si>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</si>
  <si>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</si>
  <si>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</si>
  <si>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</si>
  <si>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</si>
  <si>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</si>
  <si>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</si>
  <si>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</si>
  <si>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</si>
  <si>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</si>
  <si>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</si>
  <si>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</si>
  <si>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</si>
  <si>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</si>
  <si>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</si>
  <si>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</si>
  <si>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</si>
  <si>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</si>
  <si>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</si>
  <si>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</si>
  <si>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</si>
  <si>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</si>
  <si>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</si>
  <si>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</si>
  <si>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</si>
  <si>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</si>
  <si>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</si>
  <si>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</si>
  <si>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</si>
  <si>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</si>
  <si>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</si>
  <si>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</si>
  <si>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</si>
  <si>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</si>
  <si>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</si>
  <si>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</si>
  <si>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</si>
  <si>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</si>
  <si>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</si>
  <si>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</si>
  <si>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</si>
  <si>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</si>
  <si>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</si>
  <si>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</si>
  <si>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</si>
  <si>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</si>
  <si>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</si>
  <si>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</si>
  <si>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</si>
  <si>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</si>
  <si>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</si>
  <si>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</si>
  <si>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</si>
  <si>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</si>
  <si>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</si>
  <si>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</si>
  <si>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</si>
  <si>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</si>
  <si>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</si>
  <si>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</si>
  <si>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</si>
  <si>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</si>
  <si>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</si>
  <si>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</si>
  <si>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</si>
  <si>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</si>
  <si>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</si>
  <si>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</si>
  <si>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</si>
  <si>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</si>
  <si>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</si>
  <si>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</si>
  <si>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</si>
  <si>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</si>
  <si>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</si>
  <si>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</si>
  <si>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</si>
  <si>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</si>
  <si>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</si>
  <si>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</si>
  <si>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</si>
  <si>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</si>
  <si>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</si>
  <si>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</si>
  <si>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</si>
  <si>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</si>
  <si>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</si>
  <si>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</si>
  <si>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</si>
  <si>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</si>
  <si>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</si>
  <si>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</si>
  <si>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</si>
  <si>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</si>
  <si>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</si>
  <si>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</si>
  <si>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</si>
  <si>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</si>
  <si>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</si>
  <si>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</si>
  <si>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</si>
  <si>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</si>
  <si>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</si>
  <si>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</si>
  <si>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</si>
  <si>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</si>
  <si>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</si>
  <si>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</si>
  <si>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</si>
  <si>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</si>
  <si>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</si>
  <si>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</si>
  <si>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</si>
  <si>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</si>
  <si>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</si>
  <si>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</si>
  <si>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</si>
  <si>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</si>
  <si>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</si>
  <si>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</si>
  <si>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</si>
  <si>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</si>
  <si>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</si>
  <si>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</si>
  <si>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</si>
  <si>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</si>
  <si>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</si>
  <si>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</si>
  <si>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</si>
  <si>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</si>
  <si>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</si>
  <si>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</si>
  <si>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</si>
  <si>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</si>
  <si>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</si>
  <si>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</si>
  <si>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</si>
  <si>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</si>
  <si>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</si>
  <si>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</si>
  <si>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</si>
  <si>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</si>
  <si>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</si>
  <si>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</si>
  <si>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</si>
  <si>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</si>
  <si>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</si>
  <si>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</si>
  <si>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</si>
  <si>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</si>
  <si>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</si>
  <si>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</si>
  <si>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</si>
  <si>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</si>
  <si>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</si>
  <si>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</si>
  <si>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</si>
  <si>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</si>
  <si>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</si>
  <si>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</si>
  <si>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</si>
  <si>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</si>
  <si>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</si>
  <si>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</si>
  <si>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</si>
  <si>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</si>
  <si>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</si>
  <si>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</si>
  <si>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</si>
  <si>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</si>
  <si>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</si>
  <si>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</si>
  <si>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</si>
  <si>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</si>
  <si>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</si>
  <si>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</si>
  <si>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</si>
  <si>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</si>
  <si>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</si>
  <si>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</si>
  <si>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</si>
  <si>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</si>
  <si>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</si>
  <si>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</si>
  <si>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</si>
  <si>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</si>
  <si>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</si>
  <si>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</si>
  <si>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</si>
  <si>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</si>
  <si>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</si>
  <si>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</si>
  <si>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</si>
  <si>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</si>
  <si>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</si>
  <si>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</si>
  <si>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</si>
  <si>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</si>
  <si>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</si>
  <si>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</si>
  <si>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</si>
  <si>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</si>
  <si>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</si>
  <si>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</si>
  <si>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</si>
  <si>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</si>
  <si>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</si>
  <si>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</si>
  <si>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</si>
  <si>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</si>
  <si>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</si>
  <si>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</si>
  <si>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</si>
  <si>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</si>
  <si>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</si>
  <si>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</si>
  <si>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</si>
  <si>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</si>
  <si>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</si>
  <si>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</si>
  <si>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</si>
  <si>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</si>
  <si>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</si>
  <si>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</si>
  <si>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</si>
  <si>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</si>
  <si>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</si>
  <si>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</si>
  <si>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</si>
  <si>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</si>
  <si>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</si>
  <si>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</si>
  <si>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</si>
  <si>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</si>
  <si>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</si>
  <si>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</si>
  <si>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</si>
  <si>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</si>
  <si>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</si>
  <si>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</si>
  <si>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</si>
  <si>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</si>
  <si>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</si>
  <si>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</si>
  <si>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</si>
  <si>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</si>
  <si>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</si>
  <si>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</si>
  <si>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</si>
  <si>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</si>
  <si>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</si>
  <si>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</si>
  <si>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</si>
  <si>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</si>
  <si>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</si>
  <si>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</si>
  <si>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</si>
  <si>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</si>
  <si>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</si>
  <si>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</si>
  <si>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</si>
  <si>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</si>
  <si>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</si>
  <si>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</si>
  <si>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</si>
  <si>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</si>
  <si>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</si>
  <si>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</si>
  <si>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</si>
  <si>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</si>
  <si>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</si>
  <si>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</si>
  <si>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</si>
  <si>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</si>
  <si>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</si>
  <si>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</si>
  <si>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</si>
  <si>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</si>
  <si>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</si>
  <si>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</si>
  <si>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</si>
  <si>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</si>
  <si>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</si>
  <si>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</si>
  <si>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</si>
  <si>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</si>
  <si>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</si>
  <si>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</si>
  <si>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</si>
  <si>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</si>
  <si>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</si>
  <si>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</si>
  <si>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</si>
  <si>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</si>
  <si>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</si>
  <si>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</si>
  <si>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</si>
  <si>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</si>
  <si>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</si>
  <si>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</si>
  <si>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</si>
  <si>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</si>
  <si>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</si>
  <si>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</si>
  <si>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</si>
  <si>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</si>
  <si>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</si>
  <si>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</si>
  <si>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</si>
  <si>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</si>
  <si>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</si>
  <si>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</si>
  <si>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</si>
  <si>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</si>
  <si>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</si>
  <si>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</si>
  <si>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</si>
  <si>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</si>
  <si>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</si>
  <si>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</si>
  <si>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</si>
  <si>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</si>
  <si>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</si>
  <si>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</si>
  <si>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</si>
  <si>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</si>
  <si>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</si>
  <si>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</si>
  <si>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</si>
  <si>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</si>
  <si>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</si>
  <si>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</si>
  <si>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</si>
  <si>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</si>
  <si>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</si>
  <si>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</si>
  <si>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</si>
  <si>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</si>
  <si>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</si>
  <si>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</si>
  <si>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</si>
  <si>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</si>
  <si>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</si>
  <si>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</si>
  <si>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</si>
  <si>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</si>
  <si>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</si>
  <si>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</si>
  <si>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</si>
  <si>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</si>
  <si>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</si>
  <si>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</si>
  <si>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</si>
  <si>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</si>
  <si>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</si>
  <si>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</si>
  <si>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</si>
  <si>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</si>
  <si>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</si>
  <si>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</si>
  <si>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</si>
  <si>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</si>
  <si>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</si>
  <si>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</si>
  <si>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</si>
  <si>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</si>
  <si>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</si>
  <si>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</si>
  <si>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</si>
  <si>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</si>
  <si>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</si>
  <si>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</si>
  <si>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</si>
  <si>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</si>
  <si>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</si>
  <si>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</si>
  <si>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</si>
  <si>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</si>
  <si>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</si>
  <si>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</si>
  <si>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</si>
  <si>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</si>
  <si>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</si>
  <si>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</si>
  <si>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</si>
  <si>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</si>
  <si>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</si>
  <si>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</si>
  <si>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</si>
  <si>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</si>
  <si>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</si>
  <si>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</si>
  <si>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</si>
  <si>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</si>
  <si>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</si>
  <si>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</si>
  <si>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</si>
  <si>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</si>
  <si>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</si>
  <si>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</si>
  <si>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</si>
  <si>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</si>
  <si>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</si>
  <si>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</si>
  <si>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</si>
  <si>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</si>
  <si>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</si>
  <si>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</si>
  <si>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</si>
  <si>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</si>
  <si>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</si>
  <si>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</si>
  <si>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</si>
  <si>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</si>
  <si>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</si>
  <si>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</si>
  <si>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</si>
  <si>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</si>
  <si>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</si>
  <si>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</si>
  <si>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</si>
  <si>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</si>
  <si>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</si>
  <si>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</si>
  <si>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</si>
  <si>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</si>
  <si>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</si>
  <si>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</si>
  <si>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</si>
  <si>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</si>
  <si>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</si>
  <si>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</si>
  <si>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</si>
  <si>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</si>
  <si>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</si>
  <si>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</si>
  <si>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</si>
  <si>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</si>
  <si>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</si>
  <si>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</si>
  <si>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</si>
  <si>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</si>
  <si>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</si>
  <si>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</si>
  <si>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</si>
  <si>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</si>
  <si>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</si>
  <si>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</si>
  <si>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</si>
  <si>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</si>
  <si>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</si>
  <si>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</si>
  <si>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</si>
  <si>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</si>
  <si>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</si>
  <si>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</si>
  <si>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</si>
  <si>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</si>
  <si>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</si>
  <si>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</si>
  <si>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</si>
  <si>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</si>
  <si>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</si>
  <si>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</si>
  <si>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</si>
  <si>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</si>
  <si>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</si>
  <si>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</si>
  <si>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</si>
  <si>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</si>
  <si>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</si>
  <si>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</si>
  <si>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</si>
  <si>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</si>
  <si>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</si>
  <si>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</si>
  <si>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</si>
  <si>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</si>
  <si>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</si>
  <si>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</si>
  <si>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</si>
  <si>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</si>
  <si>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</si>
  <si>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</si>
  <si>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</si>
  <si>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</si>
  <si>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</si>
  <si>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</si>
  <si>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</si>
  <si>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</si>
  <si>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</si>
  <si>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</si>
  <si>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</si>
  <si>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</si>
  <si>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</si>
  <si>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</si>
  <si>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</si>
  <si>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</si>
  <si>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</si>
  <si>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</si>
  <si>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</si>
  <si>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</si>
  <si>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</si>
  <si>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</si>
  <si>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</si>
  <si>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</si>
  <si>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</si>
  <si>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</si>
  <si>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</si>
  <si>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</si>
  <si>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</si>
  <si>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</si>
  <si>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</si>
  <si>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</si>
  <si>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</si>
  <si>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</si>
  <si>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</si>
  <si>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</si>
  <si>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</si>
  <si>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</si>
  <si>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</si>
  <si>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</si>
  <si>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</si>
  <si>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</si>
  <si>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</si>
  <si>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</si>
  <si>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</si>
  <si>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</si>
  <si>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</si>
  <si>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</si>
  <si>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</si>
  <si>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</si>
  <si>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</si>
  <si>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</si>
  <si>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</si>
  <si>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</si>
  <si>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</si>
  <si>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</si>
  <si>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</si>
  <si>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</si>
  <si>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</si>
  <si>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</si>
  <si>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</si>
  <si>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</si>
  <si>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</si>
  <si>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</si>
  <si>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</si>
  <si>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</si>
  <si>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</si>
  <si>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</si>
  <si>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</si>
  <si>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</si>
  <si>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</si>
  <si>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</si>
  <si>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</si>
  <si>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</si>
  <si>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</si>
  <si>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</si>
  <si>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</si>
  <si>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</si>
  <si>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</si>
  <si>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</si>
  <si>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</si>
  <si>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</si>
  <si>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</si>
  <si>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</si>
  <si>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</si>
  <si>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</si>
  <si>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</si>
  <si>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</si>
  <si>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</si>
  <si>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</si>
  <si>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</si>
  <si>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</si>
  <si>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</si>
  <si>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</si>
  <si>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</si>
  <si>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</si>
  <si>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</si>
  <si>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</si>
  <si>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</si>
  <si>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</si>
  <si>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</si>
  <si>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</si>
  <si>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</si>
  <si>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</si>
  <si>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</si>
  <si>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</si>
  <si>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</si>
  <si>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</si>
  <si>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</si>
  <si>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</si>
  <si>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</si>
  <si>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</si>
  <si>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</si>
  <si>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</si>
  <si>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</si>
  <si>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</si>
  <si>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</si>
  <si>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</si>
  <si>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</si>
  <si>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</si>
  <si>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</si>
  <si>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</si>
  <si>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</si>
  <si>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</si>
  <si>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</si>
  <si>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</si>
  <si>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</si>
  <si>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</si>
  <si>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</si>
  <si>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</si>
  <si>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</si>
  <si>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</si>
  <si>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</si>
  <si>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</si>
  <si>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</si>
  <si>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</si>
  <si>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</si>
  <si>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</si>
  <si>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</si>
  <si>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</si>
  <si>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</si>
  <si>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</si>
  <si>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</si>
  <si>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</si>
  <si>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</si>
  <si>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</si>
  <si>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</si>
  <si>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</si>
  <si>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</si>
  <si>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</si>
  <si>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</si>
  <si>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</si>
  <si>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</si>
  <si>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</si>
  <si>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</si>
  <si>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</si>
  <si>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</si>
  <si>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</si>
  <si>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</si>
  <si>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</si>
  <si>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</si>
  <si>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</si>
  <si>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</si>
  <si>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</si>
  <si>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</si>
  <si>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</si>
  <si>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</si>
  <si>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</si>
  <si>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</si>
  <si>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</si>
  <si>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</si>
  <si>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</si>
  <si>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</si>
  <si>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</si>
  <si>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</si>
  <si>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</si>
  <si>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</si>
  <si>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</si>
  <si>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</si>
  <si>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</si>
  <si>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</si>
  <si>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</si>
  <si>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</si>
  <si>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</si>
  <si>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</si>
  <si>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</si>
  <si>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</si>
  <si>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</si>
  <si>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</si>
  <si>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</si>
  <si>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</si>
  <si>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</si>
  <si>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</si>
  <si>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</si>
  <si>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</si>
  <si>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</si>
  <si>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</si>
  <si>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</si>
  <si>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</si>
  <si>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</si>
  <si>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</si>
  <si>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</si>
  <si>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</si>
  <si>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</si>
  <si>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</si>
  <si>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</si>
  <si>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</si>
  <si>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</si>
  <si>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</si>
  <si>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</si>
  <si>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</si>
  <si>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</si>
  <si>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</si>
  <si>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</si>
  <si>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</si>
  <si>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</si>
  <si>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</si>
  <si>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</si>
  <si>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</si>
  <si>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</si>
  <si>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</si>
  <si>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</si>
  <si>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</si>
  <si>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</si>
  <si>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</si>
  <si>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</si>
  <si>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</si>
  <si>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</si>
  <si>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</si>
  <si>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</si>
  <si>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</si>
  <si>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</si>
  <si>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</si>
  <si>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</si>
  <si>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</si>
  <si>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</si>
  <si>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</si>
  <si>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</si>
  <si>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</si>
  <si>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</si>
  <si>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</si>
  <si>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</si>
  <si>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</si>
  <si>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</si>
  <si>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</si>
  <si>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</si>
  <si>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</si>
  <si>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</si>
  <si>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</si>
  <si>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</si>
  <si>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</si>
  <si>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</si>
  <si>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</si>
  <si>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</si>
  <si>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</si>
  <si>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</si>
  <si>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</si>
  <si>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</si>
  <si>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</si>
  <si>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</si>
  <si>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</si>
  <si>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</si>
  <si>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</si>
  <si>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</si>
  <si>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</si>
  <si>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</si>
  <si>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</si>
  <si>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</si>
  <si>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</si>
  <si>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</si>
  <si>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</si>
  <si>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</si>
  <si>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</si>
  <si>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</si>
  <si>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</si>
  <si>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</si>
  <si>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</si>
  <si>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</si>
  <si>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</si>
  <si>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</si>
  <si>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</si>
  <si>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</si>
  <si>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</si>
  <si>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</si>
  <si>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</si>
  <si>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</si>
  <si>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</si>
  <si>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</si>
  <si>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</si>
  <si>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</si>
  <si>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</si>
  <si>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</si>
  <si>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</si>
  <si>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</si>
  <si>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</si>
  <si>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</si>
  <si>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</si>
  <si>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</si>
  <si>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</si>
  <si>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</si>
  <si>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</si>
  <si>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</si>
  <si>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</si>
  <si>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</si>
  <si>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</si>
  <si>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</si>
  <si>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</si>
  <si>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</si>
  <si>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</si>
  <si>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</si>
  <si>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</si>
  <si>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</si>
  <si>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</si>
  <si>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</si>
  <si>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</si>
  <si>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</si>
  <si>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</si>
  <si>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</si>
  <si>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</si>
  <si>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</si>
  <si>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</si>
  <si>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</si>
  <si>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</si>
  <si>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</si>
  <si>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</si>
  <si>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</si>
  <si>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</si>
  <si>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</si>
  <si>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</si>
  <si>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</si>
  <si>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</si>
  <si>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</si>
  <si>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</si>
  <si>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</si>
  <si>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</si>
  <si>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</si>
  <si>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</si>
  <si>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</si>
  <si>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</si>
  <si>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</si>
  <si>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</si>
  <si>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</si>
  <si>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</si>
  <si>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</si>
  <si>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</si>
  <si>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</si>
  <si>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</si>
  <si>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</si>
  <si>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</si>
  <si>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</si>
  <si>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</si>
  <si>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</si>
  <si>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</si>
  <si>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</si>
  <si>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</si>
  <si>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</si>
  <si>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</si>
  <si>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</si>
  <si>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</si>
  <si>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</si>
  <si>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</si>
  <si>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</si>
  <si>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</si>
  <si>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</si>
  <si>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</si>
  <si>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</si>
  <si>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</si>
  <si>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</si>
  <si>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</si>
  <si>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</si>
  <si>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</si>
  <si>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</si>
  <si>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</si>
  <si>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</si>
  <si>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</si>
  <si>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</si>
  <si>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</si>
  <si>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</si>
  <si>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</si>
  <si>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</si>
  <si>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</si>
  <si>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</si>
  <si>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</si>
  <si>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</si>
  <si>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</si>
  <si>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</si>
  <si>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</si>
  <si>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</si>
  <si>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</si>
  <si>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</si>
  <si>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</si>
  <si>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</si>
  <si>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</si>
  <si>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</si>
  <si>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</si>
  <si>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</si>
  <si>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</si>
  <si>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</si>
  <si>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</si>
  <si>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</si>
  <si>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</si>
  <si>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</si>
  <si>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</si>
  <si>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</si>
  <si>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</si>
  <si>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</si>
  <si>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</si>
  <si>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</si>
  <si>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</si>
  <si>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</si>
  <si>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</si>
  <si>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</si>
  <si>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</si>
  <si>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</si>
  <si>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</si>
  <si>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</si>
  <si>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</si>
  <si>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</si>
  <si>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</si>
  <si>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</si>
  <si>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</si>
  <si>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</si>
  <si>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</si>
  <si>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</si>
  <si>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</si>
  <si>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</si>
  <si>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</si>
  <si>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</si>
  <si>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</si>
  <si>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</si>
  <si>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</si>
  <si>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</si>
  <si>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</si>
  <si>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</si>
  <si>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</si>
  <si>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</si>
  <si>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</si>
  <si>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</si>
  <si>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</si>
  <si>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</si>
  <si>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</si>
  <si>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</si>
  <si>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</si>
  <si>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</si>
  <si>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</si>
  <si>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</si>
  <si>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</si>
  <si>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</si>
  <si>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</si>
  <si>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</si>
  <si>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</si>
  <si>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</si>
  <si>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</si>
  <si>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</si>
  <si>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</si>
  <si>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</si>
  <si>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</si>
  <si>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</si>
  <si>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</si>
  <si>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</si>
  <si>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</si>
  <si>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</si>
  <si>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</si>
  <si>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</si>
  <si>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</si>
  <si>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</si>
  <si>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</si>
  <si>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</si>
  <si>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</si>
  <si>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</si>
  <si>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</si>
  <si>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</si>
  <si>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</si>
  <si>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</si>
  <si>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</si>
  <si>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</si>
  <si>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</si>
  <si>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</si>
  <si>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</si>
  <si>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</si>
  <si>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</si>
  <si>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</si>
  <si>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</si>
  <si>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</si>
  <si>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</si>
  <si>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</si>
  <si>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</si>
  <si>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</si>
  <si>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</si>
  <si>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</si>
  <si>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</si>
  <si>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</si>
  <si>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</si>
  <si>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</si>
  <si>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</si>
  <si>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</si>
  <si>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</si>
  <si>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</si>
  <si>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</si>
  <si>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</si>
  <si>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</si>
  <si>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</si>
  <si>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</si>
  <si>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</si>
  <si>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</si>
  <si>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</si>
  <si>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</si>
  <si>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</si>
  <si>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</si>
  <si>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</si>
  <si>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</si>
  <si>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</si>
  <si>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</si>
  <si>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</si>
  <si>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</si>
  <si>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</si>
  <si>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</si>
  <si>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</si>
  <si>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</si>
  <si>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</si>
  <si>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</si>
  <si>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</si>
  <si>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</si>
  <si>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</si>
  <si>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</si>
  <si>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</si>
  <si>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</si>
  <si>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</si>
  <si>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</si>
  <si>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</si>
  <si>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</si>
  <si>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</si>
  <si>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</si>
  <si>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</si>
  <si>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</si>
  <si>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</si>
  <si>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</si>
  <si>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</si>
  <si>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</si>
  <si>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</si>
  <si>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</si>
  <si>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</si>
  <si>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</si>
  <si>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</si>
  <si>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</si>
  <si>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</si>
  <si>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</si>
  <si>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</si>
  <si>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</si>
  <si>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</si>
  <si>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</si>
  <si>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</si>
  <si>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</si>
  <si>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</si>
  <si>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</si>
  <si>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</si>
  <si>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</si>
  <si>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</si>
  <si>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</si>
  <si>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</si>
  <si>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</si>
  <si>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</si>
  <si>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</si>
  <si>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</si>
  <si>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</si>
  <si>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</si>
  <si>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</si>
  <si>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</si>
  <si>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</si>
  <si>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</si>
  <si>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</si>
  <si>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</si>
  <si>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</si>
  <si>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</si>
  <si>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</si>
  <si>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</si>
  <si>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</si>
  <si>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</si>
  <si>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</si>
  <si>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</si>
  <si>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</si>
  <si>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</si>
  <si>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</si>
  <si>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</si>
  <si>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</si>
  <si>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</si>
  <si>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</si>
  <si>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</si>
  <si>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</si>
  <si>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</si>
  <si>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</si>
  <si>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</si>
  <si>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</si>
  <si>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</si>
  <si>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</si>
  <si>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</si>
  <si>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</si>
  <si>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</si>
  <si>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</si>
  <si>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</si>
  <si>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</si>
  <si>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</si>
  <si>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</si>
  <si>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</si>
  <si>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</si>
  <si>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</si>
  <si>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</si>
  <si>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</si>
  <si>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</si>
  <si>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</si>
  <si>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</si>
  <si>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</si>
  <si>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</si>
  <si>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</si>
  <si>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</si>
  <si>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</si>
  <si>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</si>
  <si>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</si>
  <si>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</si>
  <si>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</si>
  <si>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</si>
  <si>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</si>
  <si>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</si>
  <si>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</si>
  <si>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</si>
  <si>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</si>
  <si>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</si>
  <si>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</si>
  <si>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</si>
  <si>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</si>
  <si>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</si>
  <si>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</si>
  <si>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</si>
  <si>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</si>
  <si>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</si>
  <si>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</si>
  <si>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</si>
  <si>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</si>
  <si>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</si>
  <si>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</si>
  <si>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</si>
  <si>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</si>
  <si>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</si>
  <si>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</si>
  <si>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</si>
  <si>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</si>
  <si>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</si>
  <si>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</si>
  <si>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</si>
  <si>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</si>
  <si>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</si>
  <si>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</si>
  <si>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</si>
  <si>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</si>
  <si>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</si>
  <si>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</si>
  <si>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</si>
  <si>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</si>
  <si>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</si>
  <si>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</si>
  <si>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</si>
  <si>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</si>
  <si>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</si>
  <si>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</si>
  <si>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</si>
  <si>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</si>
  <si>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</si>
  <si>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</si>
  <si>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</si>
  <si>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</si>
  <si>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</si>
  <si>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</si>
  <si>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</si>
  <si>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</si>
  <si>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</si>
  <si>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</si>
  <si>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</si>
  <si>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</si>
  <si>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</si>
  <si>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</si>
  <si>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</si>
  <si>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</si>
  <si>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</si>
  <si>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</si>
  <si>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</si>
  <si>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</si>
  <si>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</si>
  <si>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</si>
  <si>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</si>
  <si>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</si>
  <si>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</si>
  <si>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</si>
  <si>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</si>
  <si>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</si>
  <si>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</si>
  <si>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</si>
  <si>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</si>
  <si>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</si>
  <si>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</si>
  <si>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</si>
  <si>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</si>
  <si>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</si>
  <si>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</si>
  <si>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</si>
  <si>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</si>
  <si>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</si>
  <si>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</si>
  <si>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</si>
  <si>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</si>
  <si>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</si>
  <si>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</si>
  <si>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</si>
  <si>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</si>
  <si>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</si>
  <si>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</si>
  <si>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</si>
  <si>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</si>
  <si>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</si>
  <si>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</si>
  <si>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</si>
  <si>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</si>
  <si>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</si>
  <si>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</si>
  <si>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</si>
  <si>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</si>
  <si>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</si>
  <si>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</si>
  <si>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</si>
  <si>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</si>
  <si>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</si>
  <si>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</si>
  <si>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</si>
  <si>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</si>
  <si>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</si>
  <si>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</si>
  <si>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</si>
  <si>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</si>
  <si>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</si>
  <si>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</si>
  <si>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</si>
  <si>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</si>
  <si>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</si>
  <si>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</si>
  <si>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</si>
  <si>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</si>
  <si>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</si>
  <si>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</si>
  <si>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</si>
  <si>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</si>
  <si>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</si>
  <si>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</si>
  <si>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</si>
  <si>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</si>
  <si>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</si>
  <si>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</si>
  <si>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</si>
  <si>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</si>
  <si>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</si>
  <si>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</si>
  <si>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</si>
  <si>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</si>
  <si>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</si>
  <si>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</si>
  <si>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</si>
  <si>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</si>
  <si>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</si>
  <si>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</si>
  <si>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</si>
  <si>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</si>
  <si>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</si>
  <si>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</si>
  <si>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</si>
  <si>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</si>
  <si>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</si>
  <si>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</si>
  <si>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</si>
  <si>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</si>
  <si>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</si>
  <si>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</si>
  <si>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</si>
  <si>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</si>
  <si>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</si>
  <si>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</si>
  <si>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</si>
  <si>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</si>
  <si>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</si>
  <si>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</si>
  <si>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</si>
  <si>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</si>
  <si>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</si>
  <si>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</si>
  <si>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</si>
  <si>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</si>
  <si>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</si>
  <si>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</si>
  <si>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</si>
  <si>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</si>
  <si>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</si>
  <si>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</si>
  <si>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</si>
  <si>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</si>
  <si>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</si>
  <si>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</si>
  <si>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</si>
  <si>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</si>
  <si>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</si>
  <si>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</si>
  <si>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</si>
  <si>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</si>
  <si>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</si>
  <si>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</si>
  <si>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</si>
  <si>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</si>
  <si>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</si>
  <si>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</si>
  <si>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</si>
  <si>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</si>
  <si>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</si>
  <si>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</si>
  <si>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</si>
  <si>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</si>
  <si>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</si>
  <si>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</si>
  <si>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</si>
  <si>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</si>
  <si>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</si>
  <si>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</si>
  <si>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</si>
  <si>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</si>
  <si>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</si>
  <si>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</si>
  <si>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</si>
  <si>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</si>
  <si>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</si>
  <si>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</si>
  <si>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</si>
  <si>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</si>
  <si>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</si>
  <si>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</si>
  <si>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</si>
  <si>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</si>
  <si>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</si>
  <si>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</si>
  <si>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</si>
  <si>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</si>
  <si>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</si>
  <si>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</si>
  <si>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</si>
  <si>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</si>
  <si>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</si>
  <si>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</si>
  <si>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</si>
  <si>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</si>
  <si>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</si>
  <si>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</si>
  <si>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</si>
  <si>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</si>
  <si>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</si>
  <si>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</si>
  <si>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</si>
  <si>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</si>
  <si>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</si>
  <si>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</si>
  <si>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</si>
  <si>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</si>
  <si>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</si>
  <si>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</si>
  <si>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</si>
  <si>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</si>
  <si>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</si>
  <si>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</si>
  <si>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</si>
  <si>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</si>
  <si>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</si>
  <si>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</si>
  <si>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</si>
  <si>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</si>
  <si>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</si>
  <si>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</si>
  <si>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</si>
  <si>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</si>
  <si>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</si>
  <si>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</si>
  <si>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</si>
  <si>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</si>
  <si>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</si>
  <si>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</si>
  <si>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</si>
  <si>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</si>
  <si>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</si>
  <si>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</si>
  <si>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</si>
  <si>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</si>
  <si>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</si>
  <si>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</si>
  <si>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</si>
  <si>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</si>
  <si>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</si>
  <si>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</si>
  <si>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</si>
  <si>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</si>
  <si>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</si>
  <si>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</si>
  <si>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</si>
  <si>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</si>
  <si>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</si>
  <si>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</si>
  <si>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</si>
  <si>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</si>
  <si>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</si>
  <si>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</si>
  <si>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</si>
  <si>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</si>
  <si>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</si>
  <si>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</si>
  <si>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</si>
  <si>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</si>
  <si>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</si>
  <si>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</si>
  <si>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</si>
  <si>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</si>
  <si>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</si>
  <si>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</si>
  <si>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</si>
  <si>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</si>
  <si>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</si>
  <si>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</si>
  <si>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</si>
  <si>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</si>
  <si>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</si>
  <si>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</si>
  <si>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</si>
  <si>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</si>
  <si>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</si>
  <si>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</si>
  <si>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</si>
  <si>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</si>
  <si>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</si>
  <si>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</si>
  <si>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</si>
  <si>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</si>
  <si>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</si>
  <si>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</si>
  <si>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</si>
  <si>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</si>
  <si>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</si>
  <si>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</si>
  <si>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</si>
  <si>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</si>
  <si>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</si>
  <si>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</si>
  <si>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</si>
  <si>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</si>
  <si>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</si>
  <si>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</si>
  <si>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</si>
  <si>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</si>
  <si>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</si>
  <si>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</si>
  <si>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</si>
  <si>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</si>
  <si>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</si>
  <si>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</si>
  <si>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</si>
  <si>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</si>
  <si>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</si>
  <si>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</si>
  <si>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</si>
  <si>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</si>
  <si>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</si>
  <si>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</si>
  <si>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</si>
  <si>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</si>
  <si>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</si>
  <si>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</si>
  <si>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</si>
  <si>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</si>
  <si>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</si>
  <si>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</si>
  <si>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</si>
  <si>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</si>
  <si>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</si>
  <si>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</si>
  <si>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</si>
  <si>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</si>
  <si>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</si>
  <si>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</si>
  <si>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</si>
  <si>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</si>
  <si>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</si>
  <si>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</si>
  <si>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</si>
  <si>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</si>
  <si>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</si>
  <si>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</si>
  <si>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</si>
  <si>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</si>
  <si>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</si>
  <si>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</si>
  <si>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</si>
  <si>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</si>
  <si>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</si>
  <si>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</si>
  <si>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</si>
  <si>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</si>
  <si>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</si>
  <si>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</si>
  <si>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</si>
  <si>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</si>
  <si>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</si>
  <si>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</si>
  <si>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</si>
  <si>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</si>
  <si>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</si>
  <si>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</si>
  <si>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</si>
  <si>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</si>
  <si>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</si>
  <si>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</si>
  <si>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</si>
  <si>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</si>
  <si>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</si>
  <si>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</si>
  <si>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</si>
  <si>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</si>
  <si>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</si>
  <si>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</si>
  <si>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</si>
  <si>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</si>
  <si>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</si>
  <si>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</si>
  <si>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</si>
  <si>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</si>
  <si>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</si>
  <si>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</si>
  <si>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</si>
  <si>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</si>
  <si>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</si>
  <si>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</si>
  <si>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</si>
  <si>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</si>
  <si>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</si>
  <si>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</si>
  <si>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</si>
  <si>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</si>
  <si>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</si>
  <si>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</si>
  <si>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</si>
  <si>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</si>
  <si>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</si>
  <si>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</si>
  <si>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</si>
  <si>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</si>
  <si>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</si>
  <si>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</si>
  <si>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</si>
  <si>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</si>
  <si>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</si>
  <si>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</si>
  <si>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</si>
  <si>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</si>
  <si>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</si>
  <si>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</si>
  <si>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</si>
  <si>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</si>
  <si>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</si>
  <si>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</si>
  <si>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</si>
  <si>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</si>
  <si>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</si>
  <si>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</si>
  <si>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</si>
  <si>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</si>
  <si>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</si>
  <si>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</si>
  <si>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</si>
  <si>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</si>
  <si>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</si>
  <si>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</si>
  <si>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</si>
  <si>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</si>
  <si>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</si>
  <si>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</si>
  <si>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</si>
  <si>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</si>
  <si>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</si>
  <si>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</si>
  <si>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</si>
  <si>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</si>
  <si>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</si>
  <si>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</si>
  <si>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</si>
  <si>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</si>
  <si>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</si>
  <si>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</si>
  <si>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</si>
  <si>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</si>
  <si>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</si>
  <si>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</si>
  <si>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</si>
  <si>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</si>
  <si>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</si>
  <si>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</si>
  <si>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</si>
  <si>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</si>
  <si>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</si>
  <si>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</si>
  <si>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</si>
  <si>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</si>
  <si>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</si>
  <si>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</si>
  <si>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</si>
  <si>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</si>
  <si>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</si>
  <si>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</si>
  <si>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</si>
  <si>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</si>
  <si>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</si>
  <si>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</si>
  <si>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u16</t>
  </si>
  <si>
    <t>s</t>
  </si>
  <si>
    <t>u8</t>
  </si>
  <si>
    <t>b</t>
  </si>
  <si>
    <t>troops</t>
  </si>
  <si>
    <t>gold</t>
  </si>
  <si>
    <t>food</t>
  </si>
  <si>
    <t>business</t>
  </si>
  <si>
    <t>event</t>
  </si>
  <si>
    <t>specialty</t>
  </si>
  <si>
    <t>u32</t>
  </si>
  <si>
    <t>城市</t>
  </si>
  <si>
    <t>人口</t>
  </si>
  <si>
    <t>金收入</t>
  </si>
  <si>
    <t>粮食收入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</si>
  <si>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</si>
  <si>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</si>
  <si>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</si>
  <si>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</si>
  <si>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</si>
  <si>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</si>
  <si>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</si>
  <si>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</si>
  <si>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</si>
  <si>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</si>
  <si>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</si>
  <si>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</si>
  <si>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</si>
  <si>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</si>
  <si>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</si>
  <si>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</si>
  <si>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</si>
  <si>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</si>
  <si>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</si>
  <si>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</si>
  <si>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</si>
  <si>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</si>
  <si>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</si>
  <si>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</si>
  <si>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</si>
  <si>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</si>
  <si>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</si>
  <si>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</si>
  <si>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</si>
  <si>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</si>
  <si>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</si>
  <si>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</si>
  <si>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</si>
  <si>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</si>
  <si>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</si>
  <si>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</si>
  <si>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</si>
  <si>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</si>
  <si>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</si>
  <si>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</si>
  <si>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</si>
  <si>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</si>
  <si>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</si>
  <si>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</si>
  <si>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</si>
  <si>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</si>
  <si>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</si>
  <si>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</si>
  <si>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</si>
  <si>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</si>
  <si>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</si>
  <si>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</si>
  <si>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</si>
  <si>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</si>
  <si>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</si>
  <si>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</si>
  <si>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</si>
  <si>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</si>
  <si>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goldIncome</t>
  </si>
  <si>
    <t>foodIncome</t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</si>
  <si>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</si>
  <si>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</si>
  <si>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</si>
  <si>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</si>
  <si>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</si>
  <si>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</si>
  <si>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</si>
  <si>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</si>
  <si>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</si>
  <si>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</si>
  <si>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</si>
  <si>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</si>
  <si>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</si>
  <si>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</si>
  <si>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</si>
  <si>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</si>
  <si>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</si>
  <si>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</si>
  <si>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</si>
  <si>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</si>
  <si>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</si>
  <si>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</si>
  <si>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</si>
  <si>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</si>
  <si>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</si>
  <si>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</si>
  <si>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</si>
  <si>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</si>
  <si>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</si>
  <si>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</si>
  <si>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FeatureList</t>
    <phoneticPr fontId="1" type="noConversion"/>
  </si>
  <si>
    <t>WaterLv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</si>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</sst>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2859</v>
      </c>
      <c r="D1" s="19" t="s">
        <v>3134</v>
      </c>
      <c r="E1" s="19" t="s">
        <v>2853</v>
      </c>
      <c r="F1" s="19" t="s">
        <v>3135</v>
      </c>
      <c r="G1" s="19" t="s">
        <v>50</v>
      </c>
      <c r="H1" s="19" t="s">
        <v>51</v>
      </c>
      <c r="I1" s="19" t="s">
        <v>2862</v>
      </c>
      <c r="J1" s="19" t="s">
        <v>3138</v>
      </c>
      <c r="K1" s="18" t="s">
        <v>53</v>
      </c>
    </row>
    <row r="2" spans="1:11" s="1" customFormat="1" ht="25.5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3140</v>
      </c>
      <c r="B3" s="6" t="s">
        <v>2860</v>
      </c>
      <c r="C3" s="6" t="s">
        <v>2861</v>
      </c>
      <c r="D3" s="6" t="s">
        <v>3133</v>
      </c>
      <c r="E3" s="6" t="s">
        <v>3126</v>
      </c>
      <c r="F3" s="6" t="s">
        <v>3136</v>
      </c>
      <c r="G3" s="6" t="s">
        <v>2863</v>
      </c>
      <c r="H3" s="6" t="s">
        <v>2864</v>
      </c>
      <c r="I3" s="6" t="s">
        <v>2865</v>
      </c>
      <c r="J3" s="6" t="s">
        <v>3137</v>
      </c>
      <c r="K3" s="6" t="s">
        <v>3124</v>
      </c>
    </row>
    <row r="4" spans="1:11" s="24" customFormat="1" ht="15.75" customHeight="1" x14ac:dyDescent="0.15">
      <c r="A4" s="23" t="s">
        <v>3140</v>
      </c>
      <c r="B4" s="24" t="s">
        <v>3128</v>
      </c>
      <c r="C4" s="24" t="s">
        <v>3129</v>
      </c>
      <c r="D4" s="24" t="s">
        <v>3129</v>
      </c>
      <c r="E4" s="24" t="s">
        <v>3129</v>
      </c>
      <c r="F4" s="24" t="s">
        <v>3129</v>
      </c>
      <c r="G4" s="24" t="s">
        <v>3130</v>
      </c>
      <c r="H4" s="24" t="s">
        <v>3128</v>
      </c>
      <c r="I4" s="24" t="s">
        <v>3128</v>
      </c>
      <c r="J4" s="24" t="s">
        <v>3139</v>
      </c>
      <c r="K4" s="24" t="s">
        <v>3139</v>
      </c>
    </row>
    <row r="5" spans="1:11" x14ac:dyDescent="0.15">
      <c r="B5" s="2" t="s">
        <v>54</v>
      </c>
      <c r="C5" s="2" t="s">
        <v>2858</v>
      </c>
      <c r="D5" s="2" t="s">
        <v>3127</v>
      </c>
      <c r="E5" s="2" t="s">
        <v>3127</v>
      </c>
      <c r="F5" s="2" t="s">
        <v>3127</v>
      </c>
      <c r="G5" s="2">
        <v>251</v>
      </c>
      <c r="H5" s="2">
        <v>1</v>
      </c>
      <c r="I5" s="2" t="s">
        <v>2852</v>
      </c>
      <c r="J5" s="2" t="s">
        <v>2852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3150</v>
      </c>
      <c r="D1" s="19" t="s">
        <v>3149</v>
      </c>
      <c r="E1" s="19" t="s">
        <v>3148</v>
      </c>
      <c r="F1" s="19" t="s">
        <v>3147</v>
      </c>
      <c r="G1" s="19" t="s">
        <v>3146</v>
      </c>
      <c r="H1" s="19"/>
      <c r="I1" s="19"/>
      <c r="J1" s="19"/>
      <c r="K1" s="18"/>
    </row>
    <row r="2" spans="1:11" x14ac:dyDescent="0.15">
      <c r="A2" s="1" t="s">
        <v>2866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3140</v>
      </c>
      <c r="B3" s="6" t="s">
        <v>3297</v>
      </c>
      <c r="C3" s="6" t="s">
        <v>3141</v>
      </c>
      <c r="D3" s="6" t="s">
        <v>3142</v>
      </c>
      <c r="E3" s="6" t="s">
        <v>3143</v>
      </c>
      <c r="F3" s="6" t="s">
        <v>3144</v>
      </c>
      <c r="G3" s="6" t="s">
        <v>3145</v>
      </c>
      <c r="H3" s="6"/>
      <c r="I3" s="6"/>
      <c r="J3" s="6"/>
      <c r="K3" s="6"/>
    </row>
    <row r="4" spans="1:11" x14ac:dyDescent="0.15">
      <c r="A4" s="23" t="s">
        <v>3140</v>
      </c>
      <c r="B4" s="23" t="s">
        <v>3131</v>
      </c>
      <c r="C4" s="24" t="s">
        <v>3131</v>
      </c>
      <c r="D4" s="24" t="s">
        <v>3130</v>
      </c>
      <c r="E4" s="24" t="s">
        <v>3128</v>
      </c>
      <c r="F4" s="24" t="s">
        <v>3130</v>
      </c>
      <c r="G4" s="24" t="s">
        <v>3128</v>
      </c>
      <c r="H4" s="24"/>
      <c r="I4" s="24"/>
      <c r="J4" s="24"/>
      <c r="K4" s="25"/>
    </row>
    <row r="5" spans="1:11" x14ac:dyDescent="0.15">
      <c r="A5" s="2"/>
      <c r="B5" s="2" t="s">
        <v>3248</v>
      </c>
      <c r="C5" s="2" t="s">
        <v>3152</v>
      </c>
      <c r="D5" s="2" t="s">
        <v>571</v>
      </c>
      <c r="E5" s="2" t="s">
        <v>32</v>
      </c>
      <c r="F5" s="2" t="s">
        <v>487</v>
      </c>
      <c r="G5" s="2" t="s">
        <v>3151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tabSelected="1" zoomScaleNormal="100" workbookViewId="0">
      <selection activeCell="G5" sqref="G5:G836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3063</v>
      </c>
      <c r="B1" s="12" t="s">
        <v>0</v>
      </c>
      <c r="C1" s="12" t="s">
        <v>2850</v>
      </c>
      <c r="D1" s="12" t="s">
        <v>76</v>
      </c>
      <c r="E1" s="12"/>
      <c r="F1" s="12"/>
      <c r="G1" s="12" t="s">
        <v>75</v>
      </c>
      <c r="H1" s="12"/>
      <c r="I1" s="12" t="s">
        <v>3170</v>
      </c>
      <c r="J1" s="12"/>
      <c r="K1" s="12" t="s">
        <v>361</v>
      </c>
      <c r="L1" s="12" t="s">
        <v>362</v>
      </c>
      <c r="M1" s="12" t="s">
        <v>363</v>
      </c>
      <c r="N1" s="8" t="s">
        <v>3155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3062</v>
      </c>
      <c r="W1" s="12" t="s">
        <v>3158</v>
      </c>
      <c r="Y1" s="9" t="s">
        <v>3125</v>
      </c>
      <c r="AA1" s="12" t="s">
        <v>341</v>
      </c>
      <c r="AB1" s="12" t="s">
        <v>3053</v>
      </c>
      <c r="AC1" s="12" t="s">
        <v>3054</v>
      </c>
      <c r="AD1" s="9" t="s">
        <v>3055</v>
      </c>
      <c r="AE1" s="12" t="s">
        <v>342</v>
      </c>
      <c r="AF1" s="12" t="s">
        <v>3056</v>
      </c>
      <c r="AG1" s="12" t="s">
        <v>343</v>
      </c>
      <c r="AH1" s="12" t="s">
        <v>3058</v>
      </c>
      <c r="AI1" s="12" t="s">
        <v>1</v>
      </c>
      <c r="AJ1" s="12" t="s">
        <v>349</v>
      </c>
      <c r="AL1" s="12" t="s">
        <v>350</v>
      </c>
      <c r="AN1" s="12" t="s">
        <v>3061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3165</v>
      </c>
      <c r="AZ1" s="12" t="s">
        <v>3307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3140</v>
      </c>
      <c r="B3" s="10" t="s">
        <v>3153</v>
      </c>
      <c r="C3" s="10" t="s">
        <v>3154</v>
      </c>
      <c r="D3" s="10" t="s">
        <v>3268</v>
      </c>
      <c r="E3" s="11"/>
      <c r="G3" s="10" t="s">
        <v>3269</v>
      </c>
      <c r="H3" s="11"/>
      <c r="I3" s="13" t="s">
        <v>3285</v>
      </c>
      <c r="K3" s="13" t="s">
        <v>3169</v>
      </c>
      <c r="L3" s="13" t="s">
        <v>3168</v>
      </c>
      <c r="M3" s="13" t="s">
        <v>3167</v>
      </c>
      <c r="N3" s="13" t="s">
        <v>3136</v>
      </c>
      <c r="O3" s="13" t="s">
        <v>3157</v>
      </c>
      <c r="P3" s="13" t="s">
        <v>3156</v>
      </c>
      <c r="Q3" s="13" t="s">
        <v>3060</v>
      </c>
      <c r="R3" s="13" t="s">
        <v>3140</v>
      </c>
      <c r="S3" s="13" t="s">
        <v>3159</v>
      </c>
      <c r="T3" s="13" t="s">
        <v>3160</v>
      </c>
      <c r="U3" s="13" t="s">
        <v>3161</v>
      </c>
      <c r="V3" s="13" t="s">
        <v>3162</v>
      </c>
      <c r="W3" s="13" t="s">
        <v>2870</v>
      </c>
      <c r="X3" s="13" t="s">
        <v>3140</v>
      </c>
      <c r="Y3" s="13" t="s">
        <v>3295</v>
      </c>
      <c r="Z3" s="14" t="s">
        <v>3140</v>
      </c>
      <c r="AA3" s="13" t="s">
        <v>3242</v>
      </c>
      <c r="AB3" s="13" t="s">
        <v>3284</v>
      </c>
      <c r="AC3" s="13" t="s">
        <v>3280</v>
      </c>
      <c r="AD3" s="13" t="s">
        <v>3281</v>
      </c>
      <c r="AE3" s="13" t="s">
        <v>3282</v>
      </c>
      <c r="AF3" s="13" t="s">
        <v>3283</v>
      </c>
      <c r="AG3" s="13" t="s">
        <v>3057</v>
      </c>
      <c r="AH3" s="13" t="s">
        <v>3059</v>
      </c>
      <c r="AI3" s="13" t="s">
        <v>3249</v>
      </c>
      <c r="AJ3" s="13" t="s">
        <v>3279</v>
      </c>
      <c r="AK3" s="13" t="s">
        <v>3140</v>
      </c>
      <c r="AL3" s="13" t="s">
        <v>3278</v>
      </c>
      <c r="AM3" s="13" t="s">
        <v>3140</v>
      </c>
      <c r="AN3" s="13" t="s">
        <v>3262</v>
      </c>
      <c r="AO3" s="13" t="s">
        <v>3140</v>
      </c>
      <c r="AP3" s="13" t="s">
        <v>3263</v>
      </c>
      <c r="AQ3" s="13" t="s">
        <v>3264</v>
      </c>
      <c r="AR3" s="13" t="s">
        <v>3261</v>
      </c>
      <c r="AS3" s="13" t="s">
        <v>3271</v>
      </c>
      <c r="AT3" s="13" t="s">
        <v>3272</v>
      </c>
      <c r="AU3" s="13" t="s">
        <v>3273</v>
      </c>
      <c r="AV3" s="13" t="s">
        <v>3274</v>
      </c>
      <c r="AW3" s="13" t="s">
        <v>3275</v>
      </c>
      <c r="AX3" s="13" t="s">
        <v>3277</v>
      </c>
      <c r="AY3" s="13" t="s">
        <v>3276</v>
      </c>
      <c r="AZ3" s="13" t="s">
        <v>3306</v>
      </c>
    </row>
    <row r="4" spans="1:70" s="24" customFormat="1" ht="15.75" customHeight="1" x14ac:dyDescent="0.15">
      <c r="A4" s="23" t="s">
        <v>3140</v>
      </c>
      <c r="B4" s="24" t="s">
        <v>3139</v>
      </c>
      <c r="C4" s="24" t="s">
        <v>3129</v>
      </c>
      <c r="D4" s="24" t="s">
        <v>3139</v>
      </c>
      <c r="E4" s="24" t="s">
        <v>3140</v>
      </c>
      <c r="F4" s="24" t="s">
        <v>3140</v>
      </c>
      <c r="G4" s="24" t="s">
        <v>3139</v>
      </c>
      <c r="H4" s="24" t="s">
        <v>3140</v>
      </c>
      <c r="I4" s="24" t="s">
        <v>3139</v>
      </c>
      <c r="J4" s="24" t="s">
        <v>3140</v>
      </c>
      <c r="K4" s="24" t="s">
        <v>3129</v>
      </c>
      <c r="L4" s="24" t="s">
        <v>3129</v>
      </c>
      <c r="M4" s="24" t="s">
        <v>3129</v>
      </c>
      <c r="N4" s="24" t="s">
        <v>3129</v>
      </c>
      <c r="O4" s="24" t="s">
        <v>3139</v>
      </c>
      <c r="P4" s="24" t="s">
        <v>3139</v>
      </c>
      <c r="Q4" s="24" t="s">
        <v>3128</v>
      </c>
      <c r="R4" s="24" t="s">
        <v>3140</v>
      </c>
      <c r="S4" s="24" t="s">
        <v>3163</v>
      </c>
      <c r="T4" s="24" t="s">
        <v>3163</v>
      </c>
      <c r="U4" s="24" t="s">
        <v>3163</v>
      </c>
      <c r="V4" s="24" t="s">
        <v>3130</v>
      </c>
      <c r="W4" s="24" t="s">
        <v>3128</v>
      </c>
      <c r="X4" s="24" t="s">
        <v>3140</v>
      </c>
      <c r="Y4" s="24" t="s">
        <v>3139</v>
      </c>
      <c r="Z4" s="24" t="s">
        <v>3140</v>
      </c>
      <c r="AA4" s="24" t="s">
        <v>3163</v>
      </c>
      <c r="AB4" s="24" t="s">
        <v>3164</v>
      </c>
      <c r="AC4" s="24" t="s">
        <v>3164</v>
      </c>
      <c r="AD4" s="24" t="s">
        <v>3164</v>
      </c>
      <c r="AE4" s="24" t="s">
        <v>3164</v>
      </c>
      <c r="AF4" s="24" t="s">
        <v>3164</v>
      </c>
      <c r="AG4" s="24" t="s">
        <v>3140</v>
      </c>
      <c r="AH4" s="24" t="s">
        <v>3140</v>
      </c>
      <c r="AI4" s="24" t="s">
        <v>3163</v>
      </c>
      <c r="AJ4" s="24" t="s">
        <v>3139</v>
      </c>
      <c r="AK4" s="24" t="s">
        <v>3140</v>
      </c>
      <c r="AL4" s="24" t="s">
        <v>3139</v>
      </c>
      <c r="AM4" s="24" t="s">
        <v>3140</v>
      </c>
      <c r="AN4" s="24" t="s">
        <v>3164</v>
      </c>
      <c r="AO4" s="24" t="s">
        <v>3140</v>
      </c>
      <c r="AP4" s="24" t="s">
        <v>3164</v>
      </c>
      <c r="AQ4" s="24" t="s">
        <v>3164</v>
      </c>
      <c r="AR4" s="24" t="s">
        <v>3164</v>
      </c>
      <c r="AS4" s="24" t="s">
        <v>3128</v>
      </c>
      <c r="AT4" s="24" t="s">
        <v>3164</v>
      </c>
      <c r="AU4" s="24" t="s">
        <v>3164</v>
      </c>
      <c r="AV4" s="24" t="s">
        <v>3164</v>
      </c>
      <c r="AW4" s="24" t="s">
        <v>3164</v>
      </c>
      <c r="AX4" s="24" t="s">
        <v>3164</v>
      </c>
      <c r="AY4" s="24" t="s">
        <v>3164</v>
      </c>
      <c r="AZ4" s="24" t="s">
        <v>3139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2852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2983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2852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2983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2983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2983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2983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3166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3078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3078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2983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2983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3337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3079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15">
      <c r="B27" s="2" t="s">
        <v>189</v>
      </c>
      <c r="C27" s="2" t="s">
        <v>3080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2983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15">
      <c r="B29" s="2" t="s">
        <v>196</v>
      </c>
      <c r="C29" s="2" t="s">
        <v>3081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2983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3079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2983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2983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2983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2983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2983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2983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3079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2983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15">
      <c r="B42" s="2" t="s">
        <v>207</v>
      </c>
      <c r="C42" s="2" t="s">
        <v>3082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2983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2983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2983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2983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2983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2983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2983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2983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2983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15">
      <c r="B53" s="2" t="s">
        <v>233</v>
      </c>
      <c r="C53" s="2" t="s">
        <v>3083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2983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2983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3078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3078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3079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2983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15">
      <c r="B61" s="2" t="s">
        <v>432</v>
      </c>
      <c r="C61" s="2" t="s">
        <v>3084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2983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2983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3079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3079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2983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2983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2983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2983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2983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3078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2983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2983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2983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3079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2983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2983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2983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15">
      <c r="B98" s="2" t="s">
        <v>175</v>
      </c>
      <c r="C98" s="2" t="s">
        <v>3071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2983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3079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2983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3079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2983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15">
      <c r="B123" s="2" t="s">
        <v>141</v>
      </c>
      <c r="C123" s="2" t="s">
        <v>3085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15">
      <c r="B124" s="2" t="s">
        <v>134</v>
      </c>
      <c r="C124" s="2" t="s">
        <v>3086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2983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15">
      <c r="B130" s="2" t="s">
        <v>335</v>
      </c>
      <c r="C130" s="2" t="s">
        <v>3087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2983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2983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2983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3079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2983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3078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3078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3079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3079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15">
      <c r="B148" s="2" t="s">
        <v>888</v>
      </c>
      <c r="C148" s="2" t="s">
        <v>1088</v>
      </c>
      <c r="D148" s="2" t="s">
        <v>3338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3338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3079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15">
      <c r="B152" s="2" t="s">
        <v>616</v>
      </c>
      <c r="C152" s="2" t="s">
        <v>3088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3078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3078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15">
      <c r="B158" s="2" t="s">
        <v>535</v>
      </c>
      <c r="C158" s="2" t="s">
        <v>3089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2983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2983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2983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15">
      <c r="B169" s="2" t="s">
        <v>499</v>
      </c>
      <c r="C169" s="2" t="s">
        <v>3090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3079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2983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2983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15">
      <c r="B176" s="2" t="s">
        <v>712</v>
      </c>
      <c r="C176" s="2" t="s">
        <v>3091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3079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15">
      <c r="B188" s="2" t="s">
        <v>435</v>
      </c>
      <c r="C188" s="2" t="s">
        <v>3092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15">
      <c r="B189" s="2" t="s">
        <v>578</v>
      </c>
      <c r="C189" s="2" t="s">
        <v>1219</v>
      </c>
      <c r="D189" s="2" t="s">
        <v>3338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3338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2983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2983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2983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2983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2983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2983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2983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2983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2983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2983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15">
      <c r="B208" s="2" t="s">
        <v>380</v>
      </c>
      <c r="C208" s="2" t="s">
        <v>3093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2983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2983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2983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2983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2983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2983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2983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2983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2983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2983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2983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3078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3079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2983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2983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2983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15">
      <c r="B242" s="2" t="s">
        <v>843</v>
      </c>
      <c r="C242" s="2" t="s">
        <v>3094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2983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3079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2983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2983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2983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3079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2983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2983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2983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3079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2983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15">
      <c r="B262" s="2" t="s">
        <v>447</v>
      </c>
      <c r="C262" s="2" t="s">
        <v>3095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2983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3078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3078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2983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2983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15">
      <c r="B269" s="2" t="s">
        <v>854</v>
      </c>
      <c r="C269" s="2" t="s">
        <v>3096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2983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2983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2983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2983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2983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2983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2983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3079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15">
      <c r="B282" s="2" t="s">
        <v>570</v>
      </c>
      <c r="C282" s="2" t="s">
        <v>3097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2983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2983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3079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2983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2983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2983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2983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15">
      <c r="B303" s="2" t="s">
        <v>1019</v>
      </c>
      <c r="C303" s="2" t="s">
        <v>3305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2983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2983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2983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2983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2983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3079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2983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2983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2983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2983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2983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15">
      <c r="B325" s="2" t="s">
        <v>1067</v>
      </c>
      <c r="C325" s="2" t="s">
        <v>3098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2983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2983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2983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2983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2983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2983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2983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3079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2983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15">
      <c r="B362" s="2" t="s">
        <v>956</v>
      </c>
      <c r="C362" s="2" t="s">
        <v>3099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2983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2983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15">
      <c r="B371" s="2" t="s">
        <v>624</v>
      </c>
      <c r="C371" s="2" t="s">
        <v>3100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2983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3078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2983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3079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2983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15">
      <c r="B400" s="2" t="s">
        <v>1871</v>
      </c>
      <c r="C400" s="2" t="s">
        <v>3101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15">
      <c r="B401" s="2" t="s">
        <v>1875</v>
      </c>
      <c r="C401" s="2" t="s">
        <v>1872</v>
      </c>
      <c r="D401" s="2" t="s">
        <v>3339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3339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2983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2983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15">
      <c r="B407" s="2" t="s">
        <v>1889</v>
      </c>
      <c r="C407" s="2" t="s">
        <v>3102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2983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2983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2983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2983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15">
      <c r="B415" s="2" t="s">
        <v>1917</v>
      </c>
      <c r="C415" s="2" t="s">
        <v>3103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2983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15">
      <c r="B416" s="2" t="s">
        <v>1921</v>
      </c>
      <c r="C416" s="2" t="s">
        <v>3104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3101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3078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2983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3078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2983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2983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3101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2983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2983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2983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3078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15">
      <c r="B436" s="2" t="s">
        <v>1603</v>
      </c>
      <c r="C436" s="2" t="s">
        <v>3073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2983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15">
      <c r="B442" s="2" t="s">
        <v>1990</v>
      </c>
      <c r="C442" s="2" t="s">
        <v>1987</v>
      </c>
      <c r="D442" s="2" t="s">
        <v>3151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3151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2983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2983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15">
      <c r="B447" s="2" t="s">
        <v>1192</v>
      </c>
      <c r="C447" s="2" t="s">
        <v>2001</v>
      </c>
      <c r="D447" s="2" t="s">
        <v>3339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3339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3079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2983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3079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2983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2983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2983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2983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2983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2983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2983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2983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15">
      <c r="B470" s="2" t="s">
        <v>1277</v>
      </c>
      <c r="C470" s="2" t="s">
        <v>2074</v>
      </c>
      <c r="D470" s="2" t="s">
        <v>3151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3151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2983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2983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2983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15">
      <c r="B480" s="2" t="s">
        <v>1664</v>
      </c>
      <c r="C480" s="2" t="s">
        <v>3070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3079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2983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2983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2983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15">
      <c r="B487" s="2" t="s">
        <v>247</v>
      </c>
      <c r="C487" s="2" t="s">
        <v>3074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3079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2983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2983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2983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15">
      <c r="B494" s="2" t="s">
        <v>2145</v>
      </c>
      <c r="C494" s="2" t="s">
        <v>3105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2983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15">
      <c r="B495" s="2" t="s">
        <v>517</v>
      </c>
      <c r="C495" s="2" t="s">
        <v>3106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2983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2983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2983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2983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2983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15">
      <c r="B507" s="2" t="s">
        <v>317</v>
      </c>
      <c r="C507" s="2" t="s">
        <v>3107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2983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2983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15">
      <c r="B510" s="2" t="s">
        <v>278</v>
      </c>
      <c r="C510" s="2" t="s">
        <v>3108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2983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2983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2983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2983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2983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2983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2983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15">
      <c r="B528" s="2" t="s">
        <v>987</v>
      </c>
      <c r="C528" s="2" t="s">
        <v>3109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2983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2983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15">
      <c r="B533" s="2" t="s">
        <v>1143</v>
      </c>
      <c r="C533" s="2" t="s">
        <v>3110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2983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2983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2983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2983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2983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2983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2983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2983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2983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15">
      <c r="B550" s="2" t="s">
        <v>2292</v>
      </c>
      <c r="C550" s="2" t="s">
        <v>3111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2983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2983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3078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3079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2983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15">
      <c r="B566" s="2" t="s">
        <v>1742</v>
      </c>
      <c r="C566" s="2" t="s">
        <v>2330</v>
      </c>
      <c r="D566" s="2" t="s">
        <v>3151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3151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2983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2983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2983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2983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2983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15">
      <c r="B576" s="2" t="s">
        <v>1808</v>
      </c>
      <c r="C576" s="2" t="s">
        <v>3112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15">
      <c r="B578" s="2" t="s">
        <v>988</v>
      </c>
      <c r="C578" s="2" t="s">
        <v>3113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2983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15">
      <c r="B579" s="2" t="s">
        <v>2363</v>
      </c>
      <c r="C579" s="2" t="s">
        <v>3072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2983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3079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15">
      <c r="B584" s="2" t="s">
        <v>2375</v>
      </c>
      <c r="C584" s="2" t="s">
        <v>91</v>
      </c>
      <c r="D584" s="2" t="s">
        <v>3339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3339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2983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15">
      <c r="B586" s="2" t="s">
        <v>2052</v>
      </c>
      <c r="C586" s="2" t="s">
        <v>3114</v>
      </c>
      <c r="D586" s="2" t="s">
        <v>3151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3151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2983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3078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15">
      <c r="B589" s="2" t="s">
        <v>470</v>
      </c>
      <c r="C589" s="2" t="s">
        <v>2383</v>
      </c>
      <c r="D589" s="2" t="s">
        <v>3339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3339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3078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15">
      <c r="B590" s="2" t="s">
        <v>320</v>
      </c>
      <c r="C590" s="2" t="s">
        <v>2385</v>
      </c>
      <c r="D590" s="2" t="s">
        <v>3339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3339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2983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15">
      <c r="B593" s="2" t="s">
        <v>2394</v>
      </c>
      <c r="C593" s="2" t="s">
        <v>2392</v>
      </c>
      <c r="D593" s="2" t="s">
        <v>3339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3339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2983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2983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2983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2983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2983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15">
      <c r="B601" s="2" t="s">
        <v>2009</v>
      </c>
      <c r="C601" s="2" t="s">
        <v>3115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2983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2983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2983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2983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2983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3079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15">
      <c r="B611" s="2" t="s">
        <v>273</v>
      </c>
      <c r="C611" s="2" t="s">
        <v>3116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2983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2983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2983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15">
      <c r="B616" s="2" t="s">
        <v>1380</v>
      </c>
      <c r="C616" s="2" t="s">
        <v>3117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2983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15">
      <c r="B617" s="2" t="s">
        <v>791</v>
      </c>
      <c r="C617" s="2" t="s">
        <v>3117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15">
      <c r="B618" s="2" t="s">
        <v>2367</v>
      </c>
      <c r="C618" s="2" t="s">
        <v>3117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3078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2983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2983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2983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15">
      <c r="B633" s="2" t="s">
        <v>1505</v>
      </c>
      <c r="C633" s="2" t="s">
        <v>3118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2983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15">
      <c r="B639" s="2" t="s">
        <v>281</v>
      </c>
      <c r="C639" s="2" t="s">
        <v>3119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2983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2983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2983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2983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2983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2983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2983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2983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2983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3120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2983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2983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15">
      <c r="B664" s="2" t="s">
        <v>2554</v>
      </c>
      <c r="C664" s="2" t="s">
        <v>3120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2983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3078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2983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2983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2983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3078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15">
      <c r="B675" s="2" t="s">
        <v>2586</v>
      </c>
      <c r="C675" s="2" t="s">
        <v>2917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2984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15">
      <c r="B676" s="2" t="s">
        <v>792</v>
      </c>
      <c r="C676" s="2" t="s">
        <v>2918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2985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15">
      <c r="B677" s="2" t="s">
        <v>2587</v>
      </c>
      <c r="C677" s="2" t="s">
        <v>2919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2986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15">
      <c r="B678" s="2" t="s">
        <v>2588</v>
      </c>
      <c r="C678" s="2" t="s">
        <v>2920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2987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15">
      <c r="B679" s="2" t="s">
        <v>2589</v>
      </c>
      <c r="C679" s="2" t="s">
        <v>2921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2988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15">
      <c r="B680" s="2" t="s">
        <v>2590</v>
      </c>
      <c r="C680" s="2" t="s">
        <v>2922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2989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15">
      <c r="B681" s="2" t="s">
        <v>2591</v>
      </c>
      <c r="C681" s="2" t="s">
        <v>2923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2990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15">
      <c r="B682" s="2" t="s">
        <v>1466</v>
      </c>
      <c r="C682" s="2" t="s">
        <v>2924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2991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15">
      <c r="B683" s="2" t="s">
        <v>2592</v>
      </c>
      <c r="C683" s="2" t="s">
        <v>2925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2992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15">
      <c r="B684" s="2" t="s">
        <v>2240</v>
      </c>
      <c r="C684" s="2" t="s">
        <v>2926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2993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15">
      <c r="B685" s="2" t="s">
        <v>1918</v>
      </c>
      <c r="C685" s="2" t="s">
        <v>2927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2994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15">
      <c r="B686" s="2" t="s">
        <v>2593</v>
      </c>
      <c r="C686" s="2" t="s">
        <v>2928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2995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15">
      <c r="B687" s="2" t="s">
        <v>2594</v>
      </c>
      <c r="C687" s="2" t="s">
        <v>2929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2996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15">
      <c r="B688" s="2" t="s">
        <v>2595</v>
      </c>
      <c r="C688" s="2" t="s">
        <v>2930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2997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15">
      <c r="B689" s="2" t="s">
        <v>2596</v>
      </c>
      <c r="C689" s="2" t="s">
        <v>2931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2998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15">
      <c r="B690" s="2" t="s">
        <v>267</v>
      </c>
      <c r="C690" s="2" t="s">
        <v>2932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2999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15">
      <c r="B691" s="2" t="s">
        <v>663</v>
      </c>
      <c r="C691" s="2" t="s">
        <v>2933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3000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15">
      <c r="B692" s="2" t="s">
        <v>2026</v>
      </c>
      <c r="C692" s="2" t="s">
        <v>2934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3001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15">
      <c r="B693" s="2" t="s">
        <v>724</v>
      </c>
      <c r="C693" s="2" t="s">
        <v>2935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3002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15">
      <c r="B694" s="2" t="s">
        <v>2597</v>
      </c>
      <c r="C694" s="2" t="s">
        <v>2936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3003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15">
      <c r="B695" s="2" t="s">
        <v>823</v>
      </c>
      <c r="C695" s="2" t="s">
        <v>2937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3004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15">
      <c r="B696" s="2" t="s">
        <v>2598</v>
      </c>
      <c r="C696" s="2" t="s">
        <v>2938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3005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15">
      <c r="B697" s="2" t="s">
        <v>448</v>
      </c>
      <c r="C697" s="2" t="s">
        <v>2939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3006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15">
      <c r="B698" s="2" t="s">
        <v>949</v>
      </c>
      <c r="C698" s="2" t="s">
        <v>2940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3007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15">
      <c r="B699" s="2" t="s">
        <v>1000</v>
      </c>
      <c r="C699" s="2" t="s">
        <v>2941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3008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15">
      <c r="B700" s="2" t="s">
        <v>741</v>
      </c>
      <c r="C700" s="2" t="s">
        <v>2942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3009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15">
      <c r="B701" s="2" t="s">
        <v>1101</v>
      </c>
      <c r="C701" s="2" t="s">
        <v>2943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3010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15">
      <c r="B702" s="2" t="s">
        <v>2599</v>
      </c>
      <c r="C702" s="2" t="s">
        <v>2944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3011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15">
      <c r="B703" s="2" t="s">
        <v>1252</v>
      </c>
      <c r="C703" s="2" t="s">
        <v>2945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3012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15">
      <c r="B714" s="2" t="s">
        <v>1164</v>
      </c>
      <c r="C714" s="2" t="s">
        <v>3121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15">
      <c r="B736" s="2" t="s">
        <v>1587</v>
      </c>
      <c r="C736" s="2" t="s">
        <v>3122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15">
      <c r="B751" s="2" t="s">
        <v>2697</v>
      </c>
      <c r="C751" s="2" t="s">
        <v>3123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15">
      <c r="B768" s="2" t="s">
        <v>2739</v>
      </c>
      <c r="C768" s="2" t="s">
        <v>2946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3013</v>
      </c>
      <c r="L768" s="2" t="s">
        <v>3014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15">
      <c r="B769" s="2" t="s">
        <v>2742</v>
      </c>
      <c r="C769" s="2" t="s">
        <v>2947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3013</v>
      </c>
      <c r="L769" s="2" t="s">
        <v>3015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15">
      <c r="B770" s="2" t="s">
        <v>992</v>
      </c>
      <c r="C770" s="2" t="s">
        <v>2948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3013</v>
      </c>
      <c r="L770" s="2" t="s">
        <v>3016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15">
      <c r="B771" s="2" t="s">
        <v>2747</v>
      </c>
      <c r="C771" s="2" t="s">
        <v>2949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3013</v>
      </c>
      <c r="L771" s="2" t="s">
        <v>3017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15">
      <c r="B772" s="2" t="s">
        <v>2748</v>
      </c>
      <c r="C772" s="2" t="s">
        <v>2950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3013</v>
      </c>
      <c r="L772" s="2" t="s">
        <v>3018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15">
      <c r="B773" s="2" t="s">
        <v>2252</v>
      </c>
      <c r="C773" s="2" t="s">
        <v>2951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3013</v>
      </c>
      <c r="L773" s="2" t="s">
        <v>3019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15">
      <c r="B774" s="2" t="s">
        <v>2623</v>
      </c>
      <c r="C774" s="2" t="s">
        <v>2952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3013</v>
      </c>
      <c r="L774" s="2" t="s">
        <v>3020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15">
      <c r="B775" s="2" t="s">
        <v>2654</v>
      </c>
      <c r="C775" s="2" t="s">
        <v>2953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3013</v>
      </c>
      <c r="L775" s="2" t="s">
        <v>3021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15">
      <c r="B776" s="2" t="s">
        <v>1558</v>
      </c>
      <c r="C776" s="2" t="s">
        <v>2954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3013</v>
      </c>
      <c r="L776" s="2" t="s">
        <v>3022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15">
      <c r="B777" s="2" t="s">
        <v>2300</v>
      </c>
      <c r="C777" s="2" t="s">
        <v>2955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3013</v>
      </c>
      <c r="L777" s="2" t="s">
        <v>3023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15">
      <c r="B778" s="2" t="s">
        <v>2479</v>
      </c>
      <c r="C778" s="2" t="s">
        <v>2956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3013</v>
      </c>
      <c r="L778" s="2" t="s">
        <v>3024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15">
      <c r="B779" s="2" t="s">
        <v>1324</v>
      </c>
      <c r="C779" s="2" t="s">
        <v>2957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3013</v>
      </c>
      <c r="L779" s="2" t="s">
        <v>3025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15">
      <c r="B780" s="2" t="s">
        <v>1940</v>
      </c>
      <c r="C780" s="2" t="s">
        <v>2958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3013</v>
      </c>
      <c r="L780" s="2" t="s">
        <v>3026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15">
      <c r="B781" s="2" t="s">
        <v>576</v>
      </c>
      <c r="C781" s="2" t="s">
        <v>2959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3013</v>
      </c>
      <c r="L781" s="2" t="s">
        <v>3027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15">
      <c r="B782" s="2" t="s">
        <v>1794</v>
      </c>
      <c r="C782" s="2" t="s">
        <v>2960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3013</v>
      </c>
      <c r="L782" s="2" t="s">
        <v>3028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15">
      <c r="B783" s="2" t="s">
        <v>1836</v>
      </c>
      <c r="C783" s="2" t="s">
        <v>2961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3013</v>
      </c>
      <c r="L783" s="2" t="s">
        <v>3029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15">
      <c r="B784" s="2" t="s">
        <v>795</v>
      </c>
      <c r="C784" s="2" t="s">
        <v>2962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3013</v>
      </c>
      <c r="L784" s="2" t="s">
        <v>3030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15">
      <c r="B785" s="2" t="s">
        <v>1578</v>
      </c>
      <c r="C785" s="2" t="s">
        <v>2963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3013</v>
      </c>
      <c r="L785" s="2" t="s">
        <v>3031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15">
      <c r="B786" s="2" t="s">
        <v>259</v>
      </c>
      <c r="C786" s="2" t="s">
        <v>2964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3013</v>
      </c>
      <c r="L786" s="2" t="s">
        <v>3032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15">
      <c r="B787" s="2" t="s">
        <v>908</v>
      </c>
      <c r="C787" s="2" t="s">
        <v>2965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3013</v>
      </c>
      <c r="L787" s="2" t="s">
        <v>3033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15">
      <c r="B788" s="2" t="s">
        <v>2188</v>
      </c>
      <c r="C788" s="2" t="s">
        <v>2966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3013</v>
      </c>
      <c r="L788" s="2" t="s">
        <v>3034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15">
      <c r="B789" s="2" t="s">
        <v>2559</v>
      </c>
      <c r="C789" s="2" t="s">
        <v>2967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3013</v>
      </c>
      <c r="L789" s="2" t="s">
        <v>3035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15">
      <c r="B790" s="2" t="s">
        <v>497</v>
      </c>
      <c r="C790" s="2" t="s">
        <v>2968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3013</v>
      </c>
      <c r="L790" s="2" t="s">
        <v>3036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15">
      <c r="B791" s="2" t="s">
        <v>777</v>
      </c>
      <c r="C791" s="2" t="s">
        <v>2969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3013</v>
      </c>
      <c r="L791" s="2" t="s">
        <v>3037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15">
      <c r="B792" s="2" t="s">
        <v>1038</v>
      </c>
      <c r="C792" s="2" t="s">
        <v>2970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3013</v>
      </c>
      <c r="L792" s="2" t="s">
        <v>3038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15">
      <c r="B793" s="2" t="s">
        <v>1060</v>
      </c>
      <c r="C793" s="2" t="s">
        <v>2971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3013</v>
      </c>
      <c r="L793" s="2" t="s">
        <v>3039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15">
      <c r="B794" s="2" t="s">
        <v>1139</v>
      </c>
      <c r="C794" s="2" t="s">
        <v>2972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3013</v>
      </c>
      <c r="L794" s="2" t="s">
        <v>3040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15">
      <c r="B795" s="2" t="s">
        <v>1230</v>
      </c>
      <c r="C795" s="2" t="s">
        <v>2973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3013</v>
      </c>
      <c r="L795" s="2" t="s">
        <v>3041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15">
      <c r="B796" s="2" t="s">
        <v>1332</v>
      </c>
      <c r="C796" s="2" t="s">
        <v>2974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3013</v>
      </c>
      <c r="L796" s="2" t="s">
        <v>3042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15">
      <c r="B797" s="2" t="s">
        <v>1500</v>
      </c>
      <c r="C797" s="2" t="s">
        <v>2975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3013</v>
      </c>
      <c r="L797" s="2" t="s">
        <v>3043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15">
      <c r="B798" s="2" t="s">
        <v>1763</v>
      </c>
      <c r="C798" s="2" t="s">
        <v>2976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3013</v>
      </c>
      <c r="L798" s="2" t="s">
        <v>3044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15">
      <c r="B799" s="2" t="s">
        <v>1968</v>
      </c>
      <c r="C799" s="2" t="s">
        <v>2977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3013</v>
      </c>
      <c r="L799" s="2" t="s">
        <v>3045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15">
      <c r="B800" s="2" t="s">
        <v>2172</v>
      </c>
      <c r="C800" s="2" t="s">
        <v>2978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3013</v>
      </c>
      <c r="L800" s="2" t="s">
        <v>3046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15">
      <c r="B801" s="2" t="s">
        <v>2454</v>
      </c>
      <c r="C801" s="2" t="s">
        <v>2979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3013</v>
      </c>
      <c r="L801" s="2" t="s">
        <v>3047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15">
      <c r="B802" s="2" t="s">
        <v>2464</v>
      </c>
      <c r="C802" s="2" t="s">
        <v>2980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3013</v>
      </c>
      <c r="L802" s="2" t="s">
        <v>3048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15">
      <c r="B803" s="2" t="s">
        <v>2657</v>
      </c>
      <c r="C803" s="2" t="s">
        <v>2981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3013</v>
      </c>
      <c r="L803" s="2" t="s">
        <v>3049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15">
      <c r="B804" s="2" t="s">
        <v>2661</v>
      </c>
      <c r="C804" s="2" t="s">
        <v>2982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3013</v>
      </c>
      <c r="L804" s="2" t="s">
        <v>3050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15">
      <c r="N837" s="4"/>
      <c r="W837" s="4"/>
      <c r="Z837" s="4"/>
      <c r="AD837" s="4"/>
    </row>
    <row r="838" spans="2:52" x14ac:dyDescent="0.15">
      <c r="N838" s="4"/>
      <c r="W838" s="4"/>
      <c r="Z838" s="4"/>
      <c r="AD838" s="4"/>
    </row>
    <row r="839" spans="2:52" x14ac:dyDescent="0.15">
      <c r="N839" s="4"/>
      <c r="W839" s="4"/>
      <c r="Z839" s="4"/>
      <c r="AD839" s="4"/>
    </row>
    <row r="840" spans="2:52" x14ac:dyDescent="0.15">
      <c r="N840" s="4"/>
      <c r="W840" s="4"/>
      <c r="Z840" s="4"/>
      <c r="AD840" s="4"/>
    </row>
    <row r="841" spans="2:52" x14ac:dyDescent="0.15">
      <c r="N841" s="4"/>
      <c r="W841" s="4"/>
      <c r="Z841" s="4"/>
      <c r="AD841" s="4"/>
    </row>
    <row r="842" spans="2:52" x14ac:dyDescent="0.15">
      <c r="N842" s="4"/>
      <c r="W842" s="4"/>
      <c r="Z842" s="4"/>
      <c r="AD842" s="4"/>
    </row>
    <row r="843" spans="2:52" x14ac:dyDescent="0.15">
      <c r="N843" s="4"/>
      <c r="W843" s="4"/>
      <c r="Z843" s="4"/>
      <c r="AD843" s="4"/>
    </row>
    <row r="844" spans="2:52" x14ac:dyDescent="0.15">
      <c r="N844" s="4"/>
      <c r="W844" s="4"/>
      <c r="Z844" s="4"/>
      <c r="AD844" s="4"/>
    </row>
    <row r="845" spans="2:52" x14ac:dyDescent="0.15">
      <c r="N845" s="4"/>
      <c r="W845" s="4"/>
      <c r="Z845" s="4"/>
      <c r="AD845" s="4"/>
    </row>
    <row r="846" spans="2:52" x14ac:dyDescent="0.15">
      <c r="N846" s="4"/>
      <c r="W846" s="4"/>
      <c r="Z846" s="4"/>
      <c r="AD846" s="4"/>
    </row>
    <row r="847" spans="2:52" x14ac:dyDescent="0.15">
      <c r="N847" s="4"/>
      <c r="W847" s="4"/>
      <c r="Z847" s="4"/>
      <c r="AD847" s="4"/>
    </row>
    <row r="848" spans="2:52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4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3065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3251</v>
      </c>
      <c r="M1" s="15" t="s">
        <v>3253</v>
      </c>
    </row>
    <row r="2" spans="1:13" s="1" customFormat="1" ht="16.5" customHeight="1" x14ac:dyDescent="0.15">
      <c r="A2" s="1" t="s">
        <v>2866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3140</v>
      </c>
      <c r="B3" s="10" t="s">
        <v>3153</v>
      </c>
      <c r="C3" s="11" t="s">
        <v>3288</v>
      </c>
      <c r="D3" s="11" t="s">
        <v>3140</v>
      </c>
      <c r="E3" s="10" t="s">
        <v>3286</v>
      </c>
      <c r="F3" s="10" t="s">
        <v>3140</v>
      </c>
      <c r="G3" s="11" t="s">
        <v>3140</v>
      </c>
      <c r="H3" s="11" t="s">
        <v>3140</v>
      </c>
      <c r="I3" s="11" t="s">
        <v>3140</v>
      </c>
      <c r="J3" s="10" t="s">
        <v>3140</v>
      </c>
      <c r="K3" s="10" t="s">
        <v>3287</v>
      </c>
      <c r="L3" s="10" t="s">
        <v>3250</v>
      </c>
      <c r="M3" s="10" t="s">
        <v>3252</v>
      </c>
    </row>
    <row r="4" spans="1:13" s="24" customFormat="1" ht="15.75" customHeight="1" x14ac:dyDescent="0.15">
      <c r="A4" s="26" t="s">
        <v>3140</v>
      </c>
      <c r="B4" s="24" t="s">
        <v>3139</v>
      </c>
      <c r="C4" s="25" t="s">
        <v>3139</v>
      </c>
      <c r="D4" s="25" t="s">
        <v>3140</v>
      </c>
      <c r="E4" s="25" t="s">
        <v>3139</v>
      </c>
      <c r="F4" s="24" t="s">
        <v>3140</v>
      </c>
      <c r="G4" s="25" t="s">
        <v>3140</v>
      </c>
      <c r="H4" s="25" t="s">
        <v>3140</v>
      </c>
      <c r="I4" s="25" t="s">
        <v>3140</v>
      </c>
      <c r="J4" s="24" t="s">
        <v>3140</v>
      </c>
      <c r="K4" s="24" t="s">
        <v>3128</v>
      </c>
      <c r="L4" s="24" t="s">
        <v>3139</v>
      </c>
      <c r="M4" s="24" t="s">
        <v>3139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2851</v>
      </c>
      <c r="K5" s="2" t="s">
        <v>54</v>
      </c>
      <c r="L5" s="2" t="s">
        <v>2852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2851</v>
      </c>
      <c r="K6" s="2" t="s">
        <v>35</v>
      </c>
      <c r="L6" s="2" t="s">
        <v>2852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2851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2851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2851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2851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2851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3070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2851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2851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3071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3072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3073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3299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3074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3064</v>
      </c>
      <c r="B1" s="16" t="s">
        <v>0</v>
      </c>
      <c r="C1" s="16" t="s">
        <v>75</v>
      </c>
      <c r="D1" s="16" t="s">
        <v>3067</v>
      </c>
      <c r="E1" s="16" t="s">
        <v>77</v>
      </c>
      <c r="G1" s="16" t="s">
        <v>3256</v>
      </c>
      <c r="H1" s="16" t="s">
        <v>3257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0" t="s">
        <v>3268</v>
      </c>
      <c r="E3" s="10" t="s">
        <v>3289</v>
      </c>
      <c r="F3" s="10" t="s">
        <v>3140</v>
      </c>
      <c r="G3" s="10" t="s">
        <v>3254</v>
      </c>
      <c r="H3" s="10" t="s">
        <v>3255</v>
      </c>
      <c r="I3" s="11"/>
    </row>
    <row r="4" spans="1:22" s="24" customFormat="1" ht="15.75" customHeight="1" x14ac:dyDescent="0.15">
      <c r="A4" s="26" t="s">
        <v>3140</v>
      </c>
      <c r="B4" s="24" t="s">
        <v>3139</v>
      </c>
      <c r="C4" s="24" t="s">
        <v>3129</v>
      </c>
      <c r="D4" s="24" t="s">
        <v>3139</v>
      </c>
      <c r="E4" s="24" t="s">
        <v>3139</v>
      </c>
      <c r="F4" s="10" t="s">
        <v>3140</v>
      </c>
      <c r="G4" s="24" t="s">
        <v>3139</v>
      </c>
      <c r="H4" s="24" t="s">
        <v>3139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2852</v>
      </c>
      <c r="H5" s="2" t="s">
        <v>2852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2852</v>
      </c>
      <c r="H6" s="2" t="s">
        <v>2852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3072</v>
      </c>
      <c r="D31" s="2" t="s">
        <v>204</v>
      </c>
      <c r="E31" s="4" t="s">
        <v>2363</v>
      </c>
      <c r="F31" s="2" t="s">
        <v>3072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3073</v>
      </c>
      <c r="D37" s="2" t="s">
        <v>95</v>
      </c>
      <c r="E37" s="4" t="s">
        <v>1603</v>
      </c>
      <c r="F37" s="2" t="s">
        <v>3073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workbookViewId="0">
      <selection activeCell="J10" sqref="J10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10.5" style="4" bestFit="1" customWidth="1"/>
    <col min="5" max="5" width="7.5" style="4" bestFit="1" customWidth="1"/>
    <col min="6" max="6" width="17.75" style="4" bestFit="1" customWidth="1"/>
    <col min="7" max="7" width="5.5" style="4" bestFit="1" customWidth="1"/>
    <col min="8" max="8" width="16.5" style="4" bestFit="1" customWidth="1"/>
    <col min="9" max="9" width="7.5" style="4" bestFit="1" customWidth="1"/>
    <col min="10" max="10" width="16.5" style="4" bestFit="1" customWidth="1"/>
    <col min="11" max="11" width="7.5" style="4" bestFit="1" customWidth="1"/>
    <col min="12" max="12" width="19" style="4" bestFit="1" customWidth="1"/>
    <col min="13" max="13" width="12" style="4" bestFit="1" customWidth="1"/>
    <col min="14" max="14" width="10.75" style="4" bestFit="1" customWidth="1"/>
    <col min="15" max="16" width="9.75" style="4" bestFit="1" customWidth="1"/>
    <col min="17" max="17" width="14.125" style="4" bestFit="1" customWidth="1"/>
    <col min="18" max="19" width="14.5" style="4" bestFit="1" customWidth="1"/>
    <col min="20" max="21" width="15.75" style="4" bestFit="1" customWidth="1"/>
    <col min="22" max="22" width="10.875" style="4" customWidth="1"/>
    <col min="23" max="23" width="10" style="4" customWidth="1"/>
    <col min="24" max="24" width="12.25" style="4" customWidth="1"/>
    <col min="25" max="26" width="6.875" style="2" bestFit="1" customWidth="1"/>
    <col min="27" max="27" width="12.75" style="2" bestFit="1" customWidth="1"/>
    <col min="28" max="28" width="15.375" style="2" bestFit="1" customWidth="1"/>
    <col min="29" max="29" width="8.25" style="2" bestFit="1" customWidth="1"/>
    <col min="30" max="30" width="17" style="2" bestFit="1" customWidth="1"/>
    <col min="31" max="31" width="12.875" style="2" bestFit="1" customWidth="1"/>
    <col min="32" max="32" width="22.625" style="2" bestFit="1" customWidth="1"/>
    <col min="33" max="33" width="6" style="2" bestFit="1" customWidth="1"/>
    <col min="34" max="34" width="14.5" style="2" customWidth="1"/>
    <col min="35" max="35" width="30.5" style="2" bestFit="1" customWidth="1"/>
    <col min="36" max="36" width="7.125" style="2" bestFit="1" customWidth="1"/>
    <col min="37" max="37" width="11.625" style="2" bestFit="1" customWidth="1"/>
    <col min="38" max="39" width="10" style="2" bestFit="1" customWidth="1"/>
    <col min="40" max="40" width="19.375" style="2" bestFit="1" customWidth="1"/>
    <col min="41" max="41" width="9.375" style="2" bestFit="1" customWidth="1"/>
    <col min="42" max="42" width="5.5" style="2" bestFit="1" customWidth="1"/>
    <col min="43" max="43" width="10.5" style="2" bestFit="1" customWidth="1"/>
    <col min="44" max="44" width="14.125" style="2" bestFit="1" customWidth="1"/>
    <col min="45" max="45" width="17.75" style="2" bestFit="1" customWidth="1"/>
    <col min="46" max="46" width="10.5" style="2" bestFit="1" customWidth="1"/>
    <col min="47" max="48" width="8.25" style="2" bestFit="1" customWidth="1"/>
    <col min="49" max="49" width="14.125" style="2" bestFit="1" customWidth="1"/>
    <col min="50" max="51" width="12.87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8.25" style="2" bestFit="1" customWidth="1"/>
    <col min="66" max="16384" width="9" style="2"/>
  </cols>
  <sheetData>
    <row r="1" spans="1:65" s="8" customFormat="1" ht="33.6" customHeight="1" x14ac:dyDescent="0.15">
      <c r="A1" s="8" t="s">
        <v>3182</v>
      </c>
      <c r="B1" s="12" t="s">
        <v>0</v>
      </c>
      <c r="C1" s="8" t="s">
        <v>108</v>
      </c>
      <c r="D1" s="8" t="s">
        <v>109</v>
      </c>
      <c r="E1" s="12"/>
      <c r="F1" s="12" t="s">
        <v>3194</v>
      </c>
      <c r="G1" s="12"/>
      <c r="H1" s="9" t="s">
        <v>3067</v>
      </c>
      <c r="I1" s="29"/>
      <c r="J1" s="12" t="s">
        <v>3243</v>
      </c>
      <c r="K1" s="29"/>
      <c r="L1" s="29" t="s">
        <v>3259</v>
      </c>
      <c r="M1" s="17" t="s">
        <v>3325</v>
      </c>
      <c r="N1" s="12" t="s">
        <v>3326</v>
      </c>
      <c r="O1" s="12" t="s">
        <v>3327</v>
      </c>
      <c r="P1" s="12" t="s">
        <v>3328</v>
      </c>
      <c r="Q1" s="12" t="s">
        <v>3317</v>
      </c>
      <c r="R1" s="12" t="s">
        <v>3318</v>
      </c>
      <c r="S1" s="17" t="s">
        <v>3319</v>
      </c>
      <c r="T1" s="17" t="s">
        <v>3320</v>
      </c>
      <c r="U1" s="17" t="s">
        <v>3321</v>
      </c>
      <c r="V1" s="17" t="s">
        <v>3322</v>
      </c>
      <c r="W1" s="17" t="s">
        <v>3323</v>
      </c>
      <c r="X1" s="17" t="s">
        <v>3324</v>
      </c>
      <c r="Y1" s="20" t="s">
        <v>3316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3293</v>
      </c>
      <c r="AE1" s="12" t="s">
        <v>3183</v>
      </c>
      <c r="AF1" s="12" t="s">
        <v>3247</v>
      </c>
      <c r="AG1" s="12" t="s">
        <v>111</v>
      </c>
      <c r="AH1" s="12" t="s">
        <v>112</v>
      </c>
      <c r="AI1" s="12" t="s">
        <v>3294</v>
      </c>
      <c r="AJ1" s="12" t="s">
        <v>3186</v>
      </c>
      <c r="AK1" s="12" t="s">
        <v>3187</v>
      </c>
      <c r="AL1" s="12" t="s">
        <v>59</v>
      </c>
      <c r="AM1" s="12" t="s">
        <v>3188</v>
      </c>
      <c r="AN1" s="12" t="s">
        <v>3189</v>
      </c>
      <c r="AO1" s="8" t="s">
        <v>114</v>
      </c>
      <c r="AP1" s="12"/>
      <c r="AQ1" s="12" t="s">
        <v>3196</v>
      </c>
      <c r="AR1" s="12" t="s">
        <v>3198</v>
      </c>
      <c r="AS1" s="12" t="s">
        <v>3200</v>
      </c>
      <c r="AT1" s="12" t="s">
        <v>2867</v>
      </c>
      <c r="AU1" s="12" t="s">
        <v>3291</v>
      </c>
      <c r="AV1" s="12" t="s">
        <v>3201</v>
      </c>
      <c r="AW1" s="12" t="s">
        <v>113</v>
      </c>
      <c r="AX1" s="12" t="s">
        <v>3184</v>
      </c>
      <c r="AY1" s="12" t="s">
        <v>3185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3190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1" t="s">
        <v>3266</v>
      </c>
      <c r="E3" s="11" t="s">
        <v>3140</v>
      </c>
      <c r="F3" s="11" t="s">
        <v>3267</v>
      </c>
      <c r="G3" s="11" t="s">
        <v>3140</v>
      </c>
      <c r="H3" s="11" t="s">
        <v>3268</v>
      </c>
      <c r="I3" s="21" t="s">
        <v>3140</v>
      </c>
      <c r="J3" s="11" t="s">
        <v>3269</v>
      </c>
      <c r="K3" s="21" t="s">
        <v>3140</v>
      </c>
      <c r="L3" s="21" t="s">
        <v>3270</v>
      </c>
      <c r="M3" s="10" t="s">
        <v>3329</v>
      </c>
      <c r="N3" s="11" t="s">
        <v>3330</v>
      </c>
      <c r="O3" s="11" t="s">
        <v>3331</v>
      </c>
      <c r="P3" s="11" t="s">
        <v>3332</v>
      </c>
      <c r="Q3" s="10" t="s">
        <v>3311</v>
      </c>
      <c r="R3" s="10" t="s">
        <v>3312</v>
      </c>
      <c r="S3" s="10" t="s">
        <v>3313</v>
      </c>
      <c r="T3" s="10" t="s">
        <v>3314</v>
      </c>
      <c r="U3" s="10" t="s">
        <v>3315</v>
      </c>
      <c r="V3" s="10" t="s">
        <v>3335</v>
      </c>
      <c r="W3" s="10" t="s">
        <v>3333</v>
      </c>
      <c r="X3" s="10" t="s">
        <v>3334</v>
      </c>
      <c r="Y3" s="22" t="s">
        <v>3191</v>
      </c>
      <c r="Z3" s="21" t="s">
        <v>3192</v>
      </c>
      <c r="AA3" s="22" t="s">
        <v>3066</v>
      </c>
      <c r="AB3" s="22" t="s">
        <v>3193</v>
      </c>
      <c r="AC3" s="10" t="s">
        <v>3175</v>
      </c>
      <c r="AD3" s="10" t="s">
        <v>3292</v>
      </c>
      <c r="AE3" s="10" t="s">
        <v>2871</v>
      </c>
      <c r="AF3" s="10" t="s">
        <v>3296</v>
      </c>
      <c r="AG3" s="10" t="s">
        <v>3176</v>
      </c>
      <c r="AH3" s="10" t="s">
        <v>3177</v>
      </c>
      <c r="AI3" s="10" t="s">
        <v>3308</v>
      </c>
      <c r="AJ3" s="10" t="s">
        <v>3179</v>
      </c>
      <c r="AK3" s="10" t="s">
        <v>3180</v>
      </c>
      <c r="AL3" s="10" t="s">
        <v>3140</v>
      </c>
      <c r="AM3" s="10" t="s">
        <v>3140</v>
      </c>
      <c r="AN3" s="10" t="s">
        <v>3195</v>
      </c>
      <c r="AO3" s="10" t="s">
        <v>3258</v>
      </c>
      <c r="AP3" s="10" t="s">
        <v>3140</v>
      </c>
      <c r="AQ3" s="10" t="s">
        <v>3178</v>
      </c>
      <c r="AR3" s="10" t="s">
        <v>3197</v>
      </c>
      <c r="AS3" s="10" t="s">
        <v>3199</v>
      </c>
      <c r="AT3" s="10" t="s">
        <v>2869</v>
      </c>
      <c r="AU3" s="10" t="s">
        <v>2868</v>
      </c>
      <c r="AV3" s="10" t="s">
        <v>3290</v>
      </c>
      <c r="AW3" s="10" t="s">
        <v>3246</v>
      </c>
      <c r="AX3" s="10" t="s">
        <v>3244</v>
      </c>
      <c r="AY3" s="10" t="s">
        <v>3245</v>
      </c>
      <c r="AZ3" s="10" t="s">
        <v>3265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3140</v>
      </c>
      <c r="BL3" s="10" t="s">
        <v>3140</v>
      </c>
      <c r="BM3" s="10" t="s">
        <v>3298</v>
      </c>
    </row>
    <row r="4" spans="1:65" s="24" customFormat="1" ht="15.75" customHeight="1" x14ac:dyDescent="0.15">
      <c r="A4" s="26" t="s">
        <v>3140</v>
      </c>
      <c r="B4" s="24" t="s">
        <v>3139</v>
      </c>
      <c r="C4" s="24" t="s">
        <v>3172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3181</v>
      </c>
      <c r="AD4" s="24" t="s">
        <v>3181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3173</v>
      </c>
      <c r="AK4" s="24" t="s">
        <v>3173</v>
      </c>
      <c r="AL4" s="24" t="s">
        <v>3140</v>
      </c>
      <c r="AM4" s="24" t="s">
        <v>3140</v>
      </c>
      <c r="AN4" s="24" t="s">
        <v>3181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3174</v>
      </c>
      <c r="AX4" s="24" t="s">
        <v>3171</v>
      </c>
      <c r="AY4" s="24" t="s">
        <v>3171</v>
      </c>
      <c r="AZ4" s="24" t="s">
        <v>3164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3140</v>
      </c>
      <c r="BL4" s="24" t="s">
        <v>3140</v>
      </c>
      <c r="BM4" s="24" t="s">
        <v>3139</v>
      </c>
    </row>
    <row r="5" spans="1:65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100000</v>
      </c>
      <c r="N5" s="4">
        <v>500000</v>
      </c>
      <c r="O5" s="4">
        <v>20000</v>
      </c>
      <c r="P5" s="4">
        <v>200000</v>
      </c>
      <c r="Q5" s="4">
        <v>12</v>
      </c>
      <c r="R5" s="4">
        <v>10</v>
      </c>
      <c r="S5" s="4">
        <v>3</v>
      </c>
      <c r="T5" s="4">
        <v>500</v>
      </c>
      <c r="U5" s="4">
        <v>5600</v>
      </c>
      <c r="V5" s="4">
        <v>3000</v>
      </c>
      <c r="W5" s="4">
        <v>200</v>
      </c>
      <c r="X5" s="4">
        <v>200</v>
      </c>
      <c r="Y5" s="4">
        <v>202</v>
      </c>
      <c r="Z5" s="2">
        <v>44</v>
      </c>
      <c r="AA5" s="2" t="s">
        <v>2852</v>
      </c>
      <c r="AB5" s="2" t="s">
        <v>2852</v>
      </c>
      <c r="AC5" s="2">
        <v>22000</v>
      </c>
      <c r="AD5" s="2" t="s">
        <v>2852</v>
      </c>
      <c r="AE5" s="4" t="s">
        <v>118</v>
      </c>
      <c r="AF5" s="4">
        <v>30000</v>
      </c>
      <c r="AG5" s="2">
        <v>4800</v>
      </c>
      <c r="AH5" s="2">
        <v>48000</v>
      </c>
      <c r="AI5" s="2" t="s">
        <v>3310</v>
      </c>
      <c r="AJ5" s="2" t="s">
        <v>60</v>
      </c>
      <c r="AK5" s="2" t="s">
        <v>60</v>
      </c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100</v>
      </c>
      <c r="AV5" s="4">
        <v>100</v>
      </c>
      <c r="AW5" s="2" t="s">
        <v>3248</v>
      </c>
      <c r="AX5" s="2" t="s">
        <v>120</v>
      </c>
      <c r="AY5" s="2" t="s">
        <v>121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K5" s="2" t="s">
        <v>60</v>
      </c>
      <c r="BM5" s="2" t="s">
        <v>3260</v>
      </c>
    </row>
    <row r="6" spans="1:65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100000</v>
      </c>
      <c r="N6" s="4">
        <v>500000</v>
      </c>
      <c r="O6" s="4">
        <v>20000</v>
      </c>
      <c r="P6" s="4">
        <v>200000</v>
      </c>
      <c r="Q6" s="4">
        <v>12</v>
      </c>
      <c r="R6" s="4">
        <v>10</v>
      </c>
      <c r="S6" s="4">
        <v>3</v>
      </c>
      <c r="T6" s="4">
        <v>500</v>
      </c>
      <c r="U6" s="4">
        <v>5600</v>
      </c>
      <c r="V6" s="4">
        <v>3000</v>
      </c>
      <c r="W6" s="4">
        <v>200</v>
      </c>
      <c r="X6" s="4">
        <v>200</v>
      </c>
      <c r="Y6" s="4">
        <v>177</v>
      </c>
      <c r="Z6" s="2">
        <v>48</v>
      </c>
      <c r="AA6" s="2" t="s">
        <v>2852</v>
      </c>
      <c r="AB6" s="2" t="s">
        <v>2852</v>
      </c>
      <c r="AC6" s="2">
        <v>30000</v>
      </c>
      <c r="AD6" s="2" t="s">
        <v>2852</v>
      </c>
      <c r="AE6" s="4" t="s">
        <v>2872</v>
      </c>
      <c r="AF6" s="4">
        <v>30000</v>
      </c>
      <c r="AG6" s="2">
        <v>6000</v>
      </c>
      <c r="AH6" s="2">
        <v>60000</v>
      </c>
      <c r="AI6" s="2" t="s">
        <v>3310</v>
      </c>
      <c r="AJ6" s="2" t="s">
        <v>60</v>
      </c>
      <c r="AK6" s="2" t="s">
        <v>60</v>
      </c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100</v>
      </c>
      <c r="AV6" s="4">
        <v>100</v>
      </c>
      <c r="AW6" s="2" t="s">
        <v>3248</v>
      </c>
      <c r="AX6" s="2" t="s">
        <v>127</v>
      </c>
      <c r="AY6" s="2" t="s">
        <v>128</v>
      </c>
      <c r="AZ6" s="2" t="s">
        <v>3202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K6" s="2" t="s">
        <v>60</v>
      </c>
      <c r="BM6" s="2" t="s">
        <v>3260</v>
      </c>
    </row>
    <row r="7" spans="1:65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100000</v>
      </c>
      <c r="N7" s="4">
        <v>500000</v>
      </c>
      <c r="O7" s="4">
        <v>20000</v>
      </c>
      <c r="P7" s="4">
        <v>200000</v>
      </c>
      <c r="Q7" s="4">
        <v>12</v>
      </c>
      <c r="R7" s="4">
        <v>10</v>
      </c>
      <c r="S7" s="4">
        <v>3</v>
      </c>
      <c r="T7" s="4">
        <v>500</v>
      </c>
      <c r="U7" s="4">
        <v>5600</v>
      </c>
      <c r="V7" s="4">
        <v>3000</v>
      </c>
      <c r="W7" s="4">
        <v>200</v>
      </c>
      <c r="X7" s="4">
        <v>200</v>
      </c>
      <c r="Y7" s="4">
        <v>150</v>
      </c>
      <c r="Z7" s="2">
        <v>44</v>
      </c>
      <c r="AA7" s="2" t="s">
        <v>60</v>
      </c>
      <c r="AB7" s="2" t="s">
        <v>60</v>
      </c>
      <c r="AC7" s="2">
        <v>24000</v>
      </c>
      <c r="AD7" s="2" t="s">
        <v>60</v>
      </c>
      <c r="AE7" s="4" t="s">
        <v>2873</v>
      </c>
      <c r="AF7" s="4">
        <v>30000</v>
      </c>
      <c r="AG7" s="2">
        <v>4800</v>
      </c>
      <c r="AH7" s="2">
        <v>48000</v>
      </c>
      <c r="AI7" s="2" t="s">
        <v>3309</v>
      </c>
      <c r="AJ7" s="2" t="s">
        <v>60</v>
      </c>
      <c r="AK7" s="2" t="s">
        <v>60</v>
      </c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100</v>
      </c>
      <c r="AV7" s="4">
        <v>100</v>
      </c>
      <c r="AW7" s="2" t="s">
        <v>3248</v>
      </c>
      <c r="AX7" s="2" t="s">
        <v>127</v>
      </c>
      <c r="AY7" s="2" t="s">
        <v>121</v>
      </c>
      <c r="AZ7" s="2" t="s">
        <v>3203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K7" s="2" t="s">
        <v>60</v>
      </c>
      <c r="BM7" s="2" t="s">
        <v>213</v>
      </c>
    </row>
    <row r="8" spans="1:65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100000</v>
      </c>
      <c r="N8" s="4">
        <v>500000</v>
      </c>
      <c r="O8" s="4">
        <v>20000</v>
      </c>
      <c r="P8" s="4">
        <v>200000</v>
      </c>
      <c r="Q8" s="4">
        <v>12</v>
      </c>
      <c r="R8" s="4">
        <v>10</v>
      </c>
      <c r="S8" s="4">
        <v>3</v>
      </c>
      <c r="T8" s="4">
        <v>500</v>
      </c>
      <c r="U8" s="4">
        <v>5600</v>
      </c>
      <c r="V8" s="4">
        <v>3000</v>
      </c>
      <c r="W8" s="4">
        <v>200</v>
      </c>
      <c r="X8" s="4">
        <v>200</v>
      </c>
      <c r="Y8" s="4">
        <v>166</v>
      </c>
      <c r="Z8" s="2">
        <v>65</v>
      </c>
      <c r="AA8" s="2" t="s">
        <v>60</v>
      </c>
      <c r="AB8" s="2" t="s">
        <v>60</v>
      </c>
      <c r="AC8" s="2">
        <v>30000</v>
      </c>
      <c r="AD8" s="2" t="s">
        <v>60</v>
      </c>
      <c r="AE8" s="4" t="s">
        <v>2874</v>
      </c>
      <c r="AF8" s="4">
        <v>30000</v>
      </c>
      <c r="AG8" s="2">
        <v>6000</v>
      </c>
      <c r="AH8" s="2">
        <v>60000</v>
      </c>
      <c r="AI8" s="2" t="s">
        <v>3309</v>
      </c>
      <c r="AJ8" s="2" t="s">
        <v>60</v>
      </c>
      <c r="AK8" s="2" t="s">
        <v>60</v>
      </c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100</v>
      </c>
      <c r="AV8" s="4">
        <v>100</v>
      </c>
      <c r="AW8" s="2" t="s">
        <v>3248</v>
      </c>
      <c r="AX8" s="2" t="s">
        <v>120</v>
      </c>
      <c r="AY8" s="2" t="s">
        <v>128</v>
      </c>
      <c r="AZ8" s="2" t="s">
        <v>3204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K8" s="2" t="s">
        <v>60</v>
      </c>
      <c r="BM8" s="2" t="s">
        <v>213</v>
      </c>
    </row>
    <row r="9" spans="1:65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100000</v>
      </c>
      <c r="N9" s="4">
        <v>500000</v>
      </c>
      <c r="O9" s="4">
        <v>20000</v>
      </c>
      <c r="P9" s="4">
        <v>200000</v>
      </c>
      <c r="Q9" s="4">
        <v>12</v>
      </c>
      <c r="R9" s="4">
        <v>10</v>
      </c>
      <c r="S9" s="4">
        <v>3</v>
      </c>
      <c r="T9" s="4">
        <v>500</v>
      </c>
      <c r="U9" s="4">
        <v>5600</v>
      </c>
      <c r="V9" s="4">
        <v>3000</v>
      </c>
      <c r="W9" s="4">
        <v>200</v>
      </c>
      <c r="X9" s="4">
        <v>200</v>
      </c>
      <c r="Y9" s="4">
        <v>157</v>
      </c>
      <c r="Z9" s="2">
        <v>82</v>
      </c>
      <c r="AA9" s="2" t="s">
        <v>60</v>
      </c>
      <c r="AB9" s="2" t="s">
        <v>60</v>
      </c>
      <c r="AC9" s="2">
        <v>0</v>
      </c>
      <c r="AD9" s="2" t="s">
        <v>60</v>
      </c>
      <c r="AE9" s="4" t="s">
        <v>2875</v>
      </c>
      <c r="AF9" s="4">
        <v>30000</v>
      </c>
      <c r="AG9" s="2">
        <v>0</v>
      </c>
      <c r="AH9" s="2">
        <v>0</v>
      </c>
      <c r="AI9" s="2" t="s">
        <v>3309</v>
      </c>
      <c r="AJ9" s="2" t="s">
        <v>60</v>
      </c>
      <c r="AK9" s="2" t="s">
        <v>60</v>
      </c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100</v>
      </c>
      <c r="AV9" s="4">
        <v>100</v>
      </c>
      <c r="AW9" s="2" t="s">
        <v>3248</v>
      </c>
      <c r="AX9" s="2" t="s">
        <v>120</v>
      </c>
      <c r="AY9" s="2" t="s">
        <v>128</v>
      </c>
      <c r="AZ9" s="2" t="s">
        <v>3205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2913</v>
      </c>
      <c r="BG9" s="2" t="s">
        <v>20</v>
      </c>
      <c r="BH9" s="4" t="s">
        <v>2333</v>
      </c>
      <c r="BI9" s="2" t="s">
        <v>60</v>
      </c>
      <c r="BK9" s="2" t="s">
        <v>60</v>
      </c>
      <c r="BM9" s="2" t="s">
        <v>213</v>
      </c>
    </row>
    <row r="10" spans="1:65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3151</v>
      </c>
      <c r="I10" s="4" t="str">
        <f>VLOOKUP(H10,forceSet!$B$5:$D$46,3,0)</f>
        <v>丁原</v>
      </c>
      <c r="J10" s="2" t="s">
        <v>3151</v>
      </c>
      <c r="K10" s="4" t="str">
        <f>VLOOKUP(J10,corpsSet!$B$5:$C$46,2,0)</f>
        <v>丁原</v>
      </c>
      <c r="L10" s="4">
        <v>1</v>
      </c>
      <c r="M10" s="4">
        <v>100000</v>
      </c>
      <c r="N10" s="4">
        <v>500000</v>
      </c>
      <c r="O10" s="4">
        <v>20000</v>
      </c>
      <c r="P10" s="4">
        <v>200000</v>
      </c>
      <c r="Q10" s="4">
        <v>12</v>
      </c>
      <c r="R10" s="4">
        <v>10</v>
      </c>
      <c r="S10" s="4">
        <v>3</v>
      </c>
      <c r="T10" s="4">
        <v>500</v>
      </c>
      <c r="U10" s="4">
        <v>5600</v>
      </c>
      <c r="V10" s="4">
        <v>3000</v>
      </c>
      <c r="W10" s="4">
        <v>200</v>
      </c>
      <c r="X10" s="4">
        <v>200</v>
      </c>
      <c r="Y10" s="4">
        <v>119</v>
      </c>
      <c r="Z10" s="2">
        <v>67</v>
      </c>
      <c r="AA10" s="2" t="s">
        <v>60</v>
      </c>
      <c r="AB10" s="2" t="s">
        <v>60</v>
      </c>
      <c r="AC10" s="2">
        <v>20000</v>
      </c>
      <c r="AD10" s="2" t="s">
        <v>60</v>
      </c>
      <c r="AE10" s="4" t="s">
        <v>2876</v>
      </c>
      <c r="AF10" s="4">
        <v>30000</v>
      </c>
      <c r="AG10" s="2">
        <v>4800</v>
      </c>
      <c r="AH10" s="2">
        <v>48000</v>
      </c>
      <c r="AI10" s="2" t="s">
        <v>3309</v>
      </c>
      <c r="AJ10" s="2" t="s">
        <v>60</v>
      </c>
      <c r="AK10" s="2" t="s">
        <v>60</v>
      </c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100</v>
      </c>
      <c r="AV10" s="4">
        <v>100</v>
      </c>
      <c r="AW10" s="2" t="s">
        <v>3248</v>
      </c>
      <c r="AX10" s="2" t="s">
        <v>127</v>
      </c>
      <c r="AY10" s="2" t="s">
        <v>143</v>
      </c>
      <c r="AZ10" s="2" t="s">
        <v>3206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K10" s="2" t="s">
        <v>60</v>
      </c>
      <c r="BM10" s="2" t="s">
        <v>213</v>
      </c>
    </row>
    <row r="11" spans="1:65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2</v>
      </c>
      <c r="M11" s="4">
        <v>100000</v>
      </c>
      <c r="N11" s="4">
        <v>500000</v>
      </c>
      <c r="O11" s="4">
        <v>20000</v>
      </c>
      <c r="P11" s="4">
        <v>200000</v>
      </c>
      <c r="Q11" s="4">
        <v>12</v>
      </c>
      <c r="R11" s="4">
        <v>10</v>
      </c>
      <c r="S11" s="4">
        <v>3</v>
      </c>
      <c r="T11" s="4">
        <v>500</v>
      </c>
      <c r="U11" s="4">
        <v>5600</v>
      </c>
      <c r="V11" s="4">
        <v>3000</v>
      </c>
      <c r="W11" s="4">
        <v>200</v>
      </c>
      <c r="X11" s="4">
        <v>200</v>
      </c>
      <c r="Y11" s="4">
        <v>137</v>
      </c>
      <c r="Z11" s="2">
        <v>81</v>
      </c>
      <c r="AA11" s="2" t="s">
        <v>60</v>
      </c>
      <c r="AB11" s="2" t="s">
        <v>60</v>
      </c>
      <c r="AC11" s="2">
        <v>22000</v>
      </c>
      <c r="AD11" s="2" t="s">
        <v>60</v>
      </c>
      <c r="AE11" s="4" t="s">
        <v>2877</v>
      </c>
      <c r="AF11" s="4">
        <v>30000</v>
      </c>
      <c r="AG11" s="2">
        <v>4800</v>
      </c>
      <c r="AH11" s="2">
        <v>48000</v>
      </c>
      <c r="AI11" s="2" t="s">
        <v>3309</v>
      </c>
      <c r="AJ11" s="2" t="s">
        <v>60</v>
      </c>
      <c r="AK11" s="2" t="s">
        <v>60</v>
      </c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100</v>
      </c>
      <c r="AV11" s="4">
        <v>100</v>
      </c>
      <c r="AW11" s="2" t="s">
        <v>3248</v>
      </c>
      <c r="AX11" s="2" t="s">
        <v>145</v>
      </c>
      <c r="AY11" s="2" t="s">
        <v>146</v>
      </c>
      <c r="AZ11" s="2" t="s">
        <v>3207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M11" s="2" t="s">
        <v>213</v>
      </c>
    </row>
    <row r="12" spans="1:65" x14ac:dyDescent="0.15">
      <c r="B12" s="2" t="s">
        <v>30</v>
      </c>
      <c r="C12" s="2" t="s">
        <v>2913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100000</v>
      </c>
      <c r="N12" s="4">
        <v>500000</v>
      </c>
      <c r="O12" s="4">
        <v>20000</v>
      </c>
      <c r="P12" s="4">
        <v>200000</v>
      </c>
      <c r="Q12" s="4">
        <v>12</v>
      </c>
      <c r="R12" s="4">
        <v>10</v>
      </c>
      <c r="S12" s="4">
        <v>3</v>
      </c>
      <c r="T12" s="4">
        <v>500</v>
      </c>
      <c r="U12" s="4">
        <v>5600</v>
      </c>
      <c r="V12" s="4">
        <v>3000</v>
      </c>
      <c r="W12" s="4">
        <v>200</v>
      </c>
      <c r="X12" s="4">
        <v>200</v>
      </c>
      <c r="Y12" s="4">
        <v>188</v>
      </c>
      <c r="Z12" s="2">
        <v>79</v>
      </c>
      <c r="AA12" s="2" t="s">
        <v>60</v>
      </c>
      <c r="AB12" s="2" t="s">
        <v>60</v>
      </c>
      <c r="AC12" s="2">
        <v>20000</v>
      </c>
      <c r="AD12" s="2" t="s">
        <v>60</v>
      </c>
      <c r="AE12" s="4" t="s">
        <v>2878</v>
      </c>
      <c r="AF12" s="4">
        <v>30000</v>
      </c>
      <c r="AG12" s="2">
        <v>4800</v>
      </c>
      <c r="AH12" s="2">
        <v>48000</v>
      </c>
      <c r="AI12" s="2" t="s">
        <v>3309</v>
      </c>
      <c r="AJ12" s="2" t="s">
        <v>60</v>
      </c>
      <c r="AK12" s="2" t="s">
        <v>60</v>
      </c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100</v>
      </c>
      <c r="AV12" s="4">
        <v>100</v>
      </c>
      <c r="AW12" s="2" t="s">
        <v>3248</v>
      </c>
      <c r="AX12" s="2" t="s">
        <v>120</v>
      </c>
      <c r="AY12" s="2" t="s">
        <v>146</v>
      </c>
      <c r="AZ12" s="2" t="s">
        <v>3208</v>
      </c>
      <c r="BA12" s="2" t="s">
        <v>33</v>
      </c>
      <c r="BB12" s="4" t="s">
        <v>139</v>
      </c>
      <c r="BC12" s="2" t="s">
        <v>29</v>
      </c>
      <c r="BD12" s="4" t="s">
        <v>2914</v>
      </c>
      <c r="BE12" s="4" t="s">
        <v>60</v>
      </c>
      <c r="BF12" s="4"/>
      <c r="BG12" s="2" t="s">
        <v>60</v>
      </c>
      <c r="BH12" s="4"/>
      <c r="BI12" s="2" t="s">
        <v>60</v>
      </c>
      <c r="BK12" s="2" t="s">
        <v>60</v>
      </c>
      <c r="BM12" s="2" t="s">
        <v>213</v>
      </c>
    </row>
    <row r="13" spans="1:65" x14ac:dyDescent="0.15">
      <c r="B13" s="2" t="s">
        <v>29</v>
      </c>
      <c r="C13" s="2" t="s">
        <v>2914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100000</v>
      </c>
      <c r="N13" s="4">
        <v>500000</v>
      </c>
      <c r="O13" s="4">
        <v>20000</v>
      </c>
      <c r="P13" s="4">
        <v>200000</v>
      </c>
      <c r="Q13" s="4">
        <v>12</v>
      </c>
      <c r="R13" s="4">
        <v>10</v>
      </c>
      <c r="S13" s="4">
        <v>3</v>
      </c>
      <c r="T13" s="4">
        <v>500</v>
      </c>
      <c r="U13" s="4">
        <v>5600</v>
      </c>
      <c r="V13" s="4">
        <v>3000</v>
      </c>
      <c r="W13" s="4">
        <v>200</v>
      </c>
      <c r="X13" s="4">
        <v>200</v>
      </c>
      <c r="Y13" s="4">
        <v>184</v>
      </c>
      <c r="Z13" s="2">
        <v>105</v>
      </c>
      <c r="AA13" s="2" t="s">
        <v>60</v>
      </c>
      <c r="AB13" s="2" t="s">
        <v>60</v>
      </c>
      <c r="AC13" s="2">
        <v>26000</v>
      </c>
      <c r="AD13" s="2" t="s">
        <v>60</v>
      </c>
      <c r="AE13" s="4" t="s">
        <v>2879</v>
      </c>
      <c r="AF13" s="4">
        <v>30000</v>
      </c>
      <c r="AG13" s="2">
        <v>5600</v>
      </c>
      <c r="AH13" s="2">
        <v>56000</v>
      </c>
      <c r="AI13" s="2" t="s">
        <v>3309</v>
      </c>
      <c r="AJ13" s="2" t="s">
        <v>60</v>
      </c>
      <c r="AK13" s="2" t="s">
        <v>60</v>
      </c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100</v>
      </c>
      <c r="AV13" s="4">
        <v>100</v>
      </c>
      <c r="AW13" s="2" t="s">
        <v>3248</v>
      </c>
      <c r="AX13" s="2" t="s">
        <v>127</v>
      </c>
      <c r="AY13" s="2" t="s">
        <v>154</v>
      </c>
      <c r="AZ13" s="2" t="s">
        <v>3209</v>
      </c>
      <c r="BA13" s="2" t="s">
        <v>30</v>
      </c>
      <c r="BB13" s="4" t="s">
        <v>2913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K13" s="2" t="s">
        <v>60</v>
      </c>
      <c r="BM13" s="2" t="s">
        <v>213</v>
      </c>
    </row>
    <row r="14" spans="1:65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100000</v>
      </c>
      <c r="N14" s="4">
        <v>500000</v>
      </c>
      <c r="O14" s="4">
        <v>20000</v>
      </c>
      <c r="P14" s="4">
        <v>200000</v>
      </c>
      <c r="Q14" s="4">
        <v>12</v>
      </c>
      <c r="R14" s="4">
        <v>10</v>
      </c>
      <c r="S14" s="4">
        <v>3</v>
      </c>
      <c r="T14" s="4">
        <v>500</v>
      </c>
      <c r="U14" s="4">
        <v>5600</v>
      </c>
      <c r="V14" s="4">
        <v>3000</v>
      </c>
      <c r="W14" s="4">
        <v>200</v>
      </c>
      <c r="X14" s="4">
        <v>200</v>
      </c>
      <c r="Y14" s="4">
        <v>164</v>
      </c>
      <c r="Z14" s="2">
        <v>105</v>
      </c>
      <c r="AA14" s="2" t="s">
        <v>60</v>
      </c>
      <c r="AB14" s="2" t="s">
        <v>60</v>
      </c>
      <c r="AC14" s="2">
        <v>24000</v>
      </c>
      <c r="AD14" s="2" t="s">
        <v>60</v>
      </c>
      <c r="AE14" s="4" t="s">
        <v>2880</v>
      </c>
      <c r="AF14" s="4">
        <v>30000</v>
      </c>
      <c r="AG14" s="2">
        <v>4800</v>
      </c>
      <c r="AH14" s="2">
        <v>48000</v>
      </c>
      <c r="AI14" s="2" t="s">
        <v>3309</v>
      </c>
      <c r="AJ14" s="2" t="s">
        <v>60</v>
      </c>
      <c r="AK14" s="2" t="s">
        <v>60</v>
      </c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100</v>
      </c>
      <c r="AV14" s="4">
        <v>100</v>
      </c>
      <c r="AW14" s="2" t="s">
        <v>3248</v>
      </c>
      <c r="AX14" s="2" t="s">
        <v>158</v>
      </c>
      <c r="AY14" s="2" t="s">
        <v>128</v>
      </c>
      <c r="AZ14" s="2" t="s">
        <v>3210</v>
      </c>
      <c r="BA14" s="2" t="s">
        <v>29</v>
      </c>
      <c r="BB14" s="4" t="s">
        <v>2914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K14" s="2" t="s">
        <v>60</v>
      </c>
      <c r="BM14" s="2" t="s">
        <v>213</v>
      </c>
    </row>
    <row r="15" spans="1:65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3336</v>
      </c>
      <c r="I15" s="4" t="str">
        <f>VLOOKUP(H15,forceSet!$B$5:$D$46,3,0)</f>
        <v>毌丘俭</v>
      </c>
      <c r="J15" s="2" t="s">
        <v>3336</v>
      </c>
      <c r="K15" s="4" t="str">
        <f>VLOOKUP(J15,corpsSet!$B$5:$C$46,2,0)</f>
        <v>毌丘俭</v>
      </c>
      <c r="L15" s="4">
        <v>2</v>
      </c>
      <c r="M15" s="4">
        <v>100000</v>
      </c>
      <c r="N15" s="4">
        <v>500000</v>
      </c>
      <c r="O15" s="4">
        <v>20000</v>
      </c>
      <c r="P15" s="4">
        <v>200000</v>
      </c>
      <c r="Q15" s="4">
        <v>12</v>
      </c>
      <c r="R15" s="4">
        <v>10</v>
      </c>
      <c r="S15" s="4">
        <v>3</v>
      </c>
      <c r="T15" s="4">
        <v>500</v>
      </c>
      <c r="U15" s="4">
        <v>5600</v>
      </c>
      <c r="V15" s="4">
        <v>3000</v>
      </c>
      <c r="W15" s="4">
        <v>200</v>
      </c>
      <c r="X15" s="4">
        <v>200</v>
      </c>
      <c r="Y15" s="4">
        <v>168</v>
      </c>
      <c r="Z15" s="2">
        <v>124</v>
      </c>
      <c r="AA15" s="2" t="s">
        <v>60</v>
      </c>
      <c r="AB15" s="2" t="s">
        <v>60</v>
      </c>
      <c r="AC15" s="2">
        <v>24000</v>
      </c>
      <c r="AD15" s="2" t="s">
        <v>60</v>
      </c>
      <c r="AE15" s="4" t="s">
        <v>2881</v>
      </c>
      <c r="AF15" s="4">
        <v>30000</v>
      </c>
      <c r="AG15" s="2">
        <v>5200</v>
      </c>
      <c r="AH15" s="2">
        <v>52000</v>
      </c>
      <c r="AI15" s="2" t="s">
        <v>3309</v>
      </c>
      <c r="AJ15" s="2" t="s">
        <v>60</v>
      </c>
      <c r="AK15" s="2" t="s">
        <v>60</v>
      </c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100</v>
      </c>
      <c r="AV15" s="4">
        <v>100</v>
      </c>
      <c r="AW15" s="2" t="s">
        <v>3248</v>
      </c>
      <c r="AX15" s="2" t="s">
        <v>120</v>
      </c>
      <c r="AY15" s="2" t="s">
        <v>128</v>
      </c>
      <c r="AZ15" s="2" t="s">
        <v>3211</v>
      </c>
      <c r="BA15" s="2" t="s">
        <v>29</v>
      </c>
      <c r="BB15" s="4" t="s">
        <v>2914</v>
      </c>
      <c r="BC15" s="2" t="s">
        <v>32</v>
      </c>
      <c r="BD15" s="4" t="s">
        <v>155</v>
      </c>
      <c r="BE15" s="4" t="s">
        <v>8</v>
      </c>
      <c r="BF15" s="4" t="s">
        <v>161</v>
      </c>
      <c r="BG15" s="2" t="s">
        <v>189</v>
      </c>
      <c r="BH15" s="4" t="s">
        <v>2916</v>
      </c>
      <c r="BI15" s="2" t="s">
        <v>200</v>
      </c>
      <c r="BJ15" s="2" t="s">
        <v>162</v>
      </c>
      <c r="BK15" s="2" t="s">
        <v>60</v>
      </c>
      <c r="BM15" s="2" t="s">
        <v>213</v>
      </c>
    </row>
    <row r="16" spans="1:65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100000</v>
      </c>
      <c r="N16" s="4">
        <v>500000</v>
      </c>
      <c r="O16" s="4">
        <v>20000</v>
      </c>
      <c r="P16" s="4">
        <v>200000</v>
      </c>
      <c r="Q16" s="4">
        <v>12</v>
      </c>
      <c r="R16" s="4">
        <v>10</v>
      </c>
      <c r="S16" s="4">
        <v>3</v>
      </c>
      <c r="T16" s="4">
        <v>500</v>
      </c>
      <c r="U16" s="4">
        <v>5600</v>
      </c>
      <c r="V16" s="4">
        <v>3000</v>
      </c>
      <c r="W16" s="4">
        <v>200</v>
      </c>
      <c r="X16" s="4">
        <v>200</v>
      </c>
      <c r="Y16" s="4">
        <v>148</v>
      </c>
      <c r="Z16" s="2">
        <v>99</v>
      </c>
      <c r="AA16" s="2" t="s">
        <v>60</v>
      </c>
      <c r="AB16" s="2" t="s">
        <v>60</v>
      </c>
      <c r="AC16" s="2">
        <v>30000</v>
      </c>
      <c r="AD16" s="2" t="s">
        <v>60</v>
      </c>
      <c r="AE16" s="4" t="s">
        <v>2882</v>
      </c>
      <c r="AF16" s="4">
        <v>30000</v>
      </c>
      <c r="AG16" s="2">
        <v>6000</v>
      </c>
      <c r="AH16" s="2">
        <v>60000</v>
      </c>
      <c r="AI16" s="2" t="s">
        <v>3309</v>
      </c>
      <c r="AJ16" s="2" t="s">
        <v>60</v>
      </c>
      <c r="AK16" s="2" t="s">
        <v>60</v>
      </c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100</v>
      </c>
      <c r="AV16" s="4">
        <v>100</v>
      </c>
      <c r="AW16" s="2" t="s">
        <v>3248</v>
      </c>
      <c r="AX16" s="2" t="s">
        <v>145</v>
      </c>
      <c r="AY16" s="2" t="s">
        <v>143</v>
      </c>
      <c r="AZ16" s="2" t="s">
        <v>3212</v>
      </c>
      <c r="BA16" s="2" t="s">
        <v>33</v>
      </c>
      <c r="BB16" s="4" t="s">
        <v>139</v>
      </c>
      <c r="BC16" s="2" t="s">
        <v>34</v>
      </c>
      <c r="BD16" s="4" t="s">
        <v>140</v>
      </c>
      <c r="BE16" s="4" t="s">
        <v>32</v>
      </c>
      <c r="BF16" s="4" t="s">
        <v>155</v>
      </c>
      <c r="BG16" s="2" t="s">
        <v>41</v>
      </c>
      <c r="BH16" s="4" t="s">
        <v>149</v>
      </c>
      <c r="BI16" s="2" t="s">
        <v>60</v>
      </c>
      <c r="BK16" s="2" t="s">
        <v>60</v>
      </c>
      <c r="BM16" s="2" t="s">
        <v>213</v>
      </c>
    </row>
    <row r="17" spans="2:65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100000</v>
      </c>
      <c r="N17" s="4">
        <v>500000</v>
      </c>
      <c r="O17" s="4">
        <v>20000</v>
      </c>
      <c r="P17" s="4">
        <v>200000</v>
      </c>
      <c r="Q17" s="4">
        <v>12</v>
      </c>
      <c r="R17" s="4">
        <v>10</v>
      </c>
      <c r="S17" s="4">
        <v>3</v>
      </c>
      <c r="T17" s="4">
        <v>500</v>
      </c>
      <c r="U17" s="4">
        <v>5600</v>
      </c>
      <c r="V17" s="4">
        <v>3000</v>
      </c>
      <c r="W17" s="4">
        <v>200</v>
      </c>
      <c r="X17" s="4">
        <v>200</v>
      </c>
      <c r="Y17" s="4">
        <v>136</v>
      </c>
      <c r="Z17" s="2">
        <v>107</v>
      </c>
      <c r="AA17" s="2" t="s">
        <v>60</v>
      </c>
      <c r="AB17" s="2" t="s">
        <v>60</v>
      </c>
      <c r="AC17" s="2">
        <v>22000</v>
      </c>
      <c r="AD17" s="2" t="s">
        <v>60</v>
      </c>
      <c r="AE17" s="4" t="s">
        <v>2883</v>
      </c>
      <c r="AF17" s="4">
        <v>30000</v>
      </c>
      <c r="AG17" s="2">
        <v>4800</v>
      </c>
      <c r="AH17" s="2">
        <v>48000</v>
      </c>
      <c r="AI17" s="2" t="s">
        <v>3309</v>
      </c>
      <c r="AJ17" s="2" t="s">
        <v>60</v>
      </c>
      <c r="AK17" s="2" t="s">
        <v>60</v>
      </c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100</v>
      </c>
      <c r="AV17" s="4">
        <v>100</v>
      </c>
      <c r="AW17" s="2" t="s">
        <v>3248</v>
      </c>
      <c r="AX17" s="2" t="s">
        <v>127</v>
      </c>
      <c r="AY17" s="2" t="s">
        <v>121</v>
      </c>
      <c r="AZ17" s="2" t="s">
        <v>3213</v>
      </c>
      <c r="BA17" s="2" t="s">
        <v>34</v>
      </c>
      <c r="BB17" s="4" t="s">
        <v>140</v>
      </c>
      <c r="BC17" s="2" t="s">
        <v>32</v>
      </c>
      <c r="BD17" s="4" t="s">
        <v>155</v>
      </c>
      <c r="BE17" s="4" t="s">
        <v>20</v>
      </c>
      <c r="BF17" s="4" t="s">
        <v>2333</v>
      </c>
      <c r="BG17" s="2" t="s">
        <v>17</v>
      </c>
      <c r="BH17" s="4" t="s">
        <v>165</v>
      </c>
      <c r="BI17" s="2" t="s">
        <v>18</v>
      </c>
      <c r="BJ17" s="2" t="s">
        <v>166</v>
      </c>
      <c r="BK17" s="2" t="s">
        <v>103</v>
      </c>
      <c r="BL17" s="2" t="s">
        <v>167</v>
      </c>
      <c r="BM17" s="2" t="s">
        <v>213</v>
      </c>
    </row>
    <row r="18" spans="2:65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2</v>
      </c>
      <c r="M18" s="4">
        <v>100000</v>
      </c>
      <c r="N18" s="4">
        <v>500000</v>
      </c>
      <c r="O18" s="4">
        <v>20000</v>
      </c>
      <c r="P18" s="4">
        <v>200000</v>
      </c>
      <c r="Q18" s="4">
        <v>12</v>
      </c>
      <c r="R18" s="4">
        <v>10</v>
      </c>
      <c r="S18" s="4">
        <v>3</v>
      </c>
      <c r="T18" s="4">
        <v>500</v>
      </c>
      <c r="U18" s="4">
        <v>5600</v>
      </c>
      <c r="V18" s="4">
        <v>3000</v>
      </c>
      <c r="W18" s="4">
        <v>200</v>
      </c>
      <c r="X18" s="4">
        <v>200</v>
      </c>
      <c r="Y18" s="4">
        <v>127</v>
      </c>
      <c r="Z18" s="2">
        <v>120</v>
      </c>
      <c r="AA18" s="2" t="s">
        <v>60</v>
      </c>
      <c r="AB18" s="2" t="s">
        <v>60</v>
      </c>
      <c r="AC18" s="2">
        <v>28000</v>
      </c>
      <c r="AD18" s="2" t="s">
        <v>60</v>
      </c>
      <c r="AE18" s="4" t="s">
        <v>2884</v>
      </c>
      <c r="AF18" s="4">
        <v>30000</v>
      </c>
      <c r="AG18" s="2">
        <v>5600</v>
      </c>
      <c r="AH18" s="2">
        <v>56000</v>
      </c>
      <c r="AI18" s="2" t="s">
        <v>3309</v>
      </c>
      <c r="AJ18" s="2" t="s">
        <v>60</v>
      </c>
      <c r="AK18" s="2" t="s">
        <v>60</v>
      </c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100</v>
      </c>
      <c r="AV18" s="4">
        <v>100</v>
      </c>
      <c r="AW18" s="2" t="s">
        <v>3248</v>
      </c>
      <c r="AX18" s="2" t="s">
        <v>145</v>
      </c>
      <c r="AY18" s="2" t="s">
        <v>121</v>
      </c>
      <c r="AZ18" s="2" t="s">
        <v>3214</v>
      </c>
      <c r="BA18" s="2" t="s">
        <v>41</v>
      </c>
      <c r="BB18" s="4" t="s">
        <v>149</v>
      </c>
      <c r="BC18" s="2" t="s">
        <v>8</v>
      </c>
      <c r="BD18" s="4" t="s">
        <v>161</v>
      </c>
      <c r="BE18" s="4" t="s">
        <v>18</v>
      </c>
      <c r="BF18" s="4" t="s">
        <v>166</v>
      </c>
      <c r="BG18" s="2" t="s">
        <v>103</v>
      </c>
      <c r="BH18" s="4" t="s">
        <v>167</v>
      </c>
      <c r="BI18" s="2" t="s">
        <v>60</v>
      </c>
      <c r="BK18" s="2" t="s">
        <v>60</v>
      </c>
      <c r="BM18" s="2" t="s">
        <v>213</v>
      </c>
    </row>
    <row r="19" spans="2:65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100000</v>
      </c>
      <c r="N19" s="4">
        <v>500000</v>
      </c>
      <c r="O19" s="4">
        <v>20000</v>
      </c>
      <c r="P19" s="4">
        <v>200000</v>
      </c>
      <c r="Q19" s="4">
        <v>12</v>
      </c>
      <c r="R19" s="4">
        <v>10</v>
      </c>
      <c r="S19" s="4">
        <v>3</v>
      </c>
      <c r="T19" s="4">
        <v>500</v>
      </c>
      <c r="U19" s="4">
        <v>5600</v>
      </c>
      <c r="V19" s="4">
        <v>3000</v>
      </c>
      <c r="W19" s="4">
        <v>200</v>
      </c>
      <c r="X19" s="4">
        <v>200</v>
      </c>
      <c r="Y19" s="4">
        <v>141</v>
      </c>
      <c r="Z19" s="2">
        <v>135</v>
      </c>
      <c r="AA19" s="2" t="s">
        <v>60</v>
      </c>
      <c r="AB19" s="2" t="s">
        <v>60</v>
      </c>
      <c r="AC19" s="2">
        <v>24000</v>
      </c>
      <c r="AD19" s="2" t="s">
        <v>60</v>
      </c>
      <c r="AE19" s="4" t="s">
        <v>2885</v>
      </c>
      <c r="AF19" s="4">
        <v>30000</v>
      </c>
      <c r="AG19" s="2">
        <v>4800</v>
      </c>
      <c r="AH19" s="2">
        <v>48000</v>
      </c>
      <c r="AI19" s="2" t="s">
        <v>3309</v>
      </c>
      <c r="AJ19" s="2" t="s">
        <v>60</v>
      </c>
      <c r="AK19" s="2" t="s">
        <v>60</v>
      </c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100</v>
      </c>
      <c r="AV19" s="4">
        <v>100</v>
      </c>
      <c r="AW19" s="2" t="s">
        <v>3248</v>
      </c>
      <c r="AX19" s="2" t="s">
        <v>127</v>
      </c>
      <c r="AY19" s="2" t="s">
        <v>128</v>
      </c>
      <c r="AZ19" s="2" t="s">
        <v>3215</v>
      </c>
      <c r="BA19" s="2" t="s">
        <v>24</v>
      </c>
      <c r="BB19" s="4" t="s">
        <v>156</v>
      </c>
      <c r="BC19" s="2" t="s">
        <v>17</v>
      </c>
      <c r="BD19" s="4" t="s">
        <v>165</v>
      </c>
      <c r="BE19" s="4" t="s">
        <v>208</v>
      </c>
      <c r="BF19" s="4" t="s">
        <v>170</v>
      </c>
      <c r="BG19" s="2" t="s">
        <v>60</v>
      </c>
      <c r="BH19" s="4"/>
      <c r="BI19" s="2" t="s">
        <v>60</v>
      </c>
      <c r="BK19" s="2" t="s">
        <v>60</v>
      </c>
      <c r="BM19" s="2" t="s">
        <v>213</v>
      </c>
    </row>
    <row r="20" spans="2:65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3</v>
      </c>
      <c r="M20" s="4">
        <v>100000</v>
      </c>
      <c r="N20" s="4">
        <v>500000</v>
      </c>
      <c r="O20" s="4">
        <v>20000</v>
      </c>
      <c r="P20" s="4">
        <v>200000</v>
      </c>
      <c r="Q20" s="4">
        <v>12</v>
      </c>
      <c r="R20" s="4">
        <v>10</v>
      </c>
      <c r="S20" s="4">
        <v>3</v>
      </c>
      <c r="T20" s="4">
        <v>500</v>
      </c>
      <c r="U20" s="4">
        <v>5600</v>
      </c>
      <c r="V20" s="4">
        <v>3000</v>
      </c>
      <c r="W20" s="4">
        <v>200</v>
      </c>
      <c r="X20" s="4">
        <v>200</v>
      </c>
      <c r="Y20" s="4">
        <v>107</v>
      </c>
      <c r="Z20" s="2">
        <v>104</v>
      </c>
      <c r="AA20" s="2" t="s">
        <v>60</v>
      </c>
      <c r="AB20" s="2" t="s">
        <v>60</v>
      </c>
      <c r="AC20" s="2">
        <v>18000</v>
      </c>
      <c r="AD20" s="2" t="s">
        <v>60</v>
      </c>
      <c r="AE20" s="4" t="s">
        <v>2886</v>
      </c>
      <c r="AF20" s="4">
        <v>30000</v>
      </c>
      <c r="AG20" s="2">
        <v>5200</v>
      </c>
      <c r="AH20" s="2">
        <v>52000</v>
      </c>
      <c r="AI20" s="2" t="s">
        <v>3309</v>
      </c>
      <c r="AJ20" s="2" t="s">
        <v>60</v>
      </c>
      <c r="AK20" s="2" t="s">
        <v>60</v>
      </c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100</v>
      </c>
      <c r="AV20" s="4">
        <v>100</v>
      </c>
      <c r="AW20" s="2" t="s">
        <v>3248</v>
      </c>
      <c r="AX20" s="2" t="s">
        <v>172</v>
      </c>
      <c r="AY20" s="2" t="s">
        <v>143</v>
      </c>
      <c r="AZ20" s="2" t="s">
        <v>3216</v>
      </c>
      <c r="BA20" s="2" t="s">
        <v>41</v>
      </c>
      <c r="BB20" s="4" t="s">
        <v>149</v>
      </c>
      <c r="BC20" s="2" t="s">
        <v>17</v>
      </c>
      <c r="BD20" s="4" t="s">
        <v>165</v>
      </c>
      <c r="BE20" s="4" t="s">
        <v>103</v>
      </c>
      <c r="BF20" s="4" t="s">
        <v>167</v>
      </c>
      <c r="BG20" s="2" t="s">
        <v>104</v>
      </c>
      <c r="BH20" s="4" t="s">
        <v>174</v>
      </c>
      <c r="BI20" s="2" t="s">
        <v>60</v>
      </c>
      <c r="BK20" s="2" t="s">
        <v>60</v>
      </c>
      <c r="BM20" s="2" t="s">
        <v>213</v>
      </c>
    </row>
    <row r="21" spans="2:65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100000</v>
      </c>
      <c r="N21" s="4">
        <v>500000</v>
      </c>
      <c r="O21" s="4">
        <v>20000</v>
      </c>
      <c r="P21" s="4">
        <v>200000</v>
      </c>
      <c r="Q21" s="4">
        <v>12</v>
      </c>
      <c r="R21" s="4">
        <v>10</v>
      </c>
      <c r="S21" s="4">
        <v>3</v>
      </c>
      <c r="T21" s="4">
        <v>500</v>
      </c>
      <c r="U21" s="4">
        <v>5600</v>
      </c>
      <c r="V21" s="4">
        <v>3000</v>
      </c>
      <c r="W21" s="4">
        <v>200</v>
      </c>
      <c r="X21" s="4">
        <v>200</v>
      </c>
      <c r="Y21" s="4">
        <v>105</v>
      </c>
      <c r="Z21" s="2">
        <v>120</v>
      </c>
      <c r="AA21" s="2" t="s">
        <v>60</v>
      </c>
      <c r="AB21" s="2" t="s">
        <v>60</v>
      </c>
      <c r="AC21" s="2">
        <v>24000</v>
      </c>
      <c r="AD21" s="2" t="s">
        <v>60</v>
      </c>
      <c r="AE21" s="4" t="s">
        <v>2887</v>
      </c>
      <c r="AF21" s="4">
        <v>30000</v>
      </c>
      <c r="AG21" s="2">
        <v>4800</v>
      </c>
      <c r="AH21" s="2">
        <v>48000</v>
      </c>
      <c r="AI21" s="2" t="s">
        <v>3309</v>
      </c>
      <c r="AJ21" s="2" t="s">
        <v>60</v>
      </c>
      <c r="AK21" s="2" t="s">
        <v>60</v>
      </c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100</v>
      </c>
      <c r="AV21" s="4">
        <v>100</v>
      </c>
      <c r="AW21" s="2" t="s">
        <v>3248</v>
      </c>
      <c r="AX21" s="2" t="s">
        <v>127</v>
      </c>
      <c r="AY21" s="2" t="s">
        <v>121</v>
      </c>
      <c r="AZ21" s="2" t="s">
        <v>3217</v>
      </c>
      <c r="BA21" s="2" t="s">
        <v>17</v>
      </c>
      <c r="BB21" s="4" t="s">
        <v>165</v>
      </c>
      <c r="BC21" s="2" t="s">
        <v>18</v>
      </c>
      <c r="BD21" s="4" t="s">
        <v>166</v>
      </c>
      <c r="BE21" s="4" t="s">
        <v>104</v>
      </c>
      <c r="BF21" s="4" t="s">
        <v>174</v>
      </c>
      <c r="BG21" s="2" t="s">
        <v>105</v>
      </c>
      <c r="BH21" s="4" t="s">
        <v>178</v>
      </c>
      <c r="BI21" s="2" t="s">
        <v>208</v>
      </c>
      <c r="BJ21" s="2" t="s">
        <v>170</v>
      </c>
      <c r="BK21" s="2" t="s">
        <v>41</v>
      </c>
      <c r="BL21" s="2" t="s">
        <v>149</v>
      </c>
      <c r="BM21" s="2" t="s">
        <v>213</v>
      </c>
    </row>
    <row r="22" spans="2:65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3</v>
      </c>
      <c r="M22" s="4">
        <v>100000</v>
      </c>
      <c r="N22" s="4">
        <v>500000</v>
      </c>
      <c r="O22" s="4">
        <v>20000</v>
      </c>
      <c r="P22" s="4">
        <v>200000</v>
      </c>
      <c r="Q22" s="4">
        <v>12</v>
      </c>
      <c r="R22" s="4">
        <v>10</v>
      </c>
      <c r="S22" s="4">
        <v>3</v>
      </c>
      <c r="T22" s="4">
        <v>500</v>
      </c>
      <c r="U22" s="4">
        <v>5600</v>
      </c>
      <c r="V22" s="4">
        <v>3000</v>
      </c>
      <c r="W22" s="4">
        <v>200</v>
      </c>
      <c r="X22" s="4">
        <v>200</v>
      </c>
      <c r="Y22" s="4">
        <v>81</v>
      </c>
      <c r="Z22" s="2">
        <v>101</v>
      </c>
      <c r="AA22" s="2" t="s">
        <v>60</v>
      </c>
      <c r="AB22" s="2" t="s">
        <v>60</v>
      </c>
      <c r="AC22" s="2">
        <v>24000</v>
      </c>
      <c r="AD22" s="2" t="s">
        <v>60</v>
      </c>
      <c r="AE22" s="4" t="s">
        <v>2888</v>
      </c>
      <c r="AF22" s="4">
        <v>30000</v>
      </c>
      <c r="AG22" s="2">
        <v>6000</v>
      </c>
      <c r="AH22" s="2">
        <v>60000</v>
      </c>
      <c r="AI22" s="2" t="s">
        <v>3309</v>
      </c>
      <c r="AJ22" s="2" t="s">
        <v>60</v>
      </c>
      <c r="AK22" s="2" t="s">
        <v>60</v>
      </c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100</v>
      </c>
      <c r="AV22" s="4">
        <v>100</v>
      </c>
      <c r="AW22" s="2" t="s">
        <v>3248</v>
      </c>
      <c r="AX22" s="2" t="s">
        <v>145</v>
      </c>
      <c r="AY22" s="2" t="s">
        <v>121</v>
      </c>
      <c r="AZ22" s="2" t="s">
        <v>3218</v>
      </c>
      <c r="BA22" s="2" t="s">
        <v>18</v>
      </c>
      <c r="BB22" s="4" t="s">
        <v>166</v>
      </c>
      <c r="BC22" s="2" t="s">
        <v>103</v>
      </c>
      <c r="BD22" s="4" t="s">
        <v>167</v>
      </c>
      <c r="BE22" s="4" t="s">
        <v>106</v>
      </c>
      <c r="BF22" s="4" t="s">
        <v>180</v>
      </c>
      <c r="BG22" s="2" t="s">
        <v>226</v>
      </c>
      <c r="BH22" s="4" t="s">
        <v>181</v>
      </c>
      <c r="BI22" s="2" t="s">
        <v>60</v>
      </c>
      <c r="BK22" s="2" t="s">
        <v>60</v>
      </c>
      <c r="BM22" s="2" t="s">
        <v>213</v>
      </c>
    </row>
    <row r="23" spans="2:65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100000</v>
      </c>
      <c r="N23" s="4">
        <v>500000</v>
      </c>
      <c r="O23" s="4">
        <v>20000</v>
      </c>
      <c r="P23" s="4">
        <v>200000</v>
      </c>
      <c r="Q23" s="4">
        <v>12</v>
      </c>
      <c r="R23" s="4">
        <v>10</v>
      </c>
      <c r="S23" s="4">
        <v>3</v>
      </c>
      <c r="T23" s="4">
        <v>500</v>
      </c>
      <c r="U23" s="4">
        <v>5600</v>
      </c>
      <c r="V23" s="4">
        <v>3000</v>
      </c>
      <c r="W23" s="4">
        <v>200</v>
      </c>
      <c r="X23" s="4">
        <v>200</v>
      </c>
      <c r="Y23" s="4">
        <v>82</v>
      </c>
      <c r="Z23" s="2">
        <v>130</v>
      </c>
      <c r="AA23" s="2" t="s">
        <v>60</v>
      </c>
      <c r="AB23" s="2" t="s">
        <v>60</v>
      </c>
      <c r="AC23" s="2">
        <v>0</v>
      </c>
      <c r="AD23" s="2" t="s">
        <v>60</v>
      </c>
      <c r="AE23" s="4" t="s">
        <v>2889</v>
      </c>
      <c r="AF23" s="4">
        <v>30000</v>
      </c>
      <c r="AG23" s="2">
        <v>0</v>
      </c>
      <c r="AH23" s="2">
        <v>0</v>
      </c>
      <c r="AI23" s="2" t="s">
        <v>3309</v>
      </c>
      <c r="AJ23" s="2" t="s">
        <v>60</v>
      </c>
      <c r="AK23" s="2" t="s">
        <v>60</v>
      </c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100</v>
      </c>
      <c r="AV23" s="4">
        <v>100</v>
      </c>
      <c r="AW23" s="2" t="s">
        <v>3248</v>
      </c>
      <c r="AX23" s="2" t="s">
        <v>158</v>
      </c>
      <c r="AY23" s="2" t="s">
        <v>128</v>
      </c>
      <c r="AZ23" s="2" t="s">
        <v>3219</v>
      </c>
      <c r="BA23" s="2" t="s">
        <v>103</v>
      </c>
      <c r="BB23" s="4" t="s">
        <v>167</v>
      </c>
      <c r="BC23" s="2" t="s">
        <v>208</v>
      </c>
      <c r="BD23" s="4" t="s">
        <v>170</v>
      </c>
      <c r="BE23" s="4" t="s">
        <v>226</v>
      </c>
      <c r="BF23" s="4" t="s">
        <v>181</v>
      </c>
      <c r="BG23" s="2" t="s">
        <v>60</v>
      </c>
      <c r="BH23" s="4"/>
      <c r="BI23" s="2" t="s">
        <v>60</v>
      </c>
      <c r="BK23" s="2" t="s">
        <v>60</v>
      </c>
      <c r="BM23" s="2" t="s">
        <v>213</v>
      </c>
    </row>
    <row r="24" spans="2:65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100000</v>
      </c>
      <c r="N24" s="4">
        <v>500000</v>
      </c>
      <c r="O24" s="4">
        <v>20000</v>
      </c>
      <c r="P24" s="4">
        <v>200000</v>
      </c>
      <c r="Q24" s="4">
        <v>12</v>
      </c>
      <c r="R24" s="4">
        <v>10</v>
      </c>
      <c r="S24" s="4">
        <v>3</v>
      </c>
      <c r="T24" s="4">
        <v>500</v>
      </c>
      <c r="U24" s="4">
        <v>5600</v>
      </c>
      <c r="V24" s="4">
        <v>3000</v>
      </c>
      <c r="W24" s="4">
        <v>200</v>
      </c>
      <c r="X24" s="4">
        <v>200</v>
      </c>
      <c r="Y24" s="4">
        <v>56</v>
      </c>
      <c r="Z24" s="2">
        <v>83</v>
      </c>
      <c r="AA24" s="2" t="s">
        <v>60</v>
      </c>
      <c r="AB24" s="2" t="s">
        <v>60</v>
      </c>
      <c r="AC24" s="2">
        <v>30000</v>
      </c>
      <c r="AD24" s="2" t="s">
        <v>60</v>
      </c>
      <c r="AE24" s="4" t="s">
        <v>2890</v>
      </c>
      <c r="AF24" s="4">
        <v>30000</v>
      </c>
      <c r="AG24" s="2">
        <v>6000</v>
      </c>
      <c r="AH24" s="2">
        <v>60000</v>
      </c>
      <c r="AI24" s="2" t="s">
        <v>3309</v>
      </c>
      <c r="AJ24" s="2" t="s">
        <v>60</v>
      </c>
      <c r="AK24" s="2" t="s">
        <v>60</v>
      </c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100</v>
      </c>
      <c r="AV24" s="4">
        <v>100</v>
      </c>
      <c r="AW24" s="2" t="s">
        <v>3248</v>
      </c>
      <c r="AX24" s="2" t="s">
        <v>120</v>
      </c>
      <c r="AY24" s="2" t="s">
        <v>121</v>
      </c>
      <c r="AZ24" s="2" t="s">
        <v>3220</v>
      </c>
      <c r="BA24" s="2" t="s">
        <v>104</v>
      </c>
      <c r="BB24" s="4" t="s">
        <v>174</v>
      </c>
      <c r="BC24" s="2" t="s">
        <v>107</v>
      </c>
      <c r="BD24" s="4" t="s">
        <v>2915</v>
      </c>
      <c r="BE24" s="4" t="s">
        <v>10</v>
      </c>
      <c r="BF24" s="4" t="s">
        <v>183</v>
      </c>
      <c r="BG24" s="2" t="s">
        <v>60</v>
      </c>
      <c r="BH24" s="4"/>
      <c r="BI24" s="2" t="s">
        <v>60</v>
      </c>
      <c r="BK24" s="2" t="s">
        <v>60</v>
      </c>
      <c r="BM24" s="2" t="s">
        <v>213</v>
      </c>
    </row>
    <row r="25" spans="2:65" x14ac:dyDescent="0.15">
      <c r="B25" s="2" t="s">
        <v>107</v>
      </c>
      <c r="C25" s="2" t="s">
        <v>2915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>
        <v>1</v>
      </c>
      <c r="M25" s="4">
        <v>100000</v>
      </c>
      <c r="N25" s="4">
        <v>500000</v>
      </c>
      <c r="O25" s="4">
        <v>20000</v>
      </c>
      <c r="P25" s="4">
        <v>200000</v>
      </c>
      <c r="Q25" s="4">
        <v>12</v>
      </c>
      <c r="R25" s="4">
        <v>10</v>
      </c>
      <c r="S25" s="4">
        <v>3</v>
      </c>
      <c r="T25" s="4">
        <v>500</v>
      </c>
      <c r="U25" s="4">
        <v>5600</v>
      </c>
      <c r="V25" s="4">
        <v>3000</v>
      </c>
      <c r="W25" s="4">
        <v>200</v>
      </c>
      <c r="X25" s="4">
        <v>200</v>
      </c>
      <c r="Y25" s="4">
        <v>38</v>
      </c>
      <c r="Z25" s="2">
        <v>99</v>
      </c>
      <c r="AA25" s="2" t="s">
        <v>60</v>
      </c>
      <c r="AB25" s="2" t="s">
        <v>60</v>
      </c>
      <c r="AC25" s="2">
        <v>24000</v>
      </c>
      <c r="AD25" s="2" t="s">
        <v>60</v>
      </c>
      <c r="AE25" s="4" t="s">
        <v>2891</v>
      </c>
      <c r="AF25" s="4">
        <v>30000</v>
      </c>
      <c r="AG25" s="2">
        <v>4800</v>
      </c>
      <c r="AH25" s="2">
        <v>48000</v>
      </c>
      <c r="AI25" s="2" t="s">
        <v>3309</v>
      </c>
      <c r="AJ25" s="2" t="s">
        <v>60</v>
      </c>
      <c r="AK25" s="2" t="s">
        <v>60</v>
      </c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100</v>
      </c>
      <c r="AV25" s="4">
        <v>100</v>
      </c>
      <c r="AW25" s="2" t="s">
        <v>3248</v>
      </c>
      <c r="AX25" s="2" t="s">
        <v>120</v>
      </c>
      <c r="AY25" s="2" t="s">
        <v>128</v>
      </c>
      <c r="AZ25" s="2" t="s">
        <v>3221</v>
      </c>
      <c r="BA25" s="2" t="s">
        <v>106</v>
      </c>
      <c r="BB25" s="4" t="s">
        <v>180</v>
      </c>
      <c r="BC25" s="2" t="s">
        <v>10</v>
      </c>
      <c r="BD25" s="4" t="s">
        <v>183</v>
      </c>
      <c r="BE25" s="4" t="s">
        <v>226</v>
      </c>
      <c r="BF25" s="4" t="s">
        <v>181</v>
      </c>
      <c r="BG25" s="2" t="s">
        <v>60</v>
      </c>
      <c r="BH25" s="4"/>
      <c r="BI25" s="2" t="s">
        <v>60</v>
      </c>
      <c r="BK25" s="2" t="s">
        <v>60</v>
      </c>
      <c r="BM25" s="2" t="s">
        <v>213</v>
      </c>
    </row>
    <row r="26" spans="2:65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100000</v>
      </c>
      <c r="N26" s="4">
        <v>500000</v>
      </c>
      <c r="O26" s="4">
        <v>20000</v>
      </c>
      <c r="P26" s="4">
        <v>200000</v>
      </c>
      <c r="Q26" s="4">
        <v>12</v>
      </c>
      <c r="R26" s="4">
        <v>10</v>
      </c>
      <c r="S26" s="4">
        <v>3</v>
      </c>
      <c r="T26" s="4">
        <v>500</v>
      </c>
      <c r="U26" s="4">
        <v>5600</v>
      </c>
      <c r="V26" s="4">
        <v>3000</v>
      </c>
      <c r="W26" s="4">
        <v>200</v>
      </c>
      <c r="X26" s="4">
        <v>200</v>
      </c>
      <c r="Y26" s="4">
        <v>37</v>
      </c>
      <c r="Z26" s="2">
        <v>69</v>
      </c>
      <c r="AA26" s="2" t="s">
        <v>60</v>
      </c>
      <c r="AB26" s="2" t="s">
        <v>60</v>
      </c>
      <c r="AC26" s="2">
        <v>26000</v>
      </c>
      <c r="AD26" s="2" t="s">
        <v>60</v>
      </c>
      <c r="AE26" s="4" t="s">
        <v>2892</v>
      </c>
      <c r="AF26" s="4">
        <v>30000</v>
      </c>
      <c r="AG26" s="2">
        <v>5200</v>
      </c>
      <c r="AH26" s="2">
        <v>52000</v>
      </c>
      <c r="AI26" s="2" t="s">
        <v>3309</v>
      </c>
      <c r="AJ26" s="2" t="s">
        <v>60</v>
      </c>
      <c r="AK26" s="2" t="s">
        <v>60</v>
      </c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100</v>
      </c>
      <c r="AV26" s="4">
        <v>100</v>
      </c>
      <c r="AW26" s="2" t="s">
        <v>3248</v>
      </c>
      <c r="AX26" s="2" t="s">
        <v>127</v>
      </c>
      <c r="AY26" s="2" t="s">
        <v>146</v>
      </c>
      <c r="AZ26" s="2" t="s">
        <v>3222</v>
      </c>
      <c r="BA26" s="2" t="s">
        <v>106</v>
      </c>
      <c r="BB26" s="4" t="s">
        <v>180</v>
      </c>
      <c r="BC26" s="2" t="s">
        <v>107</v>
      </c>
      <c r="BD26" s="4" t="s">
        <v>2915</v>
      </c>
      <c r="BE26" s="4" t="s">
        <v>60</v>
      </c>
      <c r="BF26" s="4"/>
      <c r="BG26" s="2" t="s">
        <v>60</v>
      </c>
      <c r="BH26" s="4"/>
      <c r="BI26" s="2" t="s">
        <v>60</v>
      </c>
      <c r="BK26" s="2" t="s">
        <v>60</v>
      </c>
      <c r="BM26" s="2" t="s">
        <v>213</v>
      </c>
    </row>
    <row r="27" spans="2:65" x14ac:dyDescent="0.15">
      <c r="B27" s="2" t="s">
        <v>189</v>
      </c>
      <c r="C27" s="2" t="s">
        <v>2916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2</v>
      </c>
      <c r="M27" s="4">
        <v>100000</v>
      </c>
      <c r="N27" s="4">
        <v>500000</v>
      </c>
      <c r="O27" s="4">
        <v>20000</v>
      </c>
      <c r="P27" s="4">
        <v>200000</v>
      </c>
      <c r="Q27" s="4">
        <v>12</v>
      </c>
      <c r="R27" s="4">
        <v>10</v>
      </c>
      <c r="S27" s="4">
        <v>3</v>
      </c>
      <c r="T27" s="4">
        <v>500</v>
      </c>
      <c r="U27" s="4">
        <v>5600</v>
      </c>
      <c r="V27" s="4">
        <v>3000</v>
      </c>
      <c r="W27" s="4">
        <v>200</v>
      </c>
      <c r="X27" s="4">
        <v>200</v>
      </c>
      <c r="Y27" s="4">
        <v>190</v>
      </c>
      <c r="Z27" s="2">
        <v>132</v>
      </c>
      <c r="AA27" s="2" t="s">
        <v>60</v>
      </c>
      <c r="AB27" s="2" t="s">
        <v>60</v>
      </c>
      <c r="AC27" s="2">
        <v>20000</v>
      </c>
      <c r="AD27" s="2" t="s">
        <v>60</v>
      </c>
      <c r="AE27" s="4" t="s">
        <v>2893</v>
      </c>
      <c r="AF27" s="4">
        <v>30000</v>
      </c>
      <c r="AG27" s="2">
        <v>4800</v>
      </c>
      <c r="AH27" s="2">
        <v>48000</v>
      </c>
      <c r="AI27" s="2" t="s">
        <v>3309</v>
      </c>
      <c r="AJ27" s="2" t="s">
        <v>60</v>
      </c>
      <c r="AK27" s="2" t="s">
        <v>60</v>
      </c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100</v>
      </c>
      <c r="AV27" s="4">
        <v>100</v>
      </c>
      <c r="AW27" s="2" t="s">
        <v>3248</v>
      </c>
      <c r="AX27" s="2" t="s">
        <v>127</v>
      </c>
      <c r="AY27" s="2" t="s">
        <v>154</v>
      </c>
      <c r="AZ27" s="2" t="s">
        <v>3223</v>
      </c>
      <c r="BA27" s="2" t="s">
        <v>24</v>
      </c>
      <c r="BB27" s="4" t="s">
        <v>156</v>
      </c>
      <c r="BC27" s="2" t="s">
        <v>193</v>
      </c>
      <c r="BD27" s="4" t="s">
        <v>187</v>
      </c>
      <c r="BE27" s="4" t="s">
        <v>200</v>
      </c>
      <c r="BF27" s="4" t="s">
        <v>162</v>
      </c>
      <c r="BG27" s="2" t="s">
        <v>204</v>
      </c>
      <c r="BH27" s="4" t="s">
        <v>188</v>
      </c>
      <c r="BI27" s="2" t="s">
        <v>60</v>
      </c>
      <c r="BK27" s="2" t="s">
        <v>60</v>
      </c>
      <c r="BM27" s="2" t="s">
        <v>213</v>
      </c>
    </row>
    <row r="28" spans="2:65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100000</v>
      </c>
      <c r="N28" s="4">
        <v>500000</v>
      </c>
      <c r="O28" s="4">
        <v>20000</v>
      </c>
      <c r="P28" s="4">
        <v>200000</v>
      </c>
      <c r="Q28" s="4">
        <v>12</v>
      </c>
      <c r="R28" s="4">
        <v>10</v>
      </c>
      <c r="S28" s="4">
        <v>3</v>
      </c>
      <c r="T28" s="4">
        <v>500</v>
      </c>
      <c r="U28" s="4">
        <v>5600</v>
      </c>
      <c r="V28" s="4">
        <v>3000</v>
      </c>
      <c r="W28" s="4">
        <v>200</v>
      </c>
      <c r="X28" s="4">
        <v>200</v>
      </c>
      <c r="Y28" s="4">
        <v>210</v>
      </c>
      <c r="Z28" s="2">
        <v>137</v>
      </c>
      <c r="AA28" s="2" t="s">
        <v>60</v>
      </c>
      <c r="AB28" s="2" t="s">
        <v>60</v>
      </c>
      <c r="AC28" s="2">
        <v>20000</v>
      </c>
      <c r="AD28" s="2" t="s">
        <v>60</v>
      </c>
      <c r="AE28" s="4" t="s">
        <v>2894</v>
      </c>
      <c r="AF28" s="4">
        <v>30000</v>
      </c>
      <c r="AG28" s="2">
        <v>4400</v>
      </c>
      <c r="AH28" s="2">
        <v>44000</v>
      </c>
      <c r="AI28" s="2" t="s">
        <v>3309</v>
      </c>
      <c r="AJ28" s="2" t="s">
        <v>60</v>
      </c>
      <c r="AK28" s="2" t="s">
        <v>60</v>
      </c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100</v>
      </c>
      <c r="AV28" s="4">
        <v>100</v>
      </c>
      <c r="AW28" s="2" t="s">
        <v>3248</v>
      </c>
      <c r="AX28" s="2" t="s">
        <v>120</v>
      </c>
      <c r="AY28" s="2" t="s">
        <v>146</v>
      </c>
      <c r="AZ28" s="2" t="s">
        <v>3224</v>
      </c>
      <c r="BA28" s="2" t="s">
        <v>189</v>
      </c>
      <c r="BB28" s="4" t="s">
        <v>2916</v>
      </c>
      <c r="BC28" s="2" t="s">
        <v>196</v>
      </c>
      <c r="BD28" s="4" t="s">
        <v>192</v>
      </c>
      <c r="BE28" s="4" t="s">
        <v>60</v>
      </c>
      <c r="BF28" s="4"/>
      <c r="BG28" s="2" t="s">
        <v>60</v>
      </c>
      <c r="BH28" s="4"/>
      <c r="BI28" s="2" t="s">
        <v>60</v>
      </c>
      <c r="BK28" s="2" t="s">
        <v>60</v>
      </c>
      <c r="BM28" s="2" t="s">
        <v>213</v>
      </c>
    </row>
    <row r="29" spans="2:65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100000</v>
      </c>
      <c r="N29" s="4">
        <v>500000</v>
      </c>
      <c r="O29" s="4">
        <v>20000</v>
      </c>
      <c r="P29" s="4">
        <v>200000</v>
      </c>
      <c r="Q29" s="4">
        <v>12</v>
      </c>
      <c r="R29" s="4">
        <v>10</v>
      </c>
      <c r="S29" s="4">
        <v>3</v>
      </c>
      <c r="T29" s="4">
        <v>500</v>
      </c>
      <c r="U29" s="4">
        <v>5600</v>
      </c>
      <c r="V29" s="4">
        <v>3000</v>
      </c>
      <c r="W29" s="4">
        <v>200</v>
      </c>
      <c r="X29" s="4">
        <v>200</v>
      </c>
      <c r="Y29" s="4">
        <v>212</v>
      </c>
      <c r="Z29" s="2">
        <v>153</v>
      </c>
      <c r="AA29" s="2" t="s">
        <v>60</v>
      </c>
      <c r="AB29" s="2" t="s">
        <v>60</v>
      </c>
      <c r="AC29" s="2">
        <v>20000</v>
      </c>
      <c r="AD29" s="2" t="s">
        <v>60</v>
      </c>
      <c r="AE29" s="4" t="s">
        <v>2895</v>
      </c>
      <c r="AF29" s="4">
        <v>30000</v>
      </c>
      <c r="AG29" s="2">
        <v>4400</v>
      </c>
      <c r="AH29" s="2">
        <v>44000</v>
      </c>
      <c r="AI29" s="2" t="s">
        <v>3309</v>
      </c>
      <c r="AJ29" s="2" t="s">
        <v>60</v>
      </c>
      <c r="AK29" s="2" t="s">
        <v>60</v>
      </c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100</v>
      </c>
      <c r="AV29" s="4">
        <v>100</v>
      </c>
      <c r="AW29" s="2" t="s">
        <v>3248</v>
      </c>
      <c r="AX29" s="2" t="s">
        <v>127</v>
      </c>
      <c r="AY29" s="2" t="s">
        <v>128</v>
      </c>
      <c r="AZ29" s="2" t="s">
        <v>193</v>
      </c>
      <c r="BA29" s="2" t="s">
        <v>193</v>
      </c>
      <c r="BB29" s="4" t="s">
        <v>187</v>
      </c>
      <c r="BC29" s="2" t="s">
        <v>60</v>
      </c>
      <c r="BD29" s="4"/>
      <c r="BE29" s="4" t="s">
        <v>60</v>
      </c>
      <c r="BF29" s="4"/>
      <c r="BG29" s="2" t="s">
        <v>60</v>
      </c>
      <c r="BH29" s="4"/>
      <c r="BI29" s="2" t="s">
        <v>60</v>
      </c>
      <c r="BK29" s="2" t="s">
        <v>60</v>
      </c>
      <c r="BM29" s="2" t="s">
        <v>213</v>
      </c>
    </row>
    <row r="30" spans="2:65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100000</v>
      </c>
      <c r="N30" s="4">
        <v>500000</v>
      </c>
      <c r="O30" s="4">
        <v>20000</v>
      </c>
      <c r="P30" s="4">
        <v>200000</v>
      </c>
      <c r="Q30" s="4">
        <v>12</v>
      </c>
      <c r="R30" s="4">
        <v>10</v>
      </c>
      <c r="S30" s="4">
        <v>3</v>
      </c>
      <c r="T30" s="4">
        <v>500</v>
      </c>
      <c r="U30" s="4">
        <v>5600</v>
      </c>
      <c r="V30" s="4">
        <v>3000</v>
      </c>
      <c r="W30" s="4">
        <v>200</v>
      </c>
      <c r="X30" s="4">
        <v>200</v>
      </c>
      <c r="Y30" s="4">
        <v>174</v>
      </c>
      <c r="Z30" s="2">
        <v>146</v>
      </c>
      <c r="AA30" s="2" t="s">
        <v>60</v>
      </c>
      <c r="AB30" s="2" t="s">
        <v>60</v>
      </c>
      <c r="AC30" s="2">
        <v>28000</v>
      </c>
      <c r="AD30" s="2" t="s">
        <v>60</v>
      </c>
      <c r="AE30" s="4" t="s">
        <v>2896</v>
      </c>
      <c r="AF30" s="4">
        <v>30000</v>
      </c>
      <c r="AG30" s="2">
        <v>6000</v>
      </c>
      <c r="AH30" s="2">
        <v>60000</v>
      </c>
      <c r="AI30" s="2" t="s">
        <v>3309</v>
      </c>
      <c r="AJ30" s="2" t="s">
        <v>60</v>
      </c>
      <c r="AK30" s="2" t="s">
        <v>60</v>
      </c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100</v>
      </c>
      <c r="AV30" s="4">
        <v>100</v>
      </c>
      <c r="AW30" s="2" t="s">
        <v>3248</v>
      </c>
      <c r="AX30" s="2" t="s">
        <v>120</v>
      </c>
      <c r="AY30" s="2" t="s">
        <v>128</v>
      </c>
      <c r="AZ30" s="2" t="s">
        <v>3225</v>
      </c>
      <c r="BA30" s="2" t="s">
        <v>24</v>
      </c>
      <c r="BB30" s="4" t="s">
        <v>156</v>
      </c>
      <c r="BC30" s="2" t="s">
        <v>189</v>
      </c>
      <c r="BD30" s="4" t="s">
        <v>2916</v>
      </c>
      <c r="BE30" s="4" t="s">
        <v>204</v>
      </c>
      <c r="BF30" s="4" t="s">
        <v>188</v>
      </c>
      <c r="BG30" s="2" t="s">
        <v>25</v>
      </c>
      <c r="BH30" s="4" t="s">
        <v>199</v>
      </c>
      <c r="BI30" s="2" t="s">
        <v>60</v>
      </c>
      <c r="BK30" s="2" t="s">
        <v>60</v>
      </c>
      <c r="BM30" s="2" t="s">
        <v>213</v>
      </c>
    </row>
    <row r="31" spans="2:65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100000</v>
      </c>
      <c r="N31" s="4">
        <v>500000</v>
      </c>
      <c r="O31" s="4">
        <v>20000</v>
      </c>
      <c r="P31" s="4">
        <v>200000</v>
      </c>
      <c r="Q31" s="4">
        <v>12</v>
      </c>
      <c r="R31" s="4">
        <v>10</v>
      </c>
      <c r="S31" s="4">
        <v>3</v>
      </c>
      <c r="T31" s="4">
        <v>500</v>
      </c>
      <c r="U31" s="4">
        <v>5600</v>
      </c>
      <c r="V31" s="4">
        <v>3000</v>
      </c>
      <c r="W31" s="4">
        <v>200</v>
      </c>
      <c r="X31" s="4">
        <v>200</v>
      </c>
      <c r="Y31" s="4">
        <v>154</v>
      </c>
      <c r="Z31" s="2">
        <v>161</v>
      </c>
      <c r="AA31" s="2" t="s">
        <v>60</v>
      </c>
      <c r="AB31" s="2" t="s">
        <v>60</v>
      </c>
      <c r="AC31" s="2">
        <v>20000</v>
      </c>
      <c r="AD31" s="2" t="s">
        <v>60</v>
      </c>
      <c r="AE31" s="4" t="s">
        <v>2897</v>
      </c>
      <c r="AF31" s="4">
        <v>30000</v>
      </c>
      <c r="AG31" s="2">
        <v>5600</v>
      </c>
      <c r="AH31" s="2">
        <v>56000</v>
      </c>
      <c r="AI31" s="2" t="s">
        <v>3309</v>
      </c>
      <c r="AJ31" s="2" t="s">
        <v>60</v>
      </c>
      <c r="AK31" s="2" t="s">
        <v>60</v>
      </c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100</v>
      </c>
      <c r="AV31" s="4">
        <v>100</v>
      </c>
      <c r="AW31" s="2" t="s">
        <v>3248</v>
      </c>
      <c r="AX31" s="2" t="s">
        <v>120</v>
      </c>
      <c r="AY31" s="2" t="s">
        <v>128</v>
      </c>
      <c r="AZ31" s="2" t="s">
        <v>3226</v>
      </c>
      <c r="BA31" s="2" t="s">
        <v>189</v>
      </c>
      <c r="BB31" s="4" t="s">
        <v>2916</v>
      </c>
      <c r="BC31" s="2" t="s">
        <v>200</v>
      </c>
      <c r="BD31" s="4" t="s">
        <v>162</v>
      </c>
      <c r="BE31" s="4" t="s">
        <v>25</v>
      </c>
      <c r="BF31" s="4" t="s">
        <v>199</v>
      </c>
      <c r="BG31" s="2" t="s">
        <v>213</v>
      </c>
      <c r="BH31" s="4" t="s">
        <v>202</v>
      </c>
      <c r="BI31" s="2" t="s">
        <v>5</v>
      </c>
      <c r="BJ31" s="2" t="s">
        <v>203</v>
      </c>
      <c r="BK31" s="2" t="s">
        <v>60</v>
      </c>
      <c r="BM31" s="2" t="s">
        <v>213</v>
      </c>
    </row>
    <row r="32" spans="2:65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100000</v>
      </c>
      <c r="N32" s="4">
        <v>500000</v>
      </c>
      <c r="O32" s="4">
        <v>20000</v>
      </c>
      <c r="P32" s="4">
        <v>200000</v>
      </c>
      <c r="Q32" s="4">
        <v>12</v>
      </c>
      <c r="R32" s="4">
        <v>10</v>
      </c>
      <c r="S32" s="4">
        <v>3</v>
      </c>
      <c r="T32" s="4">
        <v>500</v>
      </c>
      <c r="U32" s="4">
        <v>5600</v>
      </c>
      <c r="V32" s="4">
        <v>3000</v>
      </c>
      <c r="W32" s="4">
        <v>200</v>
      </c>
      <c r="X32" s="4">
        <v>200</v>
      </c>
      <c r="Y32" s="4">
        <v>143</v>
      </c>
      <c r="Z32" s="2">
        <v>149</v>
      </c>
      <c r="AA32" s="2" t="s">
        <v>60</v>
      </c>
      <c r="AB32" s="2" t="s">
        <v>60</v>
      </c>
      <c r="AC32" s="2">
        <v>0</v>
      </c>
      <c r="AD32" s="2" t="s">
        <v>60</v>
      </c>
      <c r="AE32" s="4" t="s">
        <v>2898</v>
      </c>
      <c r="AF32" s="4">
        <v>30000</v>
      </c>
      <c r="AG32" s="2">
        <v>0</v>
      </c>
      <c r="AH32" s="2">
        <v>0</v>
      </c>
      <c r="AI32" s="2" t="s">
        <v>3309</v>
      </c>
      <c r="AJ32" s="2" t="s">
        <v>60</v>
      </c>
      <c r="AK32" s="2" t="s">
        <v>60</v>
      </c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100</v>
      </c>
      <c r="AV32" s="4">
        <v>100</v>
      </c>
      <c r="AW32" s="2" t="s">
        <v>3248</v>
      </c>
      <c r="AX32" s="2" t="s">
        <v>127</v>
      </c>
      <c r="AY32" s="2" t="s">
        <v>121</v>
      </c>
      <c r="AZ32" s="2" t="s">
        <v>3227</v>
      </c>
      <c r="BA32" s="2" t="s">
        <v>200</v>
      </c>
      <c r="BB32" s="4" t="s">
        <v>162</v>
      </c>
      <c r="BC32" s="2" t="s">
        <v>204</v>
      </c>
      <c r="BD32" s="4" t="s">
        <v>188</v>
      </c>
      <c r="BE32" s="4" t="s">
        <v>119</v>
      </c>
      <c r="BF32" s="4" t="s">
        <v>206</v>
      </c>
      <c r="BG32" s="2" t="s">
        <v>213</v>
      </c>
      <c r="BH32" s="4" t="s">
        <v>202</v>
      </c>
      <c r="BI32" s="2" t="s">
        <v>5</v>
      </c>
      <c r="BJ32" s="2" t="s">
        <v>203</v>
      </c>
      <c r="BK32" s="2" t="s">
        <v>60</v>
      </c>
      <c r="BM32" s="2" t="s">
        <v>213</v>
      </c>
    </row>
    <row r="33" spans="2:65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100000</v>
      </c>
      <c r="N33" s="4">
        <v>500000</v>
      </c>
      <c r="O33" s="4">
        <v>20000</v>
      </c>
      <c r="P33" s="4">
        <v>200000</v>
      </c>
      <c r="Q33" s="4">
        <v>12</v>
      </c>
      <c r="R33" s="4">
        <v>10</v>
      </c>
      <c r="S33" s="4">
        <v>3</v>
      </c>
      <c r="T33" s="4">
        <v>500</v>
      </c>
      <c r="U33" s="4">
        <v>5600</v>
      </c>
      <c r="V33" s="4">
        <v>3000</v>
      </c>
      <c r="W33" s="4">
        <v>200</v>
      </c>
      <c r="X33" s="4">
        <v>200</v>
      </c>
      <c r="Y33" s="4">
        <v>115</v>
      </c>
      <c r="Z33" s="2">
        <v>137</v>
      </c>
      <c r="AA33" s="2" t="s">
        <v>60</v>
      </c>
      <c r="AB33" s="2" t="s">
        <v>60</v>
      </c>
      <c r="AC33" s="2">
        <v>0</v>
      </c>
      <c r="AD33" s="2" t="s">
        <v>60</v>
      </c>
      <c r="AE33" s="4" t="s">
        <v>2899</v>
      </c>
      <c r="AF33" s="4">
        <v>30000</v>
      </c>
      <c r="AG33" s="2">
        <v>0</v>
      </c>
      <c r="AH33" s="2">
        <v>0</v>
      </c>
      <c r="AI33" s="2" t="s">
        <v>3309</v>
      </c>
      <c r="AJ33" s="2" t="s">
        <v>60</v>
      </c>
      <c r="AK33" s="2" t="s">
        <v>60</v>
      </c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100</v>
      </c>
      <c r="AV33" s="4">
        <v>100</v>
      </c>
      <c r="AW33" s="2" t="s">
        <v>3248</v>
      </c>
      <c r="AX33" s="2" t="s">
        <v>120</v>
      </c>
      <c r="AY33" s="2" t="s">
        <v>128</v>
      </c>
      <c r="AZ33" s="2" t="s">
        <v>3228</v>
      </c>
      <c r="BA33" s="2" t="s">
        <v>8</v>
      </c>
      <c r="BB33" s="4" t="s">
        <v>161</v>
      </c>
      <c r="BC33" s="2" t="s">
        <v>103</v>
      </c>
      <c r="BD33" s="4" t="s">
        <v>167</v>
      </c>
      <c r="BE33" s="4" t="s">
        <v>105</v>
      </c>
      <c r="BF33" s="4" t="s">
        <v>178</v>
      </c>
      <c r="BG33" s="2" t="s">
        <v>119</v>
      </c>
      <c r="BH33" s="4" t="s">
        <v>206</v>
      </c>
      <c r="BI33" s="2" t="s">
        <v>60</v>
      </c>
      <c r="BK33" s="2" t="s">
        <v>60</v>
      </c>
      <c r="BM33" s="2" t="s">
        <v>213</v>
      </c>
    </row>
    <row r="34" spans="2:65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2</v>
      </c>
      <c r="M34" s="4">
        <v>100000</v>
      </c>
      <c r="N34" s="4">
        <v>500000</v>
      </c>
      <c r="O34" s="4">
        <v>20000</v>
      </c>
      <c r="P34" s="4">
        <v>200000</v>
      </c>
      <c r="Q34" s="4">
        <v>12</v>
      </c>
      <c r="R34" s="4">
        <v>10</v>
      </c>
      <c r="S34" s="4">
        <v>3</v>
      </c>
      <c r="T34" s="4">
        <v>500</v>
      </c>
      <c r="U34" s="4">
        <v>5600</v>
      </c>
      <c r="V34" s="4">
        <v>3000</v>
      </c>
      <c r="W34" s="4">
        <v>200</v>
      </c>
      <c r="X34" s="4">
        <v>200</v>
      </c>
      <c r="Y34" s="4">
        <v>105</v>
      </c>
      <c r="Z34" s="2">
        <v>145</v>
      </c>
      <c r="AA34" s="2" t="s">
        <v>60</v>
      </c>
      <c r="AB34" s="2" t="s">
        <v>60</v>
      </c>
      <c r="AC34" s="2">
        <v>24000</v>
      </c>
      <c r="AD34" s="2" t="s">
        <v>60</v>
      </c>
      <c r="AE34" s="4" t="s">
        <v>2900</v>
      </c>
      <c r="AF34" s="4">
        <v>30000</v>
      </c>
      <c r="AG34" s="2">
        <v>5200</v>
      </c>
      <c r="AH34" s="2">
        <v>52000</v>
      </c>
      <c r="AI34" s="2" t="s">
        <v>3309</v>
      </c>
      <c r="AJ34" s="2" t="s">
        <v>60</v>
      </c>
      <c r="AK34" s="2" t="s">
        <v>60</v>
      </c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100</v>
      </c>
      <c r="AV34" s="4">
        <v>100</v>
      </c>
      <c r="AW34" s="2" t="s">
        <v>3248</v>
      </c>
      <c r="AX34" s="2" t="s">
        <v>145</v>
      </c>
      <c r="AY34" s="2" t="s">
        <v>146</v>
      </c>
      <c r="AZ34" s="2" t="s">
        <v>3229</v>
      </c>
      <c r="BA34" s="2" t="s">
        <v>25</v>
      </c>
      <c r="BB34" s="4" t="s">
        <v>199</v>
      </c>
      <c r="BC34" s="2" t="s">
        <v>208</v>
      </c>
      <c r="BD34" s="4" t="s">
        <v>170</v>
      </c>
      <c r="BE34" s="4" t="s">
        <v>213</v>
      </c>
      <c r="BF34" s="4" t="s">
        <v>202</v>
      </c>
      <c r="BG34" s="2" t="s">
        <v>60</v>
      </c>
      <c r="BH34" s="4"/>
      <c r="BI34" s="2" t="s">
        <v>60</v>
      </c>
      <c r="BK34" s="2" t="s">
        <v>60</v>
      </c>
      <c r="BM34" s="2" t="s">
        <v>213</v>
      </c>
    </row>
    <row r="35" spans="2:65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100000</v>
      </c>
      <c r="N35" s="4">
        <v>500000</v>
      </c>
      <c r="O35" s="4">
        <v>20000</v>
      </c>
      <c r="P35" s="4">
        <v>200000</v>
      </c>
      <c r="Q35" s="4">
        <v>12</v>
      </c>
      <c r="R35" s="4">
        <v>10</v>
      </c>
      <c r="S35" s="4">
        <v>3</v>
      </c>
      <c r="T35" s="4">
        <v>500</v>
      </c>
      <c r="U35" s="4">
        <v>5600</v>
      </c>
      <c r="V35" s="4">
        <v>3000</v>
      </c>
      <c r="W35" s="4">
        <v>200</v>
      </c>
      <c r="X35" s="4">
        <v>200</v>
      </c>
      <c r="Y35" s="4">
        <v>110</v>
      </c>
      <c r="Z35" s="2">
        <v>165</v>
      </c>
      <c r="AA35" s="2" t="s">
        <v>60</v>
      </c>
      <c r="AB35" s="2" t="s">
        <v>60</v>
      </c>
      <c r="AC35" s="2">
        <v>20000</v>
      </c>
      <c r="AD35" s="2" t="s">
        <v>60</v>
      </c>
      <c r="AE35" s="4" t="s">
        <v>2901</v>
      </c>
      <c r="AF35" s="4">
        <v>30000</v>
      </c>
      <c r="AG35" s="2">
        <v>5600</v>
      </c>
      <c r="AH35" s="2">
        <v>56000</v>
      </c>
      <c r="AI35" s="2" t="s">
        <v>3309</v>
      </c>
      <c r="AJ35" s="2" t="s">
        <v>60</v>
      </c>
      <c r="AK35" s="2" t="s">
        <v>60</v>
      </c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100</v>
      </c>
      <c r="AV35" s="4">
        <v>100</v>
      </c>
      <c r="AW35" s="2" t="s">
        <v>3248</v>
      </c>
      <c r="AX35" s="2" t="s">
        <v>127</v>
      </c>
      <c r="AY35" s="2" t="s">
        <v>146</v>
      </c>
      <c r="AZ35" s="2" t="s">
        <v>3230</v>
      </c>
      <c r="BA35" s="2" t="s">
        <v>204</v>
      </c>
      <c r="BB35" s="4" t="s">
        <v>188</v>
      </c>
      <c r="BC35" s="2" t="s">
        <v>25</v>
      </c>
      <c r="BD35" s="4" t="s">
        <v>199</v>
      </c>
      <c r="BE35" s="4" t="s">
        <v>119</v>
      </c>
      <c r="BF35" s="4" t="s">
        <v>206</v>
      </c>
      <c r="BG35" s="2" t="s">
        <v>5</v>
      </c>
      <c r="BH35" s="4" t="s">
        <v>203</v>
      </c>
      <c r="BI35" s="2" t="s">
        <v>95</v>
      </c>
      <c r="BJ35" s="2" t="s">
        <v>211</v>
      </c>
      <c r="BK35" s="2" t="s">
        <v>15</v>
      </c>
      <c r="BL35" s="2" t="s">
        <v>212</v>
      </c>
      <c r="BM35" s="2" t="s">
        <v>213</v>
      </c>
    </row>
    <row r="36" spans="2:65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3260</v>
      </c>
      <c r="I36" s="4" t="str">
        <f>VLOOKUP(H36,forceSet!$B$5:$D$46,3,0)</f>
        <v>韩玄</v>
      </c>
      <c r="J36" s="2" t="s">
        <v>3260</v>
      </c>
      <c r="K36" s="4" t="str">
        <f>VLOOKUP(J36,corpsSet!$B$5:$C$46,2,0)</f>
        <v>韩玄</v>
      </c>
      <c r="L36" s="4">
        <v>1</v>
      </c>
      <c r="M36" s="4">
        <v>100000</v>
      </c>
      <c r="N36" s="4">
        <v>500000</v>
      </c>
      <c r="O36" s="4">
        <v>20000</v>
      </c>
      <c r="P36" s="4">
        <v>200000</v>
      </c>
      <c r="Q36" s="4">
        <v>12</v>
      </c>
      <c r="R36" s="4">
        <v>10</v>
      </c>
      <c r="S36" s="4">
        <v>3</v>
      </c>
      <c r="T36" s="4">
        <v>500</v>
      </c>
      <c r="U36" s="4">
        <v>5600</v>
      </c>
      <c r="V36" s="4">
        <v>3000</v>
      </c>
      <c r="W36" s="4">
        <v>200</v>
      </c>
      <c r="X36" s="4">
        <v>200</v>
      </c>
      <c r="Y36" s="4">
        <v>136</v>
      </c>
      <c r="Z36" s="2">
        <v>192</v>
      </c>
      <c r="AA36" s="2" t="s">
        <v>60</v>
      </c>
      <c r="AB36" s="2" t="s">
        <v>60</v>
      </c>
      <c r="AC36" s="2">
        <v>22000</v>
      </c>
      <c r="AD36" s="2" t="s">
        <v>60</v>
      </c>
      <c r="AE36" s="4" t="s">
        <v>2902</v>
      </c>
      <c r="AF36" s="4">
        <v>30000</v>
      </c>
      <c r="AG36" s="2">
        <v>4800</v>
      </c>
      <c r="AH36" s="2">
        <v>48000</v>
      </c>
      <c r="AI36" s="2" t="s">
        <v>3309</v>
      </c>
      <c r="AJ36" s="2" t="s">
        <v>60</v>
      </c>
      <c r="AK36" s="2" t="s">
        <v>60</v>
      </c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100</v>
      </c>
      <c r="AV36" s="4">
        <v>100</v>
      </c>
      <c r="AW36" s="2" t="s">
        <v>3248</v>
      </c>
      <c r="AX36" s="2" t="s">
        <v>127</v>
      </c>
      <c r="AY36" s="2" t="s">
        <v>143</v>
      </c>
      <c r="AZ36" s="2" t="s">
        <v>3231</v>
      </c>
      <c r="BA36" s="2" t="s">
        <v>204</v>
      </c>
      <c r="BB36" s="4" t="s">
        <v>188</v>
      </c>
      <c r="BC36" s="2" t="s">
        <v>25</v>
      </c>
      <c r="BD36" s="4" t="s">
        <v>199</v>
      </c>
      <c r="BE36" s="4" t="s">
        <v>213</v>
      </c>
      <c r="BF36" s="4" t="s">
        <v>202</v>
      </c>
      <c r="BG36" s="2" t="s">
        <v>95</v>
      </c>
      <c r="BH36" s="4" t="s">
        <v>211</v>
      </c>
      <c r="BI36" s="2" t="s">
        <v>219</v>
      </c>
      <c r="BJ36" s="2" t="s">
        <v>217</v>
      </c>
      <c r="BK36" s="2" t="s">
        <v>60</v>
      </c>
      <c r="BM36" s="2" t="s">
        <v>213</v>
      </c>
    </row>
    <row r="37" spans="2:65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3300</v>
      </c>
      <c r="I37" s="4" t="str">
        <f>VLOOKUP(H37,forceSet!$B$5:$D$46,3,0)</f>
        <v>金旋</v>
      </c>
      <c r="J37" s="2" t="s">
        <v>3300</v>
      </c>
      <c r="K37" s="4" t="str">
        <f>VLOOKUP(J37,corpsSet!$B$5:$C$46,2,0)</f>
        <v>金旋</v>
      </c>
      <c r="L37" s="4">
        <v>1</v>
      </c>
      <c r="M37" s="4">
        <v>100000</v>
      </c>
      <c r="N37" s="4">
        <v>500000</v>
      </c>
      <c r="O37" s="4">
        <v>20000</v>
      </c>
      <c r="P37" s="4">
        <v>200000</v>
      </c>
      <c r="Q37" s="4">
        <v>12</v>
      </c>
      <c r="R37" s="4">
        <v>10</v>
      </c>
      <c r="S37" s="4">
        <v>3</v>
      </c>
      <c r="T37" s="4">
        <v>500</v>
      </c>
      <c r="U37" s="4">
        <v>5600</v>
      </c>
      <c r="V37" s="4">
        <v>3000</v>
      </c>
      <c r="W37" s="4">
        <v>200</v>
      </c>
      <c r="X37" s="4">
        <v>200</v>
      </c>
      <c r="Y37" s="4">
        <v>97</v>
      </c>
      <c r="Z37" s="2">
        <v>183</v>
      </c>
      <c r="AA37" s="2" t="s">
        <v>60</v>
      </c>
      <c r="AB37" s="2" t="s">
        <v>60</v>
      </c>
      <c r="AC37" s="2">
        <v>20000</v>
      </c>
      <c r="AD37" s="2" t="s">
        <v>60</v>
      </c>
      <c r="AE37" s="4" t="s">
        <v>2903</v>
      </c>
      <c r="AF37" s="4">
        <v>30000</v>
      </c>
      <c r="AG37" s="2">
        <v>4800</v>
      </c>
      <c r="AH37" s="2">
        <v>48000</v>
      </c>
      <c r="AI37" s="2" t="s">
        <v>3309</v>
      </c>
      <c r="AJ37" s="2" t="s">
        <v>60</v>
      </c>
      <c r="AK37" s="2" t="s">
        <v>60</v>
      </c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100</v>
      </c>
      <c r="AV37" s="4">
        <v>100</v>
      </c>
      <c r="AW37" s="2" t="s">
        <v>3248</v>
      </c>
      <c r="AX37" s="2" t="s">
        <v>120</v>
      </c>
      <c r="AY37" s="2" t="s">
        <v>121</v>
      </c>
      <c r="AZ37" s="2" t="s">
        <v>3232</v>
      </c>
      <c r="BA37" s="2" t="s">
        <v>213</v>
      </c>
      <c r="BB37" s="4" t="s">
        <v>202</v>
      </c>
      <c r="BC37" s="2" t="s">
        <v>5</v>
      </c>
      <c r="BD37" s="4" t="s">
        <v>203</v>
      </c>
      <c r="BE37" s="4" t="s">
        <v>220</v>
      </c>
      <c r="BF37" s="4" t="s">
        <v>218</v>
      </c>
      <c r="BG37" s="2" t="s">
        <v>15</v>
      </c>
      <c r="BH37" s="4" t="s">
        <v>212</v>
      </c>
      <c r="BI37" s="2" t="s">
        <v>60</v>
      </c>
      <c r="BK37" s="2" t="s">
        <v>60</v>
      </c>
      <c r="BM37" s="2" t="s">
        <v>213</v>
      </c>
    </row>
    <row r="38" spans="2:65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3301</v>
      </c>
      <c r="I38" s="4" t="str">
        <f>VLOOKUP(H38,forceSet!$B$5:$D$46,3,0)</f>
        <v>赵范</v>
      </c>
      <c r="J38" s="2" t="s">
        <v>3301</v>
      </c>
      <c r="K38" s="4" t="str">
        <f>VLOOKUP(J38,corpsSet!$B$5:$C$46,2,0)</f>
        <v>赵范</v>
      </c>
      <c r="L38" s="4">
        <v>1</v>
      </c>
      <c r="M38" s="4">
        <v>100000</v>
      </c>
      <c r="N38" s="4">
        <v>500000</v>
      </c>
      <c r="O38" s="4">
        <v>20000</v>
      </c>
      <c r="P38" s="4">
        <v>200000</v>
      </c>
      <c r="Q38" s="4">
        <v>12</v>
      </c>
      <c r="R38" s="4">
        <v>10</v>
      </c>
      <c r="S38" s="4">
        <v>3</v>
      </c>
      <c r="T38" s="4">
        <v>500</v>
      </c>
      <c r="U38" s="4">
        <v>5600</v>
      </c>
      <c r="V38" s="4">
        <v>3000</v>
      </c>
      <c r="W38" s="4">
        <v>200</v>
      </c>
      <c r="X38" s="4">
        <v>200</v>
      </c>
      <c r="Y38" s="4">
        <v>127</v>
      </c>
      <c r="Z38" s="2">
        <v>216</v>
      </c>
      <c r="AA38" s="2" t="s">
        <v>60</v>
      </c>
      <c r="AB38" s="2" t="s">
        <v>60</v>
      </c>
      <c r="AC38" s="2">
        <v>24000</v>
      </c>
      <c r="AD38" s="2" t="s">
        <v>60</v>
      </c>
      <c r="AE38" s="4" t="s">
        <v>2904</v>
      </c>
      <c r="AF38" s="4">
        <v>30000</v>
      </c>
      <c r="AG38" s="2">
        <v>4800</v>
      </c>
      <c r="AH38" s="2">
        <v>48000</v>
      </c>
      <c r="AI38" s="2" t="s">
        <v>3309</v>
      </c>
      <c r="AJ38" s="2" t="s">
        <v>60</v>
      </c>
      <c r="AK38" s="2" t="s">
        <v>60</v>
      </c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100</v>
      </c>
      <c r="AV38" s="4">
        <v>100</v>
      </c>
      <c r="AW38" s="2" t="s">
        <v>3248</v>
      </c>
      <c r="AX38" s="2" t="s">
        <v>158</v>
      </c>
      <c r="AY38" s="2" t="s">
        <v>128</v>
      </c>
      <c r="AZ38" s="2" t="s">
        <v>3233</v>
      </c>
      <c r="BA38" s="2" t="s">
        <v>5</v>
      </c>
      <c r="BB38" s="4" t="s">
        <v>203</v>
      </c>
      <c r="BC38" s="2" t="s">
        <v>220</v>
      </c>
      <c r="BD38" s="4" t="s">
        <v>218</v>
      </c>
      <c r="BE38" s="4" t="s">
        <v>60</v>
      </c>
      <c r="BF38" s="4"/>
      <c r="BG38" s="2" t="s">
        <v>60</v>
      </c>
      <c r="BH38" s="4"/>
      <c r="BI38" s="2" t="s">
        <v>60</v>
      </c>
      <c r="BK38" s="2" t="s">
        <v>60</v>
      </c>
      <c r="BM38" s="2" t="s">
        <v>213</v>
      </c>
    </row>
    <row r="39" spans="2:65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3302</v>
      </c>
      <c r="I39" s="4" t="str">
        <f>VLOOKUP(H39,forceSet!$B$5:$D$46,3,0)</f>
        <v>刘度</v>
      </c>
      <c r="J39" s="2" t="s">
        <v>3302</v>
      </c>
      <c r="K39" s="4" t="str">
        <f>VLOOKUP(J39,corpsSet!$B$5:$C$46,2,0)</f>
        <v>刘度</v>
      </c>
      <c r="L39" s="4">
        <v>1</v>
      </c>
      <c r="M39" s="4">
        <v>100000</v>
      </c>
      <c r="N39" s="4">
        <v>500000</v>
      </c>
      <c r="O39" s="4">
        <v>20000</v>
      </c>
      <c r="P39" s="4">
        <v>200000</v>
      </c>
      <c r="Q39" s="4">
        <v>12</v>
      </c>
      <c r="R39" s="4">
        <v>10</v>
      </c>
      <c r="S39" s="4">
        <v>3</v>
      </c>
      <c r="T39" s="4">
        <v>500</v>
      </c>
      <c r="U39" s="4">
        <v>5600</v>
      </c>
      <c r="V39" s="4">
        <v>3000</v>
      </c>
      <c r="W39" s="4">
        <v>200</v>
      </c>
      <c r="X39" s="4">
        <v>200</v>
      </c>
      <c r="Y39" s="4">
        <v>98</v>
      </c>
      <c r="Z39" s="2">
        <v>213</v>
      </c>
      <c r="AA39" s="2" t="s">
        <v>60</v>
      </c>
      <c r="AB39" s="2" t="s">
        <v>60</v>
      </c>
      <c r="AC39" s="2">
        <v>24000</v>
      </c>
      <c r="AD39" s="2" t="s">
        <v>60</v>
      </c>
      <c r="AE39" s="4" t="s">
        <v>2905</v>
      </c>
      <c r="AF39" s="4">
        <v>30000</v>
      </c>
      <c r="AG39" s="2">
        <v>4800</v>
      </c>
      <c r="AH39" s="2">
        <v>48000</v>
      </c>
      <c r="AI39" s="2" t="s">
        <v>3309</v>
      </c>
      <c r="AJ39" s="2" t="s">
        <v>60</v>
      </c>
      <c r="AK39" s="2" t="s">
        <v>60</v>
      </c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100</v>
      </c>
      <c r="AV39" s="4">
        <v>100</v>
      </c>
      <c r="AW39" s="2" t="s">
        <v>3248</v>
      </c>
      <c r="AX39" s="2" t="s">
        <v>120</v>
      </c>
      <c r="AY39" s="2" t="s">
        <v>121</v>
      </c>
      <c r="AZ39" s="2" t="s">
        <v>3234</v>
      </c>
      <c r="BA39" s="2" t="s">
        <v>95</v>
      </c>
      <c r="BB39" s="4" t="s">
        <v>211</v>
      </c>
      <c r="BC39" s="2" t="s">
        <v>219</v>
      </c>
      <c r="BD39" s="4" t="s">
        <v>217</v>
      </c>
      <c r="BE39" s="4" t="s">
        <v>60</v>
      </c>
      <c r="BF39" s="4"/>
      <c r="BG39" s="2" t="s">
        <v>60</v>
      </c>
      <c r="BH39" s="4"/>
      <c r="BI39" s="2" t="s">
        <v>60</v>
      </c>
      <c r="BK39" s="2" t="s">
        <v>60</v>
      </c>
      <c r="BM39" s="2" t="s">
        <v>213</v>
      </c>
    </row>
    <row r="40" spans="2:65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100000</v>
      </c>
      <c r="N40" s="4">
        <v>500000</v>
      </c>
      <c r="O40" s="4">
        <v>20000</v>
      </c>
      <c r="P40" s="4">
        <v>200000</v>
      </c>
      <c r="Q40" s="4">
        <v>12</v>
      </c>
      <c r="R40" s="4">
        <v>10</v>
      </c>
      <c r="S40" s="4">
        <v>3</v>
      </c>
      <c r="T40" s="4">
        <v>500</v>
      </c>
      <c r="U40" s="4">
        <v>5600</v>
      </c>
      <c r="V40" s="4">
        <v>3000</v>
      </c>
      <c r="W40" s="4">
        <v>200</v>
      </c>
      <c r="X40" s="4">
        <v>200</v>
      </c>
      <c r="Y40" s="4">
        <v>74</v>
      </c>
      <c r="Z40" s="2">
        <v>156</v>
      </c>
      <c r="AA40" s="2" t="s">
        <v>60</v>
      </c>
      <c r="AB40" s="2" t="s">
        <v>60</v>
      </c>
      <c r="AC40" s="2">
        <v>0</v>
      </c>
      <c r="AD40" s="2" t="s">
        <v>60</v>
      </c>
      <c r="AE40" s="4" t="s">
        <v>2906</v>
      </c>
      <c r="AF40" s="4">
        <v>30000</v>
      </c>
      <c r="AG40" s="2">
        <v>0</v>
      </c>
      <c r="AH40" s="2">
        <v>0</v>
      </c>
      <c r="AI40" s="2" t="s">
        <v>3309</v>
      </c>
      <c r="AJ40" s="2" t="s">
        <v>60</v>
      </c>
      <c r="AK40" s="2" t="s">
        <v>60</v>
      </c>
      <c r="AM40" s="2" t="s">
        <v>2855</v>
      </c>
      <c r="AN40" s="7" t="s">
        <v>60</v>
      </c>
      <c r="AO40" s="2">
        <v>11</v>
      </c>
      <c r="AP40" s="4" t="s">
        <v>222</v>
      </c>
      <c r="AQ40" s="4">
        <v>0</v>
      </c>
      <c r="AR40" s="4">
        <v>0</v>
      </c>
      <c r="AS40" s="4">
        <v>100</v>
      </c>
      <c r="AT40" s="4">
        <v>90</v>
      </c>
      <c r="AU40" s="4">
        <v>100</v>
      </c>
      <c r="AV40" s="4">
        <v>100</v>
      </c>
      <c r="AW40" s="2" t="s">
        <v>3248</v>
      </c>
      <c r="AX40" s="2" t="s">
        <v>120</v>
      </c>
      <c r="AY40" s="2" t="s">
        <v>146</v>
      </c>
      <c r="AZ40" s="2" t="s">
        <v>3235</v>
      </c>
      <c r="BA40" s="2" t="s">
        <v>213</v>
      </c>
      <c r="BB40" s="4" t="s">
        <v>202</v>
      </c>
      <c r="BC40" s="2" t="s">
        <v>95</v>
      </c>
      <c r="BD40" s="4" t="s">
        <v>211</v>
      </c>
      <c r="BE40" s="4" t="s">
        <v>21</v>
      </c>
      <c r="BF40" s="4" t="s">
        <v>223</v>
      </c>
      <c r="BG40" s="2" t="s">
        <v>60</v>
      </c>
      <c r="BH40" s="4"/>
      <c r="BI40" s="2" t="s">
        <v>60</v>
      </c>
      <c r="BK40" s="2" t="s">
        <v>60</v>
      </c>
      <c r="BM40" s="2" t="s">
        <v>213</v>
      </c>
    </row>
    <row r="41" spans="2:65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100000</v>
      </c>
      <c r="N41" s="4">
        <v>500000</v>
      </c>
      <c r="O41" s="4">
        <v>20000</v>
      </c>
      <c r="P41" s="4">
        <v>200000</v>
      </c>
      <c r="Q41" s="4">
        <v>12</v>
      </c>
      <c r="R41" s="4">
        <v>10</v>
      </c>
      <c r="S41" s="4">
        <v>3</v>
      </c>
      <c r="T41" s="4">
        <v>500</v>
      </c>
      <c r="U41" s="4">
        <v>5600</v>
      </c>
      <c r="V41" s="4">
        <v>3000</v>
      </c>
      <c r="W41" s="4">
        <v>200</v>
      </c>
      <c r="X41" s="4">
        <v>200</v>
      </c>
      <c r="Y41" s="4">
        <v>55</v>
      </c>
      <c r="Z41" s="2">
        <v>117</v>
      </c>
      <c r="AA41" s="2" t="s">
        <v>60</v>
      </c>
      <c r="AB41" s="2" t="s">
        <v>60</v>
      </c>
      <c r="AC41" s="2">
        <v>24000</v>
      </c>
      <c r="AD41" s="2" t="s">
        <v>60</v>
      </c>
      <c r="AE41" s="4" t="s">
        <v>2907</v>
      </c>
      <c r="AF41" s="4">
        <v>30000</v>
      </c>
      <c r="AG41" s="2">
        <v>4800</v>
      </c>
      <c r="AH41" s="2">
        <v>48000</v>
      </c>
      <c r="AI41" s="2" t="s">
        <v>3309</v>
      </c>
      <c r="AJ41" s="2" t="s">
        <v>60</v>
      </c>
      <c r="AK41" s="2" t="s">
        <v>60</v>
      </c>
      <c r="AM41" s="2" t="s">
        <v>2855</v>
      </c>
      <c r="AN41" s="7" t="s">
        <v>60</v>
      </c>
      <c r="AO41" s="2">
        <v>11</v>
      </c>
      <c r="AP41" s="4" t="s">
        <v>222</v>
      </c>
      <c r="AQ41" s="4">
        <v>0</v>
      </c>
      <c r="AR41" s="4">
        <v>0</v>
      </c>
      <c r="AS41" s="4">
        <v>100</v>
      </c>
      <c r="AT41" s="4">
        <v>90</v>
      </c>
      <c r="AU41" s="4">
        <v>100</v>
      </c>
      <c r="AV41" s="4">
        <v>100</v>
      </c>
      <c r="AW41" s="2" t="s">
        <v>3248</v>
      </c>
      <c r="AX41" s="2" t="s">
        <v>127</v>
      </c>
      <c r="AY41" s="2" t="s">
        <v>154</v>
      </c>
      <c r="AZ41" s="2" t="s">
        <v>3236</v>
      </c>
      <c r="BA41" s="2" t="s">
        <v>104</v>
      </c>
      <c r="BB41" s="4" t="s">
        <v>174</v>
      </c>
      <c r="BC41" s="2" t="s">
        <v>105</v>
      </c>
      <c r="BD41" s="4" t="s">
        <v>178</v>
      </c>
      <c r="BE41" s="4" t="s">
        <v>107</v>
      </c>
      <c r="BF41" s="4" t="s">
        <v>2915</v>
      </c>
      <c r="BG41" s="2" t="s">
        <v>207</v>
      </c>
      <c r="BH41" s="4" t="s">
        <v>225</v>
      </c>
      <c r="BI41" s="2" t="s">
        <v>60</v>
      </c>
      <c r="BK41" s="2" t="s">
        <v>60</v>
      </c>
      <c r="BM41" s="2" t="s">
        <v>213</v>
      </c>
    </row>
    <row r="42" spans="2:65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3303</v>
      </c>
      <c r="I42" s="4" t="str">
        <f>VLOOKUP(H42,forceSet!$B$5:$D$46,3,0)</f>
        <v>锺会</v>
      </c>
      <c r="J42" s="2" t="s">
        <v>3303</v>
      </c>
      <c r="K42" s="4" t="str">
        <f>VLOOKUP(J42,corpsSet!$B$5:$C$46,2,0)</f>
        <v>锺会</v>
      </c>
      <c r="L42" s="4">
        <v>1</v>
      </c>
      <c r="M42" s="4">
        <v>100000</v>
      </c>
      <c r="N42" s="4">
        <v>500000</v>
      </c>
      <c r="O42" s="4">
        <v>20000</v>
      </c>
      <c r="P42" s="4">
        <v>200000</v>
      </c>
      <c r="Q42" s="4">
        <v>12</v>
      </c>
      <c r="R42" s="4">
        <v>10</v>
      </c>
      <c r="S42" s="4">
        <v>3</v>
      </c>
      <c r="T42" s="4">
        <v>500</v>
      </c>
      <c r="U42" s="4">
        <v>5600</v>
      </c>
      <c r="V42" s="4">
        <v>3000</v>
      </c>
      <c r="W42" s="4">
        <v>200</v>
      </c>
      <c r="X42" s="4">
        <v>200</v>
      </c>
      <c r="Y42" s="4">
        <v>44</v>
      </c>
      <c r="Z42" s="2">
        <v>138</v>
      </c>
      <c r="AA42" s="2" t="s">
        <v>60</v>
      </c>
      <c r="AB42" s="2" t="s">
        <v>60</v>
      </c>
      <c r="AC42" s="2">
        <v>20000</v>
      </c>
      <c r="AD42" s="2" t="s">
        <v>60</v>
      </c>
      <c r="AE42" s="4" t="s">
        <v>2908</v>
      </c>
      <c r="AF42" s="4">
        <v>30000</v>
      </c>
      <c r="AG42" s="2">
        <v>4800</v>
      </c>
      <c r="AH42" s="2">
        <v>48000</v>
      </c>
      <c r="AI42" s="2" t="s">
        <v>3309</v>
      </c>
      <c r="AJ42" s="2" t="s">
        <v>60</v>
      </c>
      <c r="AK42" s="2" t="s">
        <v>60</v>
      </c>
      <c r="AM42" s="2" t="s">
        <v>2855</v>
      </c>
      <c r="AN42" s="7" t="s">
        <v>60</v>
      </c>
      <c r="AO42" s="2">
        <v>11</v>
      </c>
      <c r="AP42" s="4" t="s">
        <v>222</v>
      </c>
      <c r="AQ42" s="4">
        <v>0</v>
      </c>
      <c r="AR42" s="4">
        <v>0</v>
      </c>
      <c r="AS42" s="4">
        <v>100</v>
      </c>
      <c r="AT42" s="4">
        <v>90</v>
      </c>
      <c r="AU42" s="4">
        <v>100</v>
      </c>
      <c r="AV42" s="4">
        <v>100</v>
      </c>
      <c r="AW42" s="2" t="s">
        <v>3248</v>
      </c>
      <c r="AX42" s="2" t="s">
        <v>120</v>
      </c>
      <c r="AY42" s="2" t="s">
        <v>146</v>
      </c>
      <c r="AZ42" s="2" t="s">
        <v>3237</v>
      </c>
      <c r="BA42" s="2" t="s">
        <v>226</v>
      </c>
      <c r="BB42" s="4" t="s">
        <v>181</v>
      </c>
      <c r="BC42" s="2" t="s">
        <v>21</v>
      </c>
      <c r="BD42" s="4" t="s">
        <v>223</v>
      </c>
      <c r="BE42" s="4" t="s">
        <v>126</v>
      </c>
      <c r="BF42" s="4" t="s">
        <v>229</v>
      </c>
      <c r="BG42" s="2" t="s">
        <v>60</v>
      </c>
      <c r="BH42" s="4"/>
      <c r="BI42" s="2" t="s">
        <v>60</v>
      </c>
      <c r="BK42" s="2" t="s">
        <v>60</v>
      </c>
      <c r="BM42" s="2" t="s">
        <v>213</v>
      </c>
    </row>
    <row r="43" spans="2:65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3304</v>
      </c>
      <c r="I43" s="4" t="str">
        <f>VLOOKUP(H43,forceSet!$B$5:$D$46,3,0)</f>
        <v>邓艾</v>
      </c>
      <c r="J43" s="2" t="s">
        <v>3304</v>
      </c>
      <c r="K43" s="4" t="str">
        <f>VLOOKUP(J43,corpsSet!$B$5:$C$46,2,0)</f>
        <v>邓艾</v>
      </c>
      <c r="L43" s="4">
        <v>1</v>
      </c>
      <c r="M43" s="4">
        <v>100000</v>
      </c>
      <c r="N43" s="4">
        <v>500000</v>
      </c>
      <c r="O43" s="4">
        <v>20000</v>
      </c>
      <c r="P43" s="4">
        <v>200000</v>
      </c>
      <c r="Q43" s="4">
        <v>12</v>
      </c>
      <c r="R43" s="4">
        <v>10</v>
      </c>
      <c r="S43" s="4">
        <v>3</v>
      </c>
      <c r="T43" s="4">
        <v>500</v>
      </c>
      <c r="U43" s="4">
        <v>5600</v>
      </c>
      <c r="V43" s="4">
        <v>3000</v>
      </c>
      <c r="W43" s="4">
        <v>200</v>
      </c>
      <c r="X43" s="4">
        <v>200</v>
      </c>
      <c r="Y43" s="4">
        <v>58</v>
      </c>
      <c r="Z43" s="2">
        <v>175</v>
      </c>
      <c r="AA43" s="2" t="s">
        <v>60</v>
      </c>
      <c r="AB43" s="2" t="s">
        <v>60</v>
      </c>
      <c r="AC43" s="2">
        <v>24000</v>
      </c>
      <c r="AD43" s="2" t="s">
        <v>60</v>
      </c>
      <c r="AE43" s="4" t="s">
        <v>2909</v>
      </c>
      <c r="AF43" s="4">
        <v>30000</v>
      </c>
      <c r="AG43" s="2">
        <v>4800</v>
      </c>
      <c r="AH43" s="2">
        <v>48000</v>
      </c>
      <c r="AI43" s="2" t="s">
        <v>3309</v>
      </c>
      <c r="AJ43" s="2" t="s">
        <v>60</v>
      </c>
      <c r="AK43" s="2" t="s">
        <v>60</v>
      </c>
      <c r="AM43" s="2" t="s">
        <v>2855</v>
      </c>
      <c r="AN43" s="7" t="s">
        <v>60</v>
      </c>
      <c r="AO43" s="2">
        <v>11</v>
      </c>
      <c r="AP43" s="4" t="s">
        <v>222</v>
      </c>
      <c r="AQ43" s="4">
        <v>0</v>
      </c>
      <c r="AR43" s="4">
        <v>0</v>
      </c>
      <c r="AS43" s="4">
        <v>100</v>
      </c>
      <c r="AT43" s="4">
        <v>90</v>
      </c>
      <c r="AU43" s="4">
        <v>100</v>
      </c>
      <c r="AV43" s="4">
        <v>100</v>
      </c>
      <c r="AW43" s="2" t="s">
        <v>3248</v>
      </c>
      <c r="AX43" s="2" t="s">
        <v>158</v>
      </c>
      <c r="AY43" s="2" t="s">
        <v>146</v>
      </c>
      <c r="AZ43" s="2" t="s">
        <v>3238</v>
      </c>
      <c r="BA43" s="2" t="s">
        <v>15</v>
      </c>
      <c r="BB43" s="4" t="s">
        <v>212</v>
      </c>
      <c r="BC43" s="2" t="s">
        <v>207</v>
      </c>
      <c r="BD43" s="4" t="s">
        <v>225</v>
      </c>
      <c r="BE43" s="4" t="s">
        <v>126</v>
      </c>
      <c r="BF43" s="4" t="s">
        <v>229</v>
      </c>
      <c r="BG43" s="2" t="s">
        <v>237</v>
      </c>
      <c r="BH43" s="4" t="s">
        <v>3068</v>
      </c>
      <c r="BI43" s="2" t="s">
        <v>60</v>
      </c>
      <c r="BK43" s="2" t="s">
        <v>60</v>
      </c>
      <c r="BM43" s="2" t="s">
        <v>213</v>
      </c>
    </row>
    <row r="44" spans="2:65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2</v>
      </c>
      <c r="M44" s="4">
        <v>100000</v>
      </c>
      <c r="N44" s="4">
        <v>500000</v>
      </c>
      <c r="O44" s="4">
        <v>20000</v>
      </c>
      <c r="P44" s="4">
        <v>200000</v>
      </c>
      <c r="Q44" s="4">
        <v>12</v>
      </c>
      <c r="R44" s="4">
        <v>10</v>
      </c>
      <c r="S44" s="4">
        <v>3</v>
      </c>
      <c r="T44" s="4">
        <v>500</v>
      </c>
      <c r="U44" s="4">
        <v>5600</v>
      </c>
      <c r="V44" s="4">
        <v>3000</v>
      </c>
      <c r="W44" s="4">
        <v>200</v>
      </c>
      <c r="X44" s="4">
        <v>200</v>
      </c>
      <c r="Y44" s="4">
        <v>38</v>
      </c>
      <c r="Z44" s="2">
        <v>160</v>
      </c>
      <c r="AA44" s="2" t="s">
        <v>60</v>
      </c>
      <c r="AB44" s="2" t="s">
        <v>60</v>
      </c>
      <c r="AC44" s="2">
        <v>22000</v>
      </c>
      <c r="AD44" s="2" t="s">
        <v>60</v>
      </c>
      <c r="AE44" s="4" t="s">
        <v>2910</v>
      </c>
      <c r="AF44" s="4">
        <v>30000</v>
      </c>
      <c r="AG44" s="2">
        <v>5200</v>
      </c>
      <c r="AH44" s="2">
        <v>52000</v>
      </c>
      <c r="AI44" s="2" t="s">
        <v>3309</v>
      </c>
      <c r="AJ44" s="2" t="s">
        <v>60</v>
      </c>
      <c r="AK44" s="2" t="s">
        <v>60</v>
      </c>
      <c r="AM44" s="2" t="s">
        <v>2855</v>
      </c>
      <c r="AN44" s="7" t="s">
        <v>60</v>
      </c>
      <c r="AO44" s="2">
        <v>11</v>
      </c>
      <c r="AP44" s="4" t="s">
        <v>222</v>
      </c>
      <c r="AQ44" s="4">
        <v>0</v>
      </c>
      <c r="AR44" s="4">
        <v>0</v>
      </c>
      <c r="AS44" s="4">
        <v>100</v>
      </c>
      <c r="AT44" s="4">
        <v>90</v>
      </c>
      <c r="AU44" s="4">
        <v>100</v>
      </c>
      <c r="AV44" s="4">
        <v>100</v>
      </c>
      <c r="AW44" s="2" t="s">
        <v>3248</v>
      </c>
      <c r="AX44" s="2" t="s">
        <v>127</v>
      </c>
      <c r="AY44" s="2" t="s">
        <v>154</v>
      </c>
      <c r="AZ44" s="2" t="s">
        <v>3239</v>
      </c>
      <c r="BA44" s="2" t="s">
        <v>207</v>
      </c>
      <c r="BB44" s="4" t="s">
        <v>225</v>
      </c>
      <c r="BC44" s="2" t="s">
        <v>21</v>
      </c>
      <c r="BD44" s="4" t="s">
        <v>223</v>
      </c>
      <c r="BE44" s="4" t="s">
        <v>237</v>
      </c>
      <c r="BF44" s="4" t="s">
        <v>3068</v>
      </c>
      <c r="BG44" s="2" t="s">
        <v>60</v>
      </c>
      <c r="BH44" s="4"/>
      <c r="BI44" s="2" t="s">
        <v>60</v>
      </c>
      <c r="BK44" s="2" t="s">
        <v>60</v>
      </c>
      <c r="BM44" s="2" t="s">
        <v>213</v>
      </c>
    </row>
    <row r="45" spans="2:65" x14ac:dyDescent="0.15">
      <c r="B45" s="2" t="s">
        <v>237</v>
      </c>
      <c r="C45" s="2" t="s">
        <v>3075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100000</v>
      </c>
      <c r="N45" s="4">
        <v>500000</v>
      </c>
      <c r="O45" s="4">
        <v>20000</v>
      </c>
      <c r="P45" s="4">
        <v>200000</v>
      </c>
      <c r="Q45" s="4">
        <v>12</v>
      </c>
      <c r="R45" s="4">
        <v>10</v>
      </c>
      <c r="S45" s="4">
        <v>3</v>
      </c>
      <c r="T45" s="4">
        <v>500</v>
      </c>
      <c r="U45" s="4">
        <v>5600</v>
      </c>
      <c r="V45" s="4">
        <v>3000</v>
      </c>
      <c r="W45" s="4">
        <v>200</v>
      </c>
      <c r="X45" s="4">
        <v>200</v>
      </c>
      <c r="Y45" s="4">
        <v>55</v>
      </c>
      <c r="Z45" s="2">
        <v>202</v>
      </c>
      <c r="AA45" s="2" t="s">
        <v>60</v>
      </c>
      <c r="AB45" s="2" t="s">
        <v>60</v>
      </c>
      <c r="AC45" s="2">
        <v>24000</v>
      </c>
      <c r="AD45" s="2" t="s">
        <v>60</v>
      </c>
      <c r="AE45" s="4" t="s">
        <v>2911</v>
      </c>
      <c r="AF45" s="4">
        <v>30000</v>
      </c>
      <c r="AG45" s="2">
        <v>4800</v>
      </c>
      <c r="AH45" s="2">
        <v>48000</v>
      </c>
      <c r="AI45" s="2" t="s">
        <v>3309</v>
      </c>
      <c r="AJ45" s="2" t="s">
        <v>60</v>
      </c>
      <c r="AK45" s="2" t="s">
        <v>60</v>
      </c>
      <c r="AM45" s="2" t="s">
        <v>2855</v>
      </c>
      <c r="AN45" s="7" t="s">
        <v>60</v>
      </c>
      <c r="AO45" s="2">
        <v>12</v>
      </c>
      <c r="AP45" s="4" t="s">
        <v>236</v>
      </c>
      <c r="AQ45" s="4">
        <v>0</v>
      </c>
      <c r="AR45" s="4">
        <v>0</v>
      </c>
      <c r="AS45" s="4">
        <v>100</v>
      </c>
      <c r="AT45" s="4">
        <v>90</v>
      </c>
      <c r="AU45" s="4">
        <v>100</v>
      </c>
      <c r="AV45" s="4">
        <v>100</v>
      </c>
      <c r="AW45" s="2" t="s">
        <v>3248</v>
      </c>
      <c r="AX45" s="2" t="s">
        <v>158</v>
      </c>
      <c r="AY45" s="2" t="s">
        <v>154</v>
      </c>
      <c r="AZ45" s="2" t="s">
        <v>3240</v>
      </c>
      <c r="BA45" s="2" t="s">
        <v>126</v>
      </c>
      <c r="BB45" s="4" t="s">
        <v>229</v>
      </c>
      <c r="BC45" s="2" t="s">
        <v>98</v>
      </c>
      <c r="BD45" s="4" t="s">
        <v>3069</v>
      </c>
      <c r="BE45" s="4" t="s">
        <v>21</v>
      </c>
      <c r="BF45" s="4" t="s">
        <v>223</v>
      </c>
      <c r="BG45" s="2" t="s">
        <v>60</v>
      </c>
      <c r="BH45" s="4"/>
      <c r="BI45" s="2" t="s">
        <v>60</v>
      </c>
      <c r="BK45" s="2" t="s">
        <v>60</v>
      </c>
      <c r="BM45" s="2" t="s">
        <v>213</v>
      </c>
    </row>
    <row r="46" spans="2:65" x14ac:dyDescent="0.15">
      <c r="B46" s="2" t="s">
        <v>98</v>
      </c>
      <c r="C46" s="2" t="s">
        <v>3076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100000</v>
      </c>
      <c r="N46" s="4">
        <v>500000</v>
      </c>
      <c r="O46" s="4">
        <v>20000</v>
      </c>
      <c r="P46" s="4">
        <v>200000</v>
      </c>
      <c r="Q46" s="4">
        <v>12</v>
      </c>
      <c r="R46" s="4">
        <v>10</v>
      </c>
      <c r="S46" s="4">
        <v>3</v>
      </c>
      <c r="T46" s="4">
        <v>500</v>
      </c>
      <c r="U46" s="4">
        <v>5600</v>
      </c>
      <c r="V46" s="4">
        <v>3000</v>
      </c>
      <c r="W46" s="4">
        <v>200</v>
      </c>
      <c r="X46" s="4">
        <v>200</v>
      </c>
      <c r="Y46" s="4">
        <v>33</v>
      </c>
      <c r="Z46" s="2">
        <v>219</v>
      </c>
      <c r="AA46" s="2" t="s">
        <v>60</v>
      </c>
      <c r="AB46" s="2" t="s">
        <v>60</v>
      </c>
      <c r="AC46" s="2">
        <v>28000</v>
      </c>
      <c r="AD46" s="2" t="s">
        <v>60</v>
      </c>
      <c r="AE46" s="4" t="s">
        <v>2912</v>
      </c>
      <c r="AF46" s="4">
        <v>30000</v>
      </c>
      <c r="AG46" s="2">
        <v>5600</v>
      </c>
      <c r="AH46" s="2">
        <v>56000</v>
      </c>
      <c r="AI46" s="2" t="s">
        <v>3309</v>
      </c>
      <c r="AJ46" s="2" t="s">
        <v>60</v>
      </c>
      <c r="AK46" s="2" t="s">
        <v>60</v>
      </c>
      <c r="AM46" s="2" t="s">
        <v>2855</v>
      </c>
      <c r="AN46" s="7" t="s">
        <v>60</v>
      </c>
      <c r="AO46" s="2">
        <v>12</v>
      </c>
      <c r="AP46" s="4" t="s">
        <v>236</v>
      </c>
      <c r="AQ46" s="4">
        <v>0</v>
      </c>
      <c r="AR46" s="4">
        <v>0</v>
      </c>
      <c r="AS46" s="4">
        <v>100</v>
      </c>
      <c r="AT46" s="4">
        <v>90</v>
      </c>
      <c r="AU46" s="4">
        <v>100</v>
      </c>
      <c r="AV46" s="4">
        <v>100</v>
      </c>
      <c r="AW46" s="2" t="s">
        <v>3248</v>
      </c>
      <c r="AX46" s="2" t="s">
        <v>120</v>
      </c>
      <c r="AY46" s="2" t="s">
        <v>146</v>
      </c>
      <c r="AZ46" s="2" t="s">
        <v>3241</v>
      </c>
      <c r="BA46" s="2" t="s">
        <v>237</v>
      </c>
      <c r="BB46" s="4" t="s">
        <v>3068</v>
      </c>
      <c r="BC46" s="2" t="s">
        <v>60</v>
      </c>
      <c r="BD46" s="4"/>
      <c r="BE46" s="2" t="s">
        <v>60</v>
      </c>
      <c r="BF46" s="4"/>
      <c r="BG46" s="2" t="s">
        <v>60</v>
      </c>
      <c r="BH46" s="4"/>
      <c r="BI46" s="2" t="s">
        <v>60</v>
      </c>
      <c r="BK46" s="2" t="s">
        <v>60</v>
      </c>
      <c r="BM46" s="2" t="s">
        <v>213</v>
      </c>
    </row>
    <row r="94" spans="1:65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2848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Y94" s="4">
        <v>120</v>
      </c>
      <c r="Z94" s="2">
        <v>85</v>
      </c>
      <c r="AA94" s="4">
        <v>1.57079637050629</v>
      </c>
      <c r="AB94" s="2" t="s">
        <v>60</v>
      </c>
      <c r="AC94" s="2" t="s">
        <v>263</v>
      </c>
      <c r="AD94" s="2" t="s">
        <v>263</v>
      </c>
      <c r="AE94" s="4">
        <v>50000</v>
      </c>
      <c r="AF94" s="4">
        <v>30000</v>
      </c>
      <c r="AG94" s="2" t="s">
        <v>120</v>
      </c>
      <c r="AH94" s="2" t="s">
        <v>143</v>
      </c>
      <c r="AJ94" s="2" t="s">
        <v>60</v>
      </c>
      <c r="AK94" s="2" t="s">
        <v>60</v>
      </c>
      <c r="AL94" s="2" t="s">
        <v>60</v>
      </c>
      <c r="AM94" s="2" t="s">
        <v>60</v>
      </c>
      <c r="AN94" s="2" t="s">
        <v>60</v>
      </c>
      <c r="AO94" s="2" t="s">
        <v>60</v>
      </c>
      <c r="AP94" s="2" t="s">
        <v>60</v>
      </c>
      <c r="AQ94" s="4">
        <v>0</v>
      </c>
      <c r="AR94" s="4">
        <v>0</v>
      </c>
      <c r="AS94" s="4">
        <v>50</v>
      </c>
      <c r="AT94" s="4">
        <v>50</v>
      </c>
      <c r="AU94" s="4">
        <v>100</v>
      </c>
      <c r="AV94" s="4">
        <v>100</v>
      </c>
      <c r="AW94" s="2" t="s">
        <v>3248</v>
      </c>
      <c r="AX94" s="2" t="s">
        <v>60</v>
      </c>
      <c r="AY94" s="2" t="s">
        <v>60</v>
      </c>
      <c r="BA94" s="2" t="s">
        <v>60</v>
      </c>
      <c r="BB94" s="2" t="s">
        <v>60</v>
      </c>
      <c r="BC94" s="2" t="s">
        <v>60</v>
      </c>
      <c r="BD94" s="2" t="s">
        <v>60</v>
      </c>
      <c r="BM94" s="2" t="s">
        <v>213</v>
      </c>
    </row>
    <row r="95" spans="1:65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2848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Y95" s="4">
        <v>118</v>
      </c>
      <c r="Z95" s="2">
        <v>105</v>
      </c>
      <c r="AA95" s="4">
        <v>1.57079637050629</v>
      </c>
      <c r="AB95" s="2" t="s">
        <v>60</v>
      </c>
      <c r="AC95" s="2" t="s">
        <v>263</v>
      </c>
      <c r="AD95" s="2" t="s">
        <v>263</v>
      </c>
      <c r="AE95" s="4">
        <v>50000</v>
      </c>
      <c r="AF95" s="4">
        <v>30000</v>
      </c>
      <c r="AG95" s="2" t="s">
        <v>120</v>
      </c>
      <c r="AH95" s="2" t="s">
        <v>143</v>
      </c>
      <c r="AJ95" s="2" t="s">
        <v>60</v>
      </c>
      <c r="AK95" s="2" t="s">
        <v>60</v>
      </c>
      <c r="AL95" s="2" t="s">
        <v>60</v>
      </c>
      <c r="AM95" s="2" t="s">
        <v>60</v>
      </c>
      <c r="AN95" s="2" t="s">
        <v>60</v>
      </c>
      <c r="AO95" s="2" t="s">
        <v>60</v>
      </c>
      <c r="AP95" s="2" t="s">
        <v>60</v>
      </c>
      <c r="AQ95" s="4">
        <v>0</v>
      </c>
      <c r="AR95" s="4">
        <v>0</v>
      </c>
      <c r="AS95" s="4">
        <v>50</v>
      </c>
      <c r="AT95" s="4">
        <v>50</v>
      </c>
      <c r="AU95" s="4">
        <v>100</v>
      </c>
      <c r="AV95" s="4">
        <v>100</v>
      </c>
      <c r="AW95" s="2" t="s">
        <v>3248</v>
      </c>
      <c r="AX95" s="2" t="s">
        <v>60</v>
      </c>
      <c r="AY95" s="2" t="s">
        <v>60</v>
      </c>
      <c r="BA95" s="2" t="s">
        <v>60</v>
      </c>
      <c r="BB95" s="2" t="s">
        <v>60</v>
      </c>
      <c r="BC95" s="2" t="s">
        <v>60</v>
      </c>
      <c r="BD95" s="2" t="s">
        <v>60</v>
      </c>
      <c r="BM95" s="2" t="s">
        <v>213</v>
      </c>
    </row>
    <row r="96" spans="1:65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2848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Y96" s="4">
        <v>89</v>
      </c>
      <c r="Z96" s="2">
        <v>105</v>
      </c>
      <c r="AA96" s="4">
        <v>1.57079637050629</v>
      </c>
      <c r="AB96" s="2" t="s">
        <v>60</v>
      </c>
      <c r="AC96" s="2" t="s">
        <v>263</v>
      </c>
      <c r="AD96" s="2" t="s">
        <v>263</v>
      </c>
      <c r="AE96" s="4">
        <v>50000</v>
      </c>
      <c r="AF96" s="4">
        <v>30000</v>
      </c>
      <c r="AG96" s="2" t="s">
        <v>120</v>
      </c>
      <c r="AH96" s="2" t="s">
        <v>143</v>
      </c>
      <c r="AJ96" s="2" t="s">
        <v>60</v>
      </c>
      <c r="AK96" s="2" t="s">
        <v>60</v>
      </c>
      <c r="AL96" s="2" t="s">
        <v>60</v>
      </c>
      <c r="AM96" s="2" t="s">
        <v>60</v>
      </c>
      <c r="AN96" s="2" t="s">
        <v>60</v>
      </c>
      <c r="AO96" s="2" t="s">
        <v>60</v>
      </c>
      <c r="AP96" s="2" t="s">
        <v>60</v>
      </c>
      <c r="AQ96" s="4">
        <v>0</v>
      </c>
      <c r="AR96" s="4">
        <v>0</v>
      </c>
      <c r="AS96" s="4">
        <v>50</v>
      </c>
      <c r="AT96" s="4">
        <v>50</v>
      </c>
      <c r="AU96" s="4">
        <v>100</v>
      </c>
      <c r="AV96" s="4">
        <v>100</v>
      </c>
      <c r="AW96" s="2" t="s">
        <v>3248</v>
      </c>
      <c r="AX96" s="2" t="s">
        <v>60</v>
      </c>
      <c r="AY96" s="2" t="s">
        <v>60</v>
      </c>
      <c r="BA96" s="2" t="s">
        <v>60</v>
      </c>
      <c r="BB96" s="2" t="s">
        <v>60</v>
      </c>
      <c r="BC96" s="2" t="s">
        <v>60</v>
      </c>
      <c r="BD96" s="2" t="s">
        <v>60</v>
      </c>
      <c r="BM96" s="2" t="s">
        <v>213</v>
      </c>
    </row>
    <row r="97" spans="2:65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2848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Y97" s="4">
        <v>96</v>
      </c>
      <c r="Z97" s="2">
        <v>106</v>
      </c>
      <c r="AA97" s="4">
        <v>1.57079637050629</v>
      </c>
      <c r="AB97" s="2" t="s">
        <v>60</v>
      </c>
      <c r="AC97" s="2" t="s">
        <v>263</v>
      </c>
      <c r="AD97" s="2" t="s">
        <v>263</v>
      </c>
      <c r="AE97" s="4">
        <v>50000</v>
      </c>
      <c r="AF97" s="4">
        <v>30000</v>
      </c>
      <c r="AG97" s="2" t="s">
        <v>120</v>
      </c>
      <c r="AH97" s="2" t="s">
        <v>143</v>
      </c>
      <c r="AJ97" s="2" t="s">
        <v>60</v>
      </c>
      <c r="AK97" s="2" t="s">
        <v>60</v>
      </c>
      <c r="AL97" s="2" t="s">
        <v>60</v>
      </c>
      <c r="AM97" s="2" t="s">
        <v>60</v>
      </c>
      <c r="AN97" s="2" t="s">
        <v>60</v>
      </c>
      <c r="AO97" s="2" t="s">
        <v>60</v>
      </c>
      <c r="AP97" s="2" t="s">
        <v>60</v>
      </c>
      <c r="AQ97" s="4">
        <v>0</v>
      </c>
      <c r="AR97" s="4">
        <v>0</v>
      </c>
      <c r="AS97" s="4">
        <v>50</v>
      </c>
      <c r="AT97" s="4">
        <v>50</v>
      </c>
      <c r="AU97" s="4">
        <v>100</v>
      </c>
      <c r="AV97" s="4">
        <v>100</v>
      </c>
      <c r="AW97" s="2" t="s">
        <v>3248</v>
      </c>
      <c r="AX97" s="2" t="s">
        <v>60</v>
      </c>
      <c r="AY97" s="2" t="s">
        <v>60</v>
      </c>
      <c r="BA97" s="2" t="s">
        <v>60</v>
      </c>
      <c r="BB97" s="2" t="s">
        <v>60</v>
      </c>
      <c r="BC97" s="2" t="s">
        <v>60</v>
      </c>
      <c r="BD97" s="2" t="s">
        <v>60</v>
      </c>
      <c r="BM97" s="2" t="s">
        <v>213</v>
      </c>
    </row>
    <row r="98" spans="2:65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2848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Y98" s="4">
        <v>96</v>
      </c>
      <c r="Z98" s="2">
        <v>114</v>
      </c>
      <c r="AA98" s="4">
        <v>1.57079637050629</v>
      </c>
      <c r="AB98" s="2" t="s">
        <v>60</v>
      </c>
      <c r="AC98" s="2" t="s">
        <v>263</v>
      </c>
      <c r="AD98" s="2" t="s">
        <v>263</v>
      </c>
      <c r="AE98" s="4">
        <v>50000</v>
      </c>
      <c r="AF98" s="4">
        <v>30000</v>
      </c>
      <c r="AG98" s="2" t="s">
        <v>120</v>
      </c>
      <c r="AH98" s="2" t="s">
        <v>143</v>
      </c>
      <c r="AJ98" s="2" t="s">
        <v>60</v>
      </c>
      <c r="AK98" s="2" t="s">
        <v>60</v>
      </c>
      <c r="AL98" s="2" t="s">
        <v>60</v>
      </c>
      <c r="AM98" s="2" t="s">
        <v>60</v>
      </c>
      <c r="AN98" s="2" t="s">
        <v>60</v>
      </c>
      <c r="AO98" s="2" t="s">
        <v>60</v>
      </c>
      <c r="AP98" s="2" t="s">
        <v>60</v>
      </c>
      <c r="AQ98" s="4">
        <v>0</v>
      </c>
      <c r="AR98" s="4">
        <v>0</v>
      </c>
      <c r="AS98" s="4">
        <v>50</v>
      </c>
      <c r="AT98" s="4">
        <v>50</v>
      </c>
      <c r="AU98" s="4">
        <v>100</v>
      </c>
      <c r="AV98" s="4">
        <v>100</v>
      </c>
      <c r="AW98" s="2" t="s">
        <v>3248</v>
      </c>
      <c r="AX98" s="2" t="s">
        <v>60</v>
      </c>
      <c r="AY98" s="2" t="s">
        <v>60</v>
      </c>
      <c r="BA98" s="2" t="s">
        <v>60</v>
      </c>
      <c r="BB98" s="2" t="s">
        <v>60</v>
      </c>
      <c r="BC98" s="2" t="s">
        <v>60</v>
      </c>
      <c r="BD98" s="2" t="s">
        <v>60</v>
      </c>
      <c r="BM98" s="2" t="s">
        <v>213</v>
      </c>
    </row>
    <row r="99" spans="2:65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2848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Y99" s="4">
        <v>55</v>
      </c>
      <c r="Z99" s="2">
        <v>111</v>
      </c>
      <c r="AA99" s="4">
        <v>0</v>
      </c>
      <c r="AB99" s="2" t="s">
        <v>60</v>
      </c>
      <c r="AC99" s="2" t="s">
        <v>263</v>
      </c>
      <c r="AD99" s="2" t="s">
        <v>263</v>
      </c>
      <c r="AE99" s="4">
        <v>50000</v>
      </c>
      <c r="AF99" s="4">
        <v>30000</v>
      </c>
      <c r="AG99" s="2" t="s">
        <v>120</v>
      </c>
      <c r="AH99" s="2" t="s">
        <v>143</v>
      </c>
      <c r="AJ99" s="2" t="s">
        <v>60</v>
      </c>
      <c r="AK99" s="2" t="s">
        <v>60</v>
      </c>
      <c r="AL99" s="2" t="s">
        <v>60</v>
      </c>
      <c r="AM99" s="2" t="s">
        <v>60</v>
      </c>
      <c r="AN99" s="2" t="s">
        <v>60</v>
      </c>
      <c r="AO99" s="2" t="s">
        <v>60</v>
      </c>
      <c r="AP99" s="2" t="s">
        <v>60</v>
      </c>
      <c r="AQ99" s="4">
        <v>0</v>
      </c>
      <c r="AR99" s="4">
        <v>0</v>
      </c>
      <c r="AS99" s="4">
        <v>50</v>
      </c>
      <c r="AT99" s="4">
        <v>50</v>
      </c>
      <c r="AU99" s="4">
        <v>100</v>
      </c>
      <c r="AV99" s="4">
        <v>100</v>
      </c>
      <c r="AW99" s="2" t="s">
        <v>3248</v>
      </c>
      <c r="AX99" s="2" t="s">
        <v>60</v>
      </c>
      <c r="AY99" s="2" t="s">
        <v>60</v>
      </c>
      <c r="BA99" s="2" t="s">
        <v>60</v>
      </c>
      <c r="BB99" s="2" t="s">
        <v>60</v>
      </c>
      <c r="BC99" s="2" t="s">
        <v>60</v>
      </c>
      <c r="BD99" s="2" t="s">
        <v>60</v>
      </c>
      <c r="BM99" s="2" t="s">
        <v>213</v>
      </c>
    </row>
    <row r="100" spans="2:65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2848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Y100" s="4">
        <v>42</v>
      </c>
      <c r="Z100" s="2">
        <v>125</v>
      </c>
      <c r="AA100" s="4">
        <v>0</v>
      </c>
      <c r="AB100" s="2" t="s">
        <v>60</v>
      </c>
      <c r="AC100" s="2" t="s">
        <v>263</v>
      </c>
      <c r="AD100" s="2" t="s">
        <v>263</v>
      </c>
      <c r="AE100" s="4">
        <v>50000</v>
      </c>
      <c r="AF100" s="4">
        <v>30000</v>
      </c>
      <c r="AG100" s="2" t="s">
        <v>120</v>
      </c>
      <c r="AH100" s="2" t="s">
        <v>143</v>
      </c>
      <c r="AJ100" s="2" t="s">
        <v>60</v>
      </c>
      <c r="AK100" s="2" t="s">
        <v>60</v>
      </c>
      <c r="AL100" s="2" t="s">
        <v>60</v>
      </c>
      <c r="AM100" s="2" t="s">
        <v>60</v>
      </c>
      <c r="AN100" s="2" t="s">
        <v>60</v>
      </c>
      <c r="AO100" s="2" t="s">
        <v>60</v>
      </c>
      <c r="AP100" s="2" t="s">
        <v>60</v>
      </c>
      <c r="AQ100" s="4">
        <v>0</v>
      </c>
      <c r="AR100" s="4">
        <v>0</v>
      </c>
      <c r="AS100" s="4">
        <v>50</v>
      </c>
      <c r="AT100" s="4">
        <v>50</v>
      </c>
      <c r="AU100" s="4">
        <v>100</v>
      </c>
      <c r="AV100" s="4">
        <v>100</v>
      </c>
      <c r="AW100" s="2" t="s">
        <v>3248</v>
      </c>
      <c r="AX100" s="2" t="s">
        <v>60</v>
      </c>
      <c r="AY100" s="2" t="s">
        <v>60</v>
      </c>
      <c r="BA100" s="2" t="s">
        <v>60</v>
      </c>
      <c r="BB100" s="2" t="s">
        <v>60</v>
      </c>
      <c r="BC100" s="2" t="s">
        <v>60</v>
      </c>
      <c r="BD100" s="2" t="s">
        <v>60</v>
      </c>
      <c r="BM100" s="2" t="s">
        <v>213</v>
      </c>
    </row>
    <row r="101" spans="2:65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2848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Y101" s="4">
        <v>51</v>
      </c>
      <c r="Z101" s="2">
        <v>130</v>
      </c>
      <c r="AA101" s="4">
        <v>0</v>
      </c>
      <c r="AB101" s="2" t="s">
        <v>60</v>
      </c>
      <c r="AC101" s="2" t="s">
        <v>263</v>
      </c>
      <c r="AD101" s="2" t="s">
        <v>263</v>
      </c>
      <c r="AE101" s="4">
        <v>50000</v>
      </c>
      <c r="AF101" s="4">
        <v>30000</v>
      </c>
      <c r="AG101" s="2" t="s">
        <v>120</v>
      </c>
      <c r="AH101" s="2" t="s">
        <v>143</v>
      </c>
      <c r="AJ101" s="2" t="s">
        <v>60</v>
      </c>
      <c r="AK101" s="2" t="s">
        <v>60</v>
      </c>
      <c r="AL101" s="2" t="s">
        <v>60</v>
      </c>
      <c r="AM101" s="2" t="s">
        <v>60</v>
      </c>
      <c r="AN101" s="2" t="s">
        <v>60</v>
      </c>
      <c r="AO101" s="2" t="s">
        <v>60</v>
      </c>
      <c r="AP101" s="2" t="s">
        <v>60</v>
      </c>
      <c r="AQ101" s="4">
        <v>0</v>
      </c>
      <c r="AR101" s="4">
        <v>0</v>
      </c>
      <c r="AS101" s="4">
        <v>50</v>
      </c>
      <c r="AT101" s="4">
        <v>50</v>
      </c>
      <c r="AU101" s="4">
        <v>100</v>
      </c>
      <c r="AV101" s="4">
        <v>100</v>
      </c>
      <c r="AW101" s="2" t="s">
        <v>3248</v>
      </c>
      <c r="AX101" s="2" t="s">
        <v>60</v>
      </c>
      <c r="AY101" s="2" t="s">
        <v>60</v>
      </c>
      <c r="BA101" s="2" t="s">
        <v>60</v>
      </c>
      <c r="BB101" s="2" t="s">
        <v>60</v>
      </c>
      <c r="BC101" s="2" t="s">
        <v>60</v>
      </c>
      <c r="BD101" s="2" t="s">
        <v>60</v>
      </c>
      <c r="BM101" s="2" t="s">
        <v>213</v>
      </c>
    </row>
    <row r="102" spans="2:65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2848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Y102" s="4">
        <v>39</v>
      </c>
      <c r="Z102" s="2">
        <v>147</v>
      </c>
      <c r="AA102" s="4">
        <v>1.57079637050629</v>
      </c>
      <c r="AB102" s="2" t="s">
        <v>60</v>
      </c>
      <c r="AC102" s="2" t="s">
        <v>263</v>
      </c>
      <c r="AD102" s="2" t="s">
        <v>263</v>
      </c>
      <c r="AE102" s="4">
        <v>50000</v>
      </c>
      <c r="AF102" s="4">
        <v>30000</v>
      </c>
      <c r="AG102" s="2" t="s">
        <v>120</v>
      </c>
      <c r="AH102" s="2" t="s">
        <v>143</v>
      </c>
      <c r="AJ102" s="2" t="s">
        <v>60</v>
      </c>
      <c r="AK102" s="2" t="s">
        <v>60</v>
      </c>
      <c r="AL102" s="2" t="s">
        <v>60</v>
      </c>
      <c r="AM102" s="2" t="s">
        <v>60</v>
      </c>
      <c r="AN102" s="2" t="s">
        <v>60</v>
      </c>
      <c r="AO102" s="2" t="s">
        <v>60</v>
      </c>
      <c r="AP102" s="2" t="s">
        <v>60</v>
      </c>
      <c r="AQ102" s="4">
        <v>0</v>
      </c>
      <c r="AR102" s="4">
        <v>0</v>
      </c>
      <c r="AS102" s="4">
        <v>50</v>
      </c>
      <c r="AT102" s="4">
        <v>50</v>
      </c>
      <c r="AU102" s="4">
        <v>100</v>
      </c>
      <c r="AV102" s="4">
        <v>100</v>
      </c>
      <c r="AW102" s="2" t="s">
        <v>3248</v>
      </c>
      <c r="AX102" s="2" t="s">
        <v>60</v>
      </c>
      <c r="AY102" s="2" t="s">
        <v>60</v>
      </c>
      <c r="BA102" s="2" t="s">
        <v>60</v>
      </c>
      <c r="BB102" s="2" t="s">
        <v>60</v>
      </c>
      <c r="BC102" s="2" t="s">
        <v>60</v>
      </c>
      <c r="BD102" s="2" t="s">
        <v>60</v>
      </c>
      <c r="BM102" s="2" t="s">
        <v>213</v>
      </c>
    </row>
    <row r="103" spans="2:65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2848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Y103" s="4">
        <v>36</v>
      </c>
      <c r="Z103" s="2">
        <v>153</v>
      </c>
      <c r="AA103" s="4">
        <v>0</v>
      </c>
      <c r="AB103" s="2" t="s">
        <v>60</v>
      </c>
      <c r="AC103" s="2" t="s">
        <v>263</v>
      </c>
      <c r="AD103" s="2" t="s">
        <v>263</v>
      </c>
      <c r="AE103" s="4">
        <v>50000</v>
      </c>
      <c r="AF103" s="4">
        <v>30000</v>
      </c>
      <c r="AG103" s="2" t="s">
        <v>120</v>
      </c>
      <c r="AH103" s="2" t="s">
        <v>143</v>
      </c>
      <c r="AJ103" s="2" t="s">
        <v>60</v>
      </c>
      <c r="AK103" s="2" t="s">
        <v>60</v>
      </c>
      <c r="AL103" s="2" t="s">
        <v>60</v>
      </c>
      <c r="AM103" s="2" t="s">
        <v>60</v>
      </c>
      <c r="AN103" s="2" t="s">
        <v>60</v>
      </c>
      <c r="AO103" s="2" t="s">
        <v>60</v>
      </c>
      <c r="AP103" s="2" t="s">
        <v>60</v>
      </c>
      <c r="AQ103" s="4">
        <v>0</v>
      </c>
      <c r="AR103" s="4">
        <v>0</v>
      </c>
      <c r="AS103" s="4">
        <v>50</v>
      </c>
      <c r="AT103" s="4">
        <v>50</v>
      </c>
      <c r="AU103" s="4">
        <v>100</v>
      </c>
      <c r="AV103" s="4">
        <v>100</v>
      </c>
      <c r="AW103" s="2" t="s">
        <v>3248</v>
      </c>
      <c r="AX103" s="2" t="s">
        <v>60</v>
      </c>
      <c r="AY103" s="2" t="s">
        <v>60</v>
      </c>
      <c r="BA103" s="2" t="s">
        <v>60</v>
      </c>
      <c r="BB103" s="2" t="s">
        <v>60</v>
      </c>
      <c r="BC103" s="2" t="s">
        <v>60</v>
      </c>
      <c r="BD103" s="2" t="s">
        <v>60</v>
      </c>
      <c r="BM103" s="2" t="s">
        <v>213</v>
      </c>
    </row>
    <row r="104" spans="2:65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2849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Y104" s="4">
        <v>196</v>
      </c>
      <c r="Z104" s="2">
        <v>56</v>
      </c>
      <c r="AA104" s="5">
        <v>3.1415927410125701</v>
      </c>
      <c r="AB104" s="2" t="s">
        <v>2857</v>
      </c>
      <c r="AC104" s="2" t="s">
        <v>571</v>
      </c>
      <c r="AD104" s="2" t="s">
        <v>571</v>
      </c>
      <c r="AE104" s="2" t="s">
        <v>3052</v>
      </c>
      <c r="AF104" s="4">
        <v>30000</v>
      </c>
      <c r="AG104" s="2" t="s">
        <v>950</v>
      </c>
      <c r="AH104" s="2" t="s">
        <v>263</v>
      </c>
      <c r="AJ104" s="2" t="s">
        <v>60</v>
      </c>
      <c r="AK104" s="2" t="s">
        <v>60</v>
      </c>
      <c r="AL104" s="2" t="s">
        <v>60</v>
      </c>
      <c r="AM104" s="2" t="s">
        <v>60</v>
      </c>
      <c r="AN104" s="2" t="s">
        <v>60</v>
      </c>
      <c r="AO104" s="2" t="s">
        <v>60</v>
      </c>
      <c r="AP104" s="2" t="s">
        <v>60</v>
      </c>
      <c r="AQ104" s="4">
        <v>0</v>
      </c>
      <c r="AR104" s="4">
        <v>0</v>
      </c>
      <c r="AS104" s="4">
        <v>50</v>
      </c>
      <c r="AT104" s="4">
        <v>50</v>
      </c>
      <c r="AU104" s="4">
        <v>100</v>
      </c>
      <c r="AV104" s="4">
        <v>100</v>
      </c>
      <c r="AW104" s="2" t="s">
        <v>3248</v>
      </c>
      <c r="AX104" s="2" t="s">
        <v>60</v>
      </c>
      <c r="AY104" s="2" t="s">
        <v>60</v>
      </c>
      <c r="BA104" s="2" t="s">
        <v>60</v>
      </c>
      <c r="BB104" s="2" t="s">
        <v>60</v>
      </c>
      <c r="BC104" s="2" t="s">
        <v>60</v>
      </c>
      <c r="BD104" s="2" t="s">
        <v>60</v>
      </c>
      <c r="BM104" s="2" t="s">
        <v>213</v>
      </c>
    </row>
    <row r="105" spans="2:65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2849</v>
      </c>
      <c r="H105" s="4">
        <v>0</v>
      </c>
      <c r="J105" s="4">
        <v>0</v>
      </c>
      <c r="L105" s="4">
        <v>1</v>
      </c>
      <c r="Y105" s="4">
        <v>162</v>
      </c>
      <c r="Z105" s="2">
        <v>85</v>
      </c>
      <c r="AA105" s="5">
        <v>3.1415927410125701</v>
      </c>
      <c r="AB105" s="2" t="s">
        <v>2857</v>
      </c>
      <c r="AC105" s="2" t="s">
        <v>60</v>
      </c>
      <c r="AD105" s="2" t="s">
        <v>60</v>
      </c>
      <c r="AE105" s="2" t="s">
        <v>3052</v>
      </c>
      <c r="AF105" s="4">
        <v>30000</v>
      </c>
      <c r="AG105" s="2" t="s">
        <v>60</v>
      </c>
      <c r="AH105" s="2" t="s">
        <v>60</v>
      </c>
      <c r="AJ105" s="2" t="s">
        <v>60</v>
      </c>
      <c r="AK105" s="2" t="s">
        <v>60</v>
      </c>
      <c r="AL105" s="2" t="s">
        <v>60</v>
      </c>
      <c r="AM105" s="2" t="s">
        <v>60</v>
      </c>
      <c r="AN105" s="2" t="s">
        <v>60</v>
      </c>
      <c r="AO105" s="2" t="s">
        <v>60</v>
      </c>
      <c r="AP105" s="2" t="s">
        <v>60</v>
      </c>
      <c r="AQ105" s="4">
        <v>0</v>
      </c>
      <c r="AR105" s="4">
        <v>0</v>
      </c>
      <c r="AS105" s="4">
        <v>50</v>
      </c>
      <c r="AT105" s="4">
        <v>50</v>
      </c>
      <c r="AU105" s="4">
        <v>100</v>
      </c>
      <c r="AV105" s="4">
        <v>100</v>
      </c>
      <c r="AW105" s="2" t="s">
        <v>3248</v>
      </c>
      <c r="AX105" s="2" t="s">
        <v>60</v>
      </c>
      <c r="AY105" s="2" t="s">
        <v>60</v>
      </c>
      <c r="BA105" s="2" t="s">
        <v>60</v>
      </c>
      <c r="BB105" s="2" t="s">
        <v>60</v>
      </c>
      <c r="BC105" s="2" t="s">
        <v>60</v>
      </c>
      <c r="BD105" s="2" t="s">
        <v>60</v>
      </c>
      <c r="BM105" s="2" t="s">
        <v>213</v>
      </c>
    </row>
    <row r="106" spans="2:65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2849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Y106" s="4">
        <v>91</v>
      </c>
      <c r="Z106" s="2">
        <v>77</v>
      </c>
      <c r="AA106" s="4">
        <v>4.7123889923095703</v>
      </c>
      <c r="AB106" s="2" t="s">
        <v>2857</v>
      </c>
      <c r="AC106" s="2" t="s">
        <v>263</v>
      </c>
      <c r="AD106" s="2" t="s">
        <v>263</v>
      </c>
      <c r="AE106" s="2" t="s">
        <v>3051</v>
      </c>
      <c r="AF106" s="4">
        <v>30000</v>
      </c>
      <c r="AG106" s="2" t="s">
        <v>950</v>
      </c>
      <c r="AH106" s="2" t="s">
        <v>263</v>
      </c>
      <c r="AJ106" s="2" t="s">
        <v>60</v>
      </c>
      <c r="AK106" s="2" t="s">
        <v>60</v>
      </c>
      <c r="AL106" s="2" t="s">
        <v>60</v>
      </c>
      <c r="AM106" s="2" t="s">
        <v>60</v>
      </c>
      <c r="AN106" s="2" t="s">
        <v>60</v>
      </c>
      <c r="AO106" s="2" t="s">
        <v>60</v>
      </c>
      <c r="AP106" s="2" t="s">
        <v>60</v>
      </c>
      <c r="AQ106" s="4">
        <v>0</v>
      </c>
      <c r="AR106" s="4">
        <v>0</v>
      </c>
      <c r="AS106" s="4">
        <v>50</v>
      </c>
      <c r="AT106" s="4">
        <v>50</v>
      </c>
      <c r="AU106" s="4">
        <v>100</v>
      </c>
      <c r="AV106" s="4">
        <v>100</v>
      </c>
      <c r="AW106" s="2" t="s">
        <v>3248</v>
      </c>
      <c r="AX106" s="2" t="s">
        <v>60</v>
      </c>
      <c r="AY106" s="2" t="s">
        <v>60</v>
      </c>
      <c r="BA106" s="2" t="s">
        <v>60</v>
      </c>
      <c r="BB106" s="2" t="s">
        <v>60</v>
      </c>
      <c r="BC106" s="2" t="s">
        <v>60</v>
      </c>
      <c r="BD106" s="2" t="s">
        <v>60</v>
      </c>
      <c r="BM106" s="2" t="s">
        <v>213</v>
      </c>
    </row>
    <row r="107" spans="2:65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2849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Y107" s="4">
        <v>138</v>
      </c>
      <c r="Z107" s="2">
        <v>91</v>
      </c>
      <c r="AA107" s="5">
        <v>3.1415927410125701</v>
      </c>
      <c r="AB107" s="2" t="s">
        <v>2857</v>
      </c>
      <c r="AC107" s="2" t="s">
        <v>263</v>
      </c>
      <c r="AD107" s="2" t="s">
        <v>263</v>
      </c>
      <c r="AE107" s="2" t="s">
        <v>3051</v>
      </c>
      <c r="AF107" s="4">
        <v>30000</v>
      </c>
      <c r="AG107" s="2" t="s">
        <v>120</v>
      </c>
      <c r="AH107" s="2" t="s">
        <v>143</v>
      </c>
      <c r="AJ107" s="2" t="s">
        <v>60</v>
      </c>
      <c r="AK107" s="2" t="s">
        <v>60</v>
      </c>
      <c r="AL107" s="2" t="s">
        <v>60</v>
      </c>
      <c r="AM107" s="2" t="s">
        <v>60</v>
      </c>
      <c r="AN107" s="2" t="s">
        <v>60</v>
      </c>
      <c r="AO107" s="2" t="s">
        <v>60</v>
      </c>
      <c r="AP107" s="2" t="s">
        <v>60</v>
      </c>
      <c r="AQ107" s="4">
        <v>0</v>
      </c>
      <c r="AR107" s="4">
        <v>0</v>
      </c>
      <c r="AS107" s="4">
        <v>50</v>
      </c>
      <c r="AT107" s="4">
        <v>50</v>
      </c>
      <c r="AU107" s="4">
        <v>100</v>
      </c>
      <c r="AV107" s="4">
        <v>100</v>
      </c>
      <c r="AW107" s="2" t="s">
        <v>3248</v>
      </c>
      <c r="AX107" s="2" t="s">
        <v>60</v>
      </c>
      <c r="AY107" s="2" t="s">
        <v>60</v>
      </c>
      <c r="BA107" s="2" t="s">
        <v>60</v>
      </c>
      <c r="BB107" s="2" t="s">
        <v>60</v>
      </c>
      <c r="BC107" s="2" t="s">
        <v>60</v>
      </c>
      <c r="BD107" s="2" t="s">
        <v>60</v>
      </c>
      <c r="BM107" s="2" t="s">
        <v>213</v>
      </c>
    </row>
    <row r="108" spans="2:65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2849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Y108" s="4">
        <v>204</v>
      </c>
      <c r="Z108" s="2">
        <v>76</v>
      </c>
      <c r="AA108" s="4">
        <v>1.57079637050629</v>
      </c>
      <c r="AB108" s="2" t="s">
        <v>2857</v>
      </c>
      <c r="AC108" s="2" t="s">
        <v>571</v>
      </c>
      <c r="AD108" s="2" t="s">
        <v>571</v>
      </c>
      <c r="AE108" s="2" t="s">
        <v>3051</v>
      </c>
      <c r="AF108" s="4">
        <v>30000</v>
      </c>
      <c r="AG108" s="2" t="s">
        <v>950</v>
      </c>
      <c r="AH108" s="2" t="s">
        <v>263</v>
      </c>
      <c r="AJ108" s="2" t="s">
        <v>60</v>
      </c>
      <c r="AK108" s="2" t="s">
        <v>60</v>
      </c>
      <c r="AL108" s="2" t="s">
        <v>60</v>
      </c>
      <c r="AM108" s="2" t="s">
        <v>60</v>
      </c>
      <c r="AN108" s="2" t="s">
        <v>60</v>
      </c>
      <c r="AO108" s="2" t="s">
        <v>60</v>
      </c>
      <c r="AP108" s="2" t="s">
        <v>60</v>
      </c>
      <c r="AQ108" s="4">
        <v>0</v>
      </c>
      <c r="AR108" s="4">
        <v>0</v>
      </c>
      <c r="AS108" s="4">
        <v>50</v>
      </c>
      <c r="AT108" s="4">
        <v>50</v>
      </c>
      <c r="AU108" s="4">
        <v>100</v>
      </c>
      <c r="AV108" s="4">
        <v>100</v>
      </c>
      <c r="AW108" s="2" t="s">
        <v>3248</v>
      </c>
      <c r="AX108" s="2" t="s">
        <v>60</v>
      </c>
      <c r="AY108" s="2" t="s">
        <v>60</v>
      </c>
      <c r="BA108" s="2" t="s">
        <v>60</v>
      </c>
      <c r="BB108" s="2" t="s">
        <v>60</v>
      </c>
      <c r="BC108" s="2" t="s">
        <v>60</v>
      </c>
      <c r="BD108" s="2" t="s">
        <v>60</v>
      </c>
      <c r="BM108" s="2" t="s">
        <v>213</v>
      </c>
    </row>
    <row r="109" spans="2:65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2849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Y109" s="4">
        <v>173</v>
      </c>
      <c r="Z109" s="2">
        <v>82</v>
      </c>
      <c r="AA109" s="4">
        <v>4.7123889923095703</v>
      </c>
      <c r="AB109" s="2" t="s">
        <v>2857</v>
      </c>
      <c r="AC109" s="2" t="s">
        <v>263</v>
      </c>
      <c r="AD109" s="2" t="s">
        <v>263</v>
      </c>
      <c r="AE109" s="2" t="s">
        <v>3051</v>
      </c>
      <c r="AF109" s="4">
        <v>30000</v>
      </c>
      <c r="AG109" s="2" t="s">
        <v>120</v>
      </c>
      <c r="AH109" s="2" t="s">
        <v>143</v>
      </c>
      <c r="AJ109" s="2" t="s">
        <v>60</v>
      </c>
      <c r="AK109" s="2" t="s">
        <v>60</v>
      </c>
      <c r="AL109" s="2" t="s">
        <v>60</v>
      </c>
      <c r="AM109" s="2" t="s">
        <v>60</v>
      </c>
      <c r="AN109" s="2" t="s">
        <v>60</v>
      </c>
      <c r="AO109" s="2" t="s">
        <v>60</v>
      </c>
      <c r="AP109" s="2" t="s">
        <v>60</v>
      </c>
      <c r="AQ109" s="4">
        <v>0</v>
      </c>
      <c r="AR109" s="4">
        <v>0</v>
      </c>
      <c r="AS109" s="4">
        <v>50</v>
      </c>
      <c r="AT109" s="4">
        <v>50</v>
      </c>
      <c r="AU109" s="4">
        <v>100</v>
      </c>
      <c r="AV109" s="4">
        <v>100</v>
      </c>
      <c r="AW109" s="2" t="s">
        <v>3248</v>
      </c>
      <c r="AX109" s="2" t="s">
        <v>60</v>
      </c>
      <c r="AY109" s="2" t="s">
        <v>60</v>
      </c>
      <c r="BA109" s="2" t="s">
        <v>60</v>
      </c>
      <c r="BB109" s="2" t="s">
        <v>60</v>
      </c>
      <c r="BC109" s="2" t="s">
        <v>60</v>
      </c>
      <c r="BD109" s="2" t="s">
        <v>60</v>
      </c>
      <c r="BM109" s="2" t="s">
        <v>213</v>
      </c>
    </row>
    <row r="110" spans="2:65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2849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Y110" s="4">
        <v>194</v>
      </c>
      <c r="Z110" s="2">
        <v>106</v>
      </c>
      <c r="AA110" s="5">
        <v>3.1415927410125701</v>
      </c>
      <c r="AB110" s="2" t="s">
        <v>2857</v>
      </c>
      <c r="AC110" s="2" t="s">
        <v>571</v>
      </c>
      <c r="AD110" s="2" t="s">
        <v>571</v>
      </c>
      <c r="AE110" s="2" t="s">
        <v>3051</v>
      </c>
      <c r="AF110" s="4">
        <v>30000</v>
      </c>
      <c r="AG110" s="2" t="s">
        <v>950</v>
      </c>
      <c r="AH110" s="2" t="s">
        <v>263</v>
      </c>
      <c r="AJ110" s="2" t="s">
        <v>60</v>
      </c>
      <c r="AK110" s="2" t="s">
        <v>60</v>
      </c>
      <c r="AL110" s="2" t="s">
        <v>60</v>
      </c>
      <c r="AM110" s="2" t="s">
        <v>60</v>
      </c>
      <c r="AN110" s="2" t="s">
        <v>60</v>
      </c>
      <c r="AO110" s="2" t="s">
        <v>60</v>
      </c>
      <c r="AP110" s="2" t="s">
        <v>60</v>
      </c>
      <c r="AQ110" s="4">
        <v>0</v>
      </c>
      <c r="AR110" s="4">
        <v>0</v>
      </c>
      <c r="AS110" s="4">
        <v>50</v>
      </c>
      <c r="AT110" s="4">
        <v>50</v>
      </c>
      <c r="AU110" s="4">
        <v>100</v>
      </c>
      <c r="AV110" s="4">
        <v>100</v>
      </c>
      <c r="AW110" s="2" t="s">
        <v>3248</v>
      </c>
      <c r="AX110" s="2" t="s">
        <v>60</v>
      </c>
      <c r="AY110" s="2" t="s">
        <v>60</v>
      </c>
      <c r="BA110" s="2" t="s">
        <v>60</v>
      </c>
      <c r="BB110" s="2" t="s">
        <v>60</v>
      </c>
      <c r="BC110" s="2" t="s">
        <v>60</v>
      </c>
      <c r="BD110" s="2" t="s">
        <v>60</v>
      </c>
      <c r="BM110" s="2" t="s">
        <v>213</v>
      </c>
    </row>
    <row r="111" spans="2:65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2849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Y111" s="4">
        <v>201</v>
      </c>
      <c r="Z111" s="2">
        <v>115</v>
      </c>
      <c r="AA111" s="5">
        <v>3.1415927410125701</v>
      </c>
      <c r="AB111" s="2" t="s">
        <v>2857</v>
      </c>
      <c r="AC111" s="2" t="s">
        <v>263</v>
      </c>
      <c r="AD111" s="2" t="s">
        <v>263</v>
      </c>
      <c r="AE111" s="2" t="s">
        <v>3051</v>
      </c>
      <c r="AF111" s="4">
        <v>30000</v>
      </c>
      <c r="AG111" s="2" t="s">
        <v>120</v>
      </c>
      <c r="AH111" s="2" t="s">
        <v>143</v>
      </c>
      <c r="AJ111" s="2" t="s">
        <v>60</v>
      </c>
      <c r="AK111" s="2" t="s">
        <v>60</v>
      </c>
      <c r="AL111" s="2" t="s">
        <v>60</v>
      </c>
      <c r="AM111" s="2" t="s">
        <v>60</v>
      </c>
      <c r="AN111" s="2" t="s">
        <v>60</v>
      </c>
      <c r="AO111" s="2" t="s">
        <v>60</v>
      </c>
      <c r="AP111" s="2" t="s">
        <v>60</v>
      </c>
      <c r="AQ111" s="4">
        <v>0</v>
      </c>
      <c r="AR111" s="4">
        <v>0</v>
      </c>
      <c r="AS111" s="4">
        <v>50</v>
      </c>
      <c r="AT111" s="4">
        <v>50</v>
      </c>
      <c r="AU111" s="4">
        <v>100</v>
      </c>
      <c r="AV111" s="4">
        <v>100</v>
      </c>
      <c r="AW111" s="2" t="s">
        <v>3248</v>
      </c>
      <c r="AX111" s="2" t="s">
        <v>60</v>
      </c>
      <c r="AY111" s="2" t="s">
        <v>60</v>
      </c>
      <c r="BA111" s="2" t="s">
        <v>60</v>
      </c>
      <c r="BB111" s="2" t="s">
        <v>60</v>
      </c>
      <c r="BC111" s="2" t="s">
        <v>60</v>
      </c>
      <c r="BD111" s="2" t="s">
        <v>60</v>
      </c>
      <c r="BM111" s="2" t="s">
        <v>213</v>
      </c>
    </row>
    <row r="112" spans="2:65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2849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Y112" s="4">
        <v>176</v>
      </c>
      <c r="Z112" s="2">
        <v>138</v>
      </c>
      <c r="AA112" s="4">
        <v>0</v>
      </c>
      <c r="AB112" s="2" t="s">
        <v>2857</v>
      </c>
      <c r="AC112" s="2" t="s">
        <v>263</v>
      </c>
      <c r="AD112" s="2" t="s">
        <v>263</v>
      </c>
      <c r="AE112" s="2" t="s">
        <v>3051</v>
      </c>
      <c r="AF112" s="4">
        <v>30000</v>
      </c>
      <c r="AG112" s="2" t="s">
        <v>120</v>
      </c>
      <c r="AH112" s="2" t="s">
        <v>143</v>
      </c>
      <c r="AJ112" s="2" t="s">
        <v>60</v>
      </c>
      <c r="AK112" s="2" t="s">
        <v>60</v>
      </c>
      <c r="AL112" s="2" t="s">
        <v>60</v>
      </c>
      <c r="AM112" s="2" t="s">
        <v>60</v>
      </c>
      <c r="AN112" s="2" t="s">
        <v>60</v>
      </c>
      <c r="AO112" s="2" t="s">
        <v>60</v>
      </c>
      <c r="AP112" s="2" t="s">
        <v>60</v>
      </c>
      <c r="AQ112" s="4">
        <v>0</v>
      </c>
      <c r="AR112" s="4">
        <v>0</v>
      </c>
      <c r="AS112" s="4">
        <v>50</v>
      </c>
      <c r="AT112" s="4">
        <v>50</v>
      </c>
      <c r="AU112" s="4">
        <v>100</v>
      </c>
      <c r="AV112" s="4">
        <v>100</v>
      </c>
      <c r="AW112" s="2" t="s">
        <v>3248</v>
      </c>
      <c r="AX112" s="2" t="s">
        <v>60</v>
      </c>
      <c r="AY112" s="2" t="s">
        <v>60</v>
      </c>
      <c r="BA112" s="2" t="s">
        <v>60</v>
      </c>
      <c r="BB112" s="2" t="s">
        <v>60</v>
      </c>
      <c r="BC112" s="2" t="s">
        <v>60</v>
      </c>
      <c r="BD112" s="2" t="s">
        <v>60</v>
      </c>
      <c r="BM112" s="2" t="s">
        <v>213</v>
      </c>
    </row>
    <row r="113" spans="2:65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2849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Y113" s="4">
        <v>151</v>
      </c>
      <c r="Z113" s="2">
        <v>94</v>
      </c>
      <c r="AA113" s="4">
        <v>0</v>
      </c>
      <c r="AB113" s="2" t="s">
        <v>2857</v>
      </c>
      <c r="AC113" s="2" t="s">
        <v>263</v>
      </c>
      <c r="AD113" s="2" t="s">
        <v>263</v>
      </c>
      <c r="AE113" s="2" t="s">
        <v>3051</v>
      </c>
      <c r="AF113" s="4">
        <v>30000</v>
      </c>
      <c r="AG113" s="2" t="s">
        <v>120</v>
      </c>
      <c r="AH113" s="2" t="s">
        <v>143</v>
      </c>
      <c r="AJ113" s="2" t="s">
        <v>60</v>
      </c>
      <c r="AK113" s="2" t="s">
        <v>60</v>
      </c>
      <c r="AL113" s="2" t="s">
        <v>60</v>
      </c>
      <c r="AM113" s="2" t="s">
        <v>60</v>
      </c>
      <c r="AN113" s="2" t="s">
        <v>60</v>
      </c>
      <c r="AO113" s="2" t="s">
        <v>60</v>
      </c>
      <c r="AP113" s="2" t="s">
        <v>60</v>
      </c>
      <c r="AQ113" s="4">
        <v>0</v>
      </c>
      <c r="AR113" s="4">
        <v>0</v>
      </c>
      <c r="AS113" s="4">
        <v>50</v>
      </c>
      <c r="AT113" s="4">
        <v>50</v>
      </c>
      <c r="AU113" s="4">
        <v>100</v>
      </c>
      <c r="AV113" s="4">
        <v>100</v>
      </c>
      <c r="AW113" s="2" t="s">
        <v>3248</v>
      </c>
      <c r="AX113" s="2" t="s">
        <v>60</v>
      </c>
      <c r="AY113" s="2" t="s">
        <v>60</v>
      </c>
      <c r="BA113" s="2" t="s">
        <v>60</v>
      </c>
      <c r="BB113" s="2" t="s">
        <v>60</v>
      </c>
      <c r="BC113" s="2" t="s">
        <v>60</v>
      </c>
      <c r="BD113" s="2" t="s">
        <v>60</v>
      </c>
      <c r="BM113" s="2" t="s">
        <v>213</v>
      </c>
    </row>
    <row r="114" spans="2:65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2849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Y114" s="4">
        <v>129</v>
      </c>
      <c r="Z114" s="2">
        <v>100</v>
      </c>
      <c r="AA114" s="4">
        <v>0</v>
      </c>
      <c r="AB114" s="2" t="s">
        <v>2857</v>
      </c>
      <c r="AC114" s="2" t="s">
        <v>263</v>
      </c>
      <c r="AD114" s="2" t="s">
        <v>263</v>
      </c>
      <c r="AE114" s="2" t="s">
        <v>3051</v>
      </c>
      <c r="AF114" s="4">
        <v>30000</v>
      </c>
      <c r="AG114" s="2" t="s">
        <v>120</v>
      </c>
      <c r="AH114" s="2" t="s">
        <v>143</v>
      </c>
      <c r="AJ114" s="2" t="s">
        <v>60</v>
      </c>
      <c r="AK114" s="2" t="s">
        <v>60</v>
      </c>
      <c r="AL114" s="2" t="s">
        <v>60</v>
      </c>
      <c r="AM114" s="2" t="s">
        <v>60</v>
      </c>
      <c r="AN114" s="2" t="s">
        <v>60</v>
      </c>
      <c r="AO114" s="2" t="s">
        <v>60</v>
      </c>
      <c r="AP114" s="2" t="s">
        <v>60</v>
      </c>
      <c r="AQ114" s="4">
        <v>0</v>
      </c>
      <c r="AR114" s="4">
        <v>0</v>
      </c>
      <c r="AS114" s="4">
        <v>50</v>
      </c>
      <c r="AT114" s="4">
        <v>50</v>
      </c>
      <c r="AU114" s="4">
        <v>100</v>
      </c>
      <c r="AV114" s="4">
        <v>100</v>
      </c>
      <c r="AW114" s="2" t="s">
        <v>3248</v>
      </c>
      <c r="AX114" s="2" t="s">
        <v>60</v>
      </c>
      <c r="AY114" s="2" t="s">
        <v>60</v>
      </c>
      <c r="BA114" s="2" t="s">
        <v>60</v>
      </c>
      <c r="BB114" s="2" t="s">
        <v>60</v>
      </c>
      <c r="BC114" s="2" t="s">
        <v>60</v>
      </c>
      <c r="BD114" s="2" t="s">
        <v>60</v>
      </c>
      <c r="BM114" s="2" t="s">
        <v>213</v>
      </c>
    </row>
    <row r="115" spans="2:65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2849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Y115" s="4">
        <v>107</v>
      </c>
      <c r="Z115" s="2">
        <v>98</v>
      </c>
      <c r="AA115" s="4">
        <v>0</v>
      </c>
      <c r="AB115" s="2" t="s">
        <v>2857</v>
      </c>
      <c r="AC115" s="2" t="s">
        <v>263</v>
      </c>
      <c r="AD115" s="2" t="s">
        <v>263</v>
      </c>
      <c r="AE115" s="2" t="s">
        <v>3051</v>
      </c>
      <c r="AF115" s="4">
        <v>30000</v>
      </c>
      <c r="AG115" s="2" t="s">
        <v>120</v>
      </c>
      <c r="AH115" s="2" t="s">
        <v>143</v>
      </c>
      <c r="AJ115" s="2" t="s">
        <v>60</v>
      </c>
      <c r="AK115" s="2" t="s">
        <v>60</v>
      </c>
      <c r="AL115" s="2" t="s">
        <v>60</v>
      </c>
      <c r="AM115" s="2" t="s">
        <v>60</v>
      </c>
      <c r="AN115" s="2" t="s">
        <v>60</v>
      </c>
      <c r="AO115" s="2" t="s">
        <v>60</v>
      </c>
      <c r="AP115" s="2" t="s">
        <v>60</v>
      </c>
      <c r="AQ115" s="4">
        <v>0</v>
      </c>
      <c r="AR115" s="4">
        <v>0</v>
      </c>
      <c r="AS115" s="4">
        <v>50</v>
      </c>
      <c r="AT115" s="4">
        <v>50</v>
      </c>
      <c r="AU115" s="4">
        <v>100</v>
      </c>
      <c r="AV115" s="4">
        <v>100</v>
      </c>
      <c r="AW115" s="2" t="s">
        <v>3248</v>
      </c>
      <c r="AX115" s="2" t="s">
        <v>60</v>
      </c>
      <c r="AY115" s="2" t="s">
        <v>60</v>
      </c>
      <c r="BA115" s="2" t="s">
        <v>60</v>
      </c>
      <c r="BB115" s="2" t="s">
        <v>60</v>
      </c>
      <c r="BC115" s="2" t="s">
        <v>60</v>
      </c>
      <c r="BD115" s="2" t="s">
        <v>60</v>
      </c>
      <c r="BM115" s="2" t="s">
        <v>213</v>
      </c>
    </row>
    <row r="116" spans="2:65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2849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Y116" s="4">
        <v>93</v>
      </c>
      <c r="Z116" s="2">
        <v>93</v>
      </c>
      <c r="AA116" s="4">
        <v>4.7123889923095703</v>
      </c>
      <c r="AB116" s="2" t="s">
        <v>2857</v>
      </c>
      <c r="AC116" s="2" t="s">
        <v>263</v>
      </c>
      <c r="AD116" s="2" t="s">
        <v>263</v>
      </c>
      <c r="AE116" s="2" t="s">
        <v>3051</v>
      </c>
      <c r="AF116" s="4">
        <v>30000</v>
      </c>
      <c r="AG116" s="2" t="s">
        <v>120</v>
      </c>
      <c r="AH116" s="2" t="s">
        <v>143</v>
      </c>
      <c r="AJ116" s="2" t="s">
        <v>60</v>
      </c>
      <c r="AK116" s="2" t="s">
        <v>60</v>
      </c>
      <c r="AL116" s="2" t="s">
        <v>60</v>
      </c>
      <c r="AM116" s="2" t="s">
        <v>60</v>
      </c>
      <c r="AN116" s="2" t="s">
        <v>60</v>
      </c>
      <c r="AO116" s="2" t="s">
        <v>60</v>
      </c>
      <c r="AP116" s="2" t="s">
        <v>60</v>
      </c>
      <c r="AQ116" s="4">
        <v>0</v>
      </c>
      <c r="AR116" s="4">
        <v>0</v>
      </c>
      <c r="AS116" s="4">
        <v>50</v>
      </c>
      <c r="AT116" s="4">
        <v>50</v>
      </c>
      <c r="AU116" s="4">
        <v>100</v>
      </c>
      <c r="AV116" s="4">
        <v>100</v>
      </c>
      <c r="AW116" s="2" t="s">
        <v>3248</v>
      </c>
      <c r="AX116" s="2" t="s">
        <v>60</v>
      </c>
      <c r="AY116" s="2" t="s">
        <v>60</v>
      </c>
      <c r="BA116" s="2" t="s">
        <v>60</v>
      </c>
      <c r="BB116" s="2" t="s">
        <v>60</v>
      </c>
      <c r="BC116" s="2" t="s">
        <v>60</v>
      </c>
      <c r="BD116" s="2" t="s">
        <v>60</v>
      </c>
      <c r="BM116" s="2" t="s">
        <v>213</v>
      </c>
    </row>
    <row r="117" spans="2:65" x14ac:dyDescent="0.15">
      <c r="B117" s="2" t="s">
        <v>404</v>
      </c>
      <c r="C117" s="2" t="s">
        <v>3077</v>
      </c>
      <c r="D117" s="4">
        <v>0</v>
      </c>
      <c r="F117" s="4">
        <v>3</v>
      </c>
      <c r="G117" s="2" t="s">
        <v>2849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Y117" s="4">
        <v>92</v>
      </c>
      <c r="Z117" s="2">
        <v>102</v>
      </c>
      <c r="AA117" s="4">
        <v>0</v>
      </c>
      <c r="AB117" s="2" t="s">
        <v>2857</v>
      </c>
      <c r="AC117" s="2" t="s">
        <v>571</v>
      </c>
      <c r="AD117" s="2" t="s">
        <v>571</v>
      </c>
      <c r="AE117" s="2" t="s">
        <v>3051</v>
      </c>
      <c r="AF117" s="4">
        <v>30000</v>
      </c>
      <c r="AG117" s="2" t="s">
        <v>950</v>
      </c>
      <c r="AH117" s="2" t="s">
        <v>263</v>
      </c>
      <c r="AJ117" s="2" t="s">
        <v>60</v>
      </c>
      <c r="AK117" s="2" t="s">
        <v>60</v>
      </c>
      <c r="AL117" s="2" t="s">
        <v>60</v>
      </c>
      <c r="AM117" s="2" t="s">
        <v>60</v>
      </c>
      <c r="AN117" s="2" t="s">
        <v>60</v>
      </c>
      <c r="AO117" s="2" t="s">
        <v>60</v>
      </c>
      <c r="AP117" s="2" t="s">
        <v>60</v>
      </c>
      <c r="AQ117" s="4">
        <v>0</v>
      </c>
      <c r="AR117" s="4">
        <v>0</v>
      </c>
      <c r="AS117" s="4">
        <v>50</v>
      </c>
      <c r="AT117" s="4">
        <v>50</v>
      </c>
      <c r="AU117" s="4">
        <v>100</v>
      </c>
      <c r="AV117" s="4">
        <v>100</v>
      </c>
      <c r="AW117" s="2" t="s">
        <v>3248</v>
      </c>
      <c r="AX117" s="2" t="s">
        <v>60</v>
      </c>
      <c r="AY117" s="2" t="s">
        <v>60</v>
      </c>
      <c r="BA117" s="2" t="s">
        <v>60</v>
      </c>
      <c r="BB117" s="2" t="s">
        <v>60</v>
      </c>
      <c r="BC117" s="2" t="s">
        <v>60</v>
      </c>
      <c r="BD117" s="2" t="s">
        <v>60</v>
      </c>
      <c r="BM117" s="2" t="s">
        <v>213</v>
      </c>
    </row>
    <row r="118" spans="2:65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2849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Y118" s="4">
        <v>87</v>
      </c>
      <c r="Z118" s="2">
        <v>83</v>
      </c>
      <c r="AA118" s="4">
        <v>1.57079637050629</v>
      </c>
      <c r="AB118" s="2" t="s">
        <v>2857</v>
      </c>
      <c r="AC118" s="2" t="s">
        <v>263</v>
      </c>
      <c r="AD118" s="2" t="s">
        <v>263</v>
      </c>
      <c r="AE118" s="2" t="s">
        <v>3051</v>
      </c>
      <c r="AF118" s="4">
        <v>30000</v>
      </c>
      <c r="AG118" s="2" t="s">
        <v>120</v>
      </c>
      <c r="AH118" s="2" t="s">
        <v>143</v>
      </c>
      <c r="AJ118" s="2" t="s">
        <v>60</v>
      </c>
      <c r="AK118" s="2" t="s">
        <v>60</v>
      </c>
      <c r="AL118" s="2" t="s">
        <v>60</v>
      </c>
      <c r="AM118" s="2" t="s">
        <v>60</v>
      </c>
      <c r="AN118" s="2" t="s">
        <v>60</v>
      </c>
      <c r="AO118" s="2" t="s">
        <v>60</v>
      </c>
      <c r="AP118" s="2" t="s">
        <v>60</v>
      </c>
      <c r="AQ118" s="4">
        <v>0</v>
      </c>
      <c r="AR118" s="4">
        <v>0</v>
      </c>
      <c r="AS118" s="4">
        <v>50</v>
      </c>
      <c r="AT118" s="4">
        <v>50</v>
      </c>
      <c r="AU118" s="4">
        <v>100</v>
      </c>
      <c r="AV118" s="4">
        <v>100</v>
      </c>
      <c r="AW118" s="2" t="s">
        <v>3248</v>
      </c>
      <c r="AX118" s="2" t="s">
        <v>60</v>
      </c>
      <c r="AY118" s="2" t="s">
        <v>60</v>
      </c>
      <c r="BA118" s="2" t="s">
        <v>60</v>
      </c>
      <c r="BB118" s="2" t="s">
        <v>60</v>
      </c>
      <c r="BC118" s="2" t="s">
        <v>60</v>
      </c>
      <c r="BD118" s="2" t="s">
        <v>60</v>
      </c>
      <c r="BM118" s="2" t="s">
        <v>213</v>
      </c>
    </row>
    <row r="119" spans="2:65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2849</v>
      </c>
      <c r="H119" s="4">
        <v>0</v>
      </c>
      <c r="J119" s="4">
        <v>0</v>
      </c>
      <c r="L119" s="4">
        <v>1</v>
      </c>
      <c r="Y119" s="4">
        <v>87</v>
      </c>
      <c r="Z119" s="2">
        <v>133</v>
      </c>
      <c r="AA119" s="5">
        <v>3.1415927410125701</v>
      </c>
      <c r="AB119" s="2" t="s">
        <v>2857</v>
      </c>
      <c r="AC119" s="2" t="s">
        <v>60</v>
      </c>
      <c r="AD119" s="2" t="s">
        <v>60</v>
      </c>
      <c r="AE119" s="2" t="s">
        <v>3051</v>
      </c>
      <c r="AF119" s="4">
        <v>30000</v>
      </c>
      <c r="AG119" s="2" t="s">
        <v>60</v>
      </c>
      <c r="AH119" s="2" t="s">
        <v>60</v>
      </c>
      <c r="AJ119" s="2" t="s">
        <v>60</v>
      </c>
      <c r="AK119" s="2" t="s">
        <v>60</v>
      </c>
      <c r="AL119" s="2" t="s">
        <v>60</v>
      </c>
      <c r="AM119" s="2" t="s">
        <v>60</v>
      </c>
      <c r="AN119" s="2" t="s">
        <v>60</v>
      </c>
      <c r="AO119" s="2" t="s">
        <v>60</v>
      </c>
      <c r="AP119" s="2" t="s">
        <v>60</v>
      </c>
      <c r="AQ119" s="4">
        <v>0</v>
      </c>
      <c r="AR119" s="4">
        <v>0</v>
      </c>
      <c r="AS119" s="4">
        <v>50</v>
      </c>
      <c r="AT119" s="4">
        <v>50</v>
      </c>
      <c r="AU119" s="4">
        <v>100</v>
      </c>
      <c r="AV119" s="4">
        <v>100</v>
      </c>
      <c r="AW119" s="2" t="s">
        <v>3248</v>
      </c>
      <c r="AX119" s="2" t="s">
        <v>60</v>
      </c>
      <c r="AY119" s="2" t="s">
        <v>60</v>
      </c>
      <c r="BA119" s="2" t="s">
        <v>60</v>
      </c>
      <c r="BB119" s="2" t="s">
        <v>60</v>
      </c>
      <c r="BC119" s="2" t="s">
        <v>60</v>
      </c>
      <c r="BD119" s="2" t="s">
        <v>60</v>
      </c>
      <c r="BM119" s="2" t="s">
        <v>213</v>
      </c>
    </row>
    <row r="120" spans="2:65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2849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Y120" s="4">
        <v>191</v>
      </c>
      <c r="Z120" s="2">
        <v>137</v>
      </c>
      <c r="AA120" s="4">
        <v>4.7123889923095703</v>
      </c>
      <c r="AB120" s="2" t="s">
        <v>2857</v>
      </c>
      <c r="AC120" s="2" t="s">
        <v>263</v>
      </c>
      <c r="AD120" s="2" t="s">
        <v>263</v>
      </c>
      <c r="AE120" s="2" t="s">
        <v>3051</v>
      </c>
      <c r="AF120" s="4">
        <v>30000</v>
      </c>
      <c r="AG120" s="2" t="s">
        <v>120</v>
      </c>
      <c r="AH120" s="2" t="s">
        <v>143</v>
      </c>
      <c r="AJ120" s="2" t="s">
        <v>60</v>
      </c>
      <c r="AK120" s="2" t="s">
        <v>60</v>
      </c>
      <c r="AL120" s="2" t="s">
        <v>60</v>
      </c>
      <c r="AM120" s="2" t="s">
        <v>60</v>
      </c>
      <c r="AN120" s="2" t="s">
        <v>60</v>
      </c>
      <c r="AO120" s="2" t="s">
        <v>60</v>
      </c>
      <c r="AP120" s="2" t="s">
        <v>60</v>
      </c>
      <c r="AQ120" s="4">
        <v>0</v>
      </c>
      <c r="AR120" s="4">
        <v>0</v>
      </c>
      <c r="AS120" s="4">
        <v>50</v>
      </c>
      <c r="AT120" s="4">
        <v>50</v>
      </c>
      <c r="AU120" s="4">
        <v>100</v>
      </c>
      <c r="AV120" s="4">
        <v>100</v>
      </c>
      <c r="AW120" s="2" t="s">
        <v>3248</v>
      </c>
      <c r="AX120" s="2" t="s">
        <v>60</v>
      </c>
      <c r="AY120" s="2" t="s">
        <v>60</v>
      </c>
      <c r="BA120" s="2" t="s">
        <v>60</v>
      </c>
      <c r="BB120" s="2" t="s">
        <v>60</v>
      </c>
      <c r="BC120" s="2" t="s">
        <v>60</v>
      </c>
      <c r="BD120" s="2" t="s">
        <v>60</v>
      </c>
      <c r="BM120" s="2" t="s">
        <v>213</v>
      </c>
    </row>
    <row r="121" spans="2:65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2849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Y121" s="4">
        <v>189</v>
      </c>
      <c r="Z121" s="2">
        <v>150</v>
      </c>
      <c r="AA121" s="4">
        <v>0</v>
      </c>
      <c r="AB121" s="2" t="s">
        <v>2857</v>
      </c>
      <c r="AC121" s="2" t="s">
        <v>263</v>
      </c>
      <c r="AD121" s="2" t="s">
        <v>263</v>
      </c>
      <c r="AE121" s="2" t="s">
        <v>3051</v>
      </c>
      <c r="AF121" s="4">
        <v>30000</v>
      </c>
      <c r="AG121" s="2" t="s">
        <v>120</v>
      </c>
      <c r="AH121" s="2" t="s">
        <v>143</v>
      </c>
      <c r="AJ121" s="2" t="s">
        <v>60</v>
      </c>
      <c r="AK121" s="2" t="s">
        <v>60</v>
      </c>
      <c r="AL121" s="2" t="s">
        <v>60</v>
      </c>
      <c r="AM121" s="2" t="s">
        <v>60</v>
      </c>
      <c r="AN121" s="2" t="s">
        <v>60</v>
      </c>
      <c r="AO121" s="2" t="s">
        <v>60</v>
      </c>
      <c r="AP121" s="2" t="s">
        <v>60</v>
      </c>
      <c r="AQ121" s="4">
        <v>0</v>
      </c>
      <c r="AR121" s="4">
        <v>0</v>
      </c>
      <c r="AS121" s="4">
        <v>50</v>
      </c>
      <c r="AT121" s="4">
        <v>50</v>
      </c>
      <c r="AU121" s="4">
        <v>100</v>
      </c>
      <c r="AV121" s="4">
        <v>100</v>
      </c>
      <c r="AW121" s="2" t="s">
        <v>3248</v>
      </c>
      <c r="AX121" s="2" t="s">
        <v>60</v>
      </c>
      <c r="AY121" s="2" t="s">
        <v>60</v>
      </c>
      <c r="BA121" s="2" t="s">
        <v>60</v>
      </c>
      <c r="BB121" s="2" t="s">
        <v>60</v>
      </c>
      <c r="BC121" s="2" t="s">
        <v>60</v>
      </c>
      <c r="BD121" s="2" t="s">
        <v>60</v>
      </c>
      <c r="BM121" s="2" t="s">
        <v>213</v>
      </c>
    </row>
    <row r="122" spans="2:65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2849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Y122" s="4">
        <v>205</v>
      </c>
      <c r="Z122" s="2">
        <v>129</v>
      </c>
      <c r="AA122" s="4">
        <v>1.57079637050629</v>
      </c>
      <c r="AB122" s="2" t="s">
        <v>2857</v>
      </c>
      <c r="AC122" s="2" t="s">
        <v>263</v>
      </c>
      <c r="AD122" s="2" t="s">
        <v>263</v>
      </c>
      <c r="AE122" s="2" t="s">
        <v>3051</v>
      </c>
      <c r="AF122" s="4">
        <v>30000</v>
      </c>
      <c r="AG122" s="2" t="s">
        <v>120</v>
      </c>
      <c r="AH122" s="2" t="s">
        <v>143</v>
      </c>
      <c r="AJ122" s="2" t="s">
        <v>60</v>
      </c>
      <c r="AK122" s="2" t="s">
        <v>60</v>
      </c>
      <c r="AL122" s="2" t="s">
        <v>60</v>
      </c>
      <c r="AM122" s="2" t="s">
        <v>60</v>
      </c>
      <c r="AN122" s="2" t="s">
        <v>60</v>
      </c>
      <c r="AO122" s="2" t="s">
        <v>60</v>
      </c>
      <c r="AP122" s="2" t="s">
        <v>60</v>
      </c>
      <c r="AQ122" s="4">
        <v>0</v>
      </c>
      <c r="AR122" s="4">
        <v>0</v>
      </c>
      <c r="AS122" s="4">
        <v>50</v>
      </c>
      <c r="AT122" s="4">
        <v>50</v>
      </c>
      <c r="AU122" s="4">
        <v>100</v>
      </c>
      <c r="AV122" s="4">
        <v>100</v>
      </c>
      <c r="AW122" s="2" t="s">
        <v>3248</v>
      </c>
      <c r="AX122" s="2" t="s">
        <v>60</v>
      </c>
      <c r="AY122" s="2" t="s">
        <v>60</v>
      </c>
      <c r="BA122" s="2" t="s">
        <v>60</v>
      </c>
      <c r="BB122" s="2" t="s">
        <v>60</v>
      </c>
      <c r="BC122" s="2" t="s">
        <v>60</v>
      </c>
      <c r="BD122" s="2" t="s">
        <v>60</v>
      </c>
      <c r="BM122" s="2" t="s">
        <v>213</v>
      </c>
    </row>
    <row r="123" spans="2:65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2849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Y123" s="4">
        <v>215</v>
      </c>
      <c r="Z123" s="2">
        <v>146</v>
      </c>
      <c r="AA123" s="4">
        <v>0</v>
      </c>
      <c r="AB123" s="2" t="s">
        <v>2857</v>
      </c>
      <c r="AC123" s="2" t="s">
        <v>263</v>
      </c>
      <c r="AD123" s="2" t="s">
        <v>263</v>
      </c>
      <c r="AE123" s="2" t="s">
        <v>3051</v>
      </c>
      <c r="AF123" s="4">
        <v>30000</v>
      </c>
      <c r="AG123" s="2" t="s">
        <v>120</v>
      </c>
      <c r="AH123" s="2" t="s">
        <v>143</v>
      </c>
      <c r="AJ123" s="2" t="s">
        <v>60</v>
      </c>
      <c r="AK123" s="2" t="s">
        <v>60</v>
      </c>
      <c r="AL123" s="2" t="s">
        <v>60</v>
      </c>
      <c r="AM123" s="2" t="s">
        <v>60</v>
      </c>
      <c r="AN123" s="2" t="s">
        <v>60</v>
      </c>
      <c r="AO123" s="2" t="s">
        <v>60</v>
      </c>
      <c r="AP123" s="2" t="s">
        <v>60</v>
      </c>
      <c r="AQ123" s="4">
        <v>0</v>
      </c>
      <c r="AR123" s="4">
        <v>0</v>
      </c>
      <c r="AS123" s="4">
        <v>50</v>
      </c>
      <c r="AT123" s="4">
        <v>50</v>
      </c>
      <c r="AU123" s="4">
        <v>100</v>
      </c>
      <c r="AV123" s="4">
        <v>100</v>
      </c>
      <c r="AW123" s="2" t="s">
        <v>3248</v>
      </c>
      <c r="AX123" s="2" t="s">
        <v>60</v>
      </c>
      <c r="AY123" s="2" t="s">
        <v>60</v>
      </c>
      <c r="BA123" s="2" t="s">
        <v>60</v>
      </c>
      <c r="BB123" s="2" t="s">
        <v>60</v>
      </c>
      <c r="BC123" s="2" t="s">
        <v>60</v>
      </c>
      <c r="BD123" s="2" t="s">
        <v>60</v>
      </c>
      <c r="BM123" s="2" t="s">
        <v>213</v>
      </c>
    </row>
    <row r="124" spans="2:65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2849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Y124" s="4">
        <v>171</v>
      </c>
      <c r="Z124" s="2">
        <v>150</v>
      </c>
      <c r="AA124" s="5">
        <v>3.1415927410125701</v>
      </c>
      <c r="AB124" s="2" t="s">
        <v>2857</v>
      </c>
      <c r="AC124" s="2" t="s">
        <v>263</v>
      </c>
      <c r="AD124" s="2" t="s">
        <v>263</v>
      </c>
      <c r="AE124" s="2" t="s">
        <v>3051</v>
      </c>
      <c r="AF124" s="4">
        <v>30000</v>
      </c>
      <c r="AG124" s="2" t="s">
        <v>120</v>
      </c>
      <c r="AH124" s="2" t="s">
        <v>143</v>
      </c>
      <c r="AJ124" s="2" t="s">
        <v>60</v>
      </c>
      <c r="AK124" s="2" t="s">
        <v>60</v>
      </c>
      <c r="AL124" s="2" t="s">
        <v>60</v>
      </c>
      <c r="AM124" s="2" t="s">
        <v>60</v>
      </c>
      <c r="AN124" s="2" t="s">
        <v>60</v>
      </c>
      <c r="AO124" s="2" t="s">
        <v>60</v>
      </c>
      <c r="AP124" s="2" t="s">
        <v>60</v>
      </c>
      <c r="AQ124" s="4">
        <v>0</v>
      </c>
      <c r="AR124" s="4">
        <v>0</v>
      </c>
      <c r="AS124" s="4">
        <v>50</v>
      </c>
      <c r="AT124" s="4">
        <v>50</v>
      </c>
      <c r="AU124" s="4">
        <v>100</v>
      </c>
      <c r="AV124" s="4">
        <v>100</v>
      </c>
      <c r="AW124" s="2" t="s">
        <v>3248</v>
      </c>
      <c r="AX124" s="2" t="s">
        <v>60</v>
      </c>
      <c r="AY124" s="2" t="s">
        <v>60</v>
      </c>
      <c r="BA124" s="2" t="s">
        <v>60</v>
      </c>
      <c r="BB124" s="2" t="s">
        <v>60</v>
      </c>
      <c r="BC124" s="2" t="s">
        <v>60</v>
      </c>
      <c r="BD124" s="2" t="s">
        <v>60</v>
      </c>
      <c r="BM124" s="2" t="s">
        <v>213</v>
      </c>
    </row>
    <row r="125" spans="2:65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2849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Y125" s="4">
        <v>160</v>
      </c>
      <c r="Z125" s="2">
        <v>157</v>
      </c>
      <c r="AA125" s="4">
        <v>0</v>
      </c>
      <c r="AB125" s="2" t="s">
        <v>2857</v>
      </c>
      <c r="AC125" s="2" t="s">
        <v>263</v>
      </c>
      <c r="AD125" s="2" t="s">
        <v>263</v>
      </c>
      <c r="AE125" s="2" t="s">
        <v>3051</v>
      </c>
      <c r="AF125" s="4">
        <v>30000</v>
      </c>
      <c r="AG125" s="2" t="s">
        <v>120</v>
      </c>
      <c r="AH125" s="2" t="s">
        <v>143</v>
      </c>
      <c r="AJ125" s="2" t="s">
        <v>60</v>
      </c>
      <c r="AK125" s="2" t="s">
        <v>60</v>
      </c>
      <c r="AL125" s="2" t="s">
        <v>60</v>
      </c>
      <c r="AM125" s="2" t="s">
        <v>60</v>
      </c>
      <c r="AN125" s="2" t="s">
        <v>60</v>
      </c>
      <c r="AO125" s="2" t="s">
        <v>60</v>
      </c>
      <c r="AP125" s="2" t="s">
        <v>60</v>
      </c>
      <c r="AQ125" s="4">
        <v>0</v>
      </c>
      <c r="AR125" s="4">
        <v>0</v>
      </c>
      <c r="AS125" s="4">
        <v>50</v>
      </c>
      <c r="AT125" s="4">
        <v>50</v>
      </c>
      <c r="AU125" s="4">
        <v>100</v>
      </c>
      <c r="AV125" s="4">
        <v>100</v>
      </c>
      <c r="AW125" s="2" t="s">
        <v>3248</v>
      </c>
      <c r="AX125" s="2" t="s">
        <v>60</v>
      </c>
      <c r="AY125" s="2" t="s">
        <v>60</v>
      </c>
      <c r="BA125" s="2" t="s">
        <v>60</v>
      </c>
      <c r="BB125" s="2" t="s">
        <v>60</v>
      </c>
      <c r="BC125" s="2" t="s">
        <v>60</v>
      </c>
      <c r="BD125" s="2" t="s">
        <v>60</v>
      </c>
      <c r="BM125" s="2" t="s">
        <v>213</v>
      </c>
    </row>
    <row r="126" spans="2:65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2849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Y126" s="4">
        <v>144</v>
      </c>
      <c r="Z126" s="2">
        <v>165</v>
      </c>
      <c r="AA126" s="4">
        <v>4.7123889923095703</v>
      </c>
      <c r="AB126" s="2" t="s">
        <v>2857</v>
      </c>
      <c r="AC126" s="2" t="s">
        <v>263</v>
      </c>
      <c r="AD126" s="2" t="s">
        <v>263</v>
      </c>
      <c r="AE126" s="2" t="s">
        <v>3051</v>
      </c>
      <c r="AF126" s="4">
        <v>30000</v>
      </c>
      <c r="AG126" s="2" t="s">
        <v>120</v>
      </c>
      <c r="AH126" s="2" t="s">
        <v>143</v>
      </c>
      <c r="AJ126" s="2" t="s">
        <v>60</v>
      </c>
      <c r="AK126" s="2" t="s">
        <v>60</v>
      </c>
      <c r="AL126" s="2" t="s">
        <v>60</v>
      </c>
      <c r="AM126" s="2" t="s">
        <v>60</v>
      </c>
      <c r="AN126" s="2" t="s">
        <v>60</v>
      </c>
      <c r="AO126" s="2" t="s">
        <v>60</v>
      </c>
      <c r="AP126" s="2" t="s">
        <v>60</v>
      </c>
      <c r="AQ126" s="4">
        <v>0</v>
      </c>
      <c r="AR126" s="4">
        <v>0</v>
      </c>
      <c r="AS126" s="4">
        <v>50</v>
      </c>
      <c r="AT126" s="4">
        <v>50</v>
      </c>
      <c r="AU126" s="4">
        <v>100</v>
      </c>
      <c r="AV126" s="4">
        <v>100</v>
      </c>
      <c r="AW126" s="2" t="s">
        <v>3248</v>
      </c>
      <c r="AX126" s="2" t="s">
        <v>60</v>
      </c>
      <c r="AY126" s="2" t="s">
        <v>60</v>
      </c>
      <c r="BA126" s="2" t="s">
        <v>60</v>
      </c>
      <c r="BB126" s="2" t="s">
        <v>60</v>
      </c>
      <c r="BC126" s="2" t="s">
        <v>60</v>
      </c>
      <c r="BD126" s="2" t="s">
        <v>60</v>
      </c>
      <c r="BM126" s="2" t="s">
        <v>213</v>
      </c>
    </row>
    <row r="127" spans="2:65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2849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Y127" s="4">
        <v>174</v>
      </c>
      <c r="Z127" s="2">
        <v>170</v>
      </c>
      <c r="AA127" s="4">
        <v>4.7123889923095703</v>
      </c>
      <c r="AB127" s="2" t="s">
        <v>2857</v>
      </c>
      <c r="AC127" s="2" t="s">
        <v>263</v>
      </c>
      <c r="AD127" s="2" t="s">
        <v>263</v>
      </c>
      <c r="AE127" s="2" t="s">
        <v>3051</v>
      </c>
      <c r="AF127" s="4">
        <v>30000</v>
      </c>
      <c r="AG127" s="2" t="s">
        <v>120</v>
      </c>
      <c r="AH127" s="2" t="s">
        <v>143</v>
      </c>
      <c r="AJ127" s="2" t="s">
        <v>60</v>
      </c>
      <c r="AK127" s="2" t="s">
        <v>60</v>
      </c>
      <c r="AL127" s="2" t="s">
        <v>60</v>
      </c>
      <c r="AM127" s="2" t="s">
        <v>60</v>
      </c>
      <c r="AN127" s="2" t="s">
        <v>60</v>
      </c>
      <c r="AO127" s="2" t="s">
        <v>60</v>
      </c>
      <c r="AP127" s="2" t="s">
        <v>60</v>
      </c>
      <c r="AQ127" s="4">
        <v>0</v>
      </c>
      <c r="AR127" s="4">
        <v>0</v>
      </c>
      <c r="AS127" s="4">
        <v>50</v>
      </c>
      <c r="AT127" s="4">
        <v>50</v>
      </c>
      <c r="AU127" s="4">
        <v>100</v>
      </c>
      <c r="AV127" s="4">
        <v>100</v>
      </c>
      <c r="AW127" s="2" t="s">
        <v>3248</v>
      </c>
      <c r="AX127" s="2" t="s">
        <v>60</v>
      </c>
      <c r="AY127" s="2" t="s">
        <v>60</v>
      </c>
      <c r="BA127" s="2" t="s">
        <v>60</v>
      </c>
      <c r="BB127" s="2" t="s">
        <v>60</v>
      </c>
      <c r="BC127" s="2" t="s">
        <v>60</v>
      </c>
      <c r="BD127" s="2" t="s">
        <v>60</v>
      </c>
      <c r="BM127" s="2" t="s">
        <v>213</v>
      </c>
    </row>
    <row r="128" spans="2:65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2849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Y128" s="4">
        <v>166</v>
      </c>
      <c r="Z128" s="2">
        <v>195</v>
      </c>
      <c r="AA128" s="4">
        <v>4.7123889923095703</v>
      </c>
      <c r="AB128" s="2" t="s">
        <v>2857</v>
      </c>
      <c r="AC128" s="2" t="s">
        <v>263</v>
      </c>
      <c r="AD128" s="2" t="s">
        <v>263</v>
      </c>
      <c r="AE128" s="2" t="s">
        <v>3051</v>
      </c>
      <c r="AF128" s="4">
        <v>30000</v>
      </c>
      <c r="AG128" s="2" t="s">
        <v>120</v>
      </c>
      <c r="AH128" s="2" t="s">
        <v>143</v>
      </c>
      <c r="AJ128" s="2" t="s">
        <v>60</v>
      </c>
      <c r="AK128" s="2" t="s">
        <v>60</v>
      </c>
      <c r="AL128" s="2" t="s">
        <v>60</v>
      </c>
      <c r="AM128" s="2" t="s">
        <v>60</v>
      </c>
      <c r="AN128" s="2" t="s">
        <v>60</v>
      </c>
      <c r="AO128" s="2" t="s">
        <v>60</v>
      </c>
      <c r="AP128" s="2" t="s">
        <v>60</v>
      </c>
      <c r="AQ128" s="4">
        <v>0</v>
      </c>
      <c r="AR128" s="4">
        <v>0</v>
      </c>
      <c r="AS128" s="4">
        <v>50</v>
      </c>
      <c r="AT128" s="4">
        <v>50</v>
      </c>
      <c r="AU128" s="4">
        <v>100</v>
      </c>
      <c r="AV128" s="4">
        <v>100</v>
      </c>
      <c r="AW128" s="2" t="s">
        <v>3248</v>
      </c>
      <c r="AX128" s="2" t="s">
        <v>60</v>
      </c>
      <c r="AY128" s="2" t="s">
        <v>60</v>
      </c>
      <c r="BA128" s="2" t="s">
        <v>60</v>
      </c>
      <c r="BB128" s="2" t="s">
        <v>60</v>
      </c>
      <c r="BC128" s="2" t="s">
        <v>60</v>
      </c>
      <c r="BD128" s="2" t="s">
        <v>60</v>
      </c>
      <c r="BM128" s="2" t="s">
        <v>213</v>
      </c>
    </row>
    <row r="129" spans="2:65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2849</v>
      </c>
      <c r="H129" s="4">
        <v>0</v>
      </c>
      <c r="J129" s="4">
        <v>0</v>
      </c>
      <c r="L129" s="4">
        <v>1</v>
      </c>
      <c r="Y129" s="4">
        <v>136</v>
      </c>
      <c r="Z129" s="2">
        <v>151</v>
      </c>
      <c r="AA129" s="5">
        <v>3.1415927410125701</v>
      </c>
      <c r="AB129" s="2" t="s">
        <v>2857</v>
      </c>
      <c r="AC129" s="2" t="s">
        <v>60</v>
      </c>
      <c r="AD129" s="2" t="s">
        <v>60</v>
      </c>
      <c r="AE129" s="2" t="s">
        <v>3051</v>
      </c>
      <c r="AF129" s="4">
        <v>30000</v>
      </c>
      <c r="AG129" s="2" t="s">
        <v>60</v>
      </c>
      <c r="AH129" s="2" t="s">
        <v>60</v>
      </c>
      <c r="AJ129" s="2" t="s">
        <v>60</v>
      </c>
      <c r="AK129" s="2" t="s">
        <v>60</v>
      </c>
      <c r="AL129" s="2" t="s">
        <v>60</v>
      </c>
      <c r="AM129" s="2" t="s">
        <v>60</v>
      </c>
      <c r="AN129" s="2" t="s">
        <v>60</v>
      </c>
      <c r="AO129" s="2" t="s">
        <v>60</v>
      </c>
      <c r="AP129" s="2" t="s">
        <v>60</v>
      </c>
      <c r="AQ129" s="4">
        <v>0</v>
      </c>
      <c r="AR129" s="4">
        <v>0</v>
      </c>
      <c r="AS129" s="4">
        <v>50</v>
      </c>
      <c r="AT129" s="4">
        <v>50</v>
      </c>
      <c r="AU129" s="4">
        <v>100</v>
      </c>
      <c r="AV129" s="4">
        <v>100</v>
      </c>
      <c r="AW129" s="2" t="s">
        <v>3248</v>
      </c>
      <c r="AX129" s="2" t="s">
        <v>60</v>
      </c>
      <c r="AY129" s="2" t="s">
        <v>60</v>
      </c>
      <c r="BA129" s="2" t="s">
        <v>60</v>
      </c>
      <c r="BB129" s="2" t="s">
        <v>60</v>
      </c>
      <c r="BC129" s="2" t="s">
        <v>60</v>
      </c>
      <c r="BD129" s="2" t="s">
        <v>60</v>
      </c>
      <c r="BM129" s="2" t="s">
        <v>213</v>
      </c>
    </row>
    <row r="130" spans="2:65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2849</v>
      </c>
      <c r="H130" s="4">
        <v>0</v>
      </c>
      <c r="J130" s="4">
        <v>0</v>
      </c>
      <c r="L130" s="4">
        <v>1</v>
      </c>
      <c r="Y130" s="4">
        <v>109</v>
      </c>
      <c r="Z130" s="2">
        <v>137</v>
      </c>
      <c r="AA130" s="5">
        <v>3.1415927410125701</v>
      </c>
      <c r="AB130" s="2" t="s">
        <v>2857</v>
      </c>
      <c r="AC130" s="2" t="s">
        <v>60</v>
      </c>
      <c r="AD130" s="2" t="s">
        <v>60</v>
      </c>
      <c r="AE130" s="2" t="s">
        <v>3051</v>
      </c>
      <c r="AF130" s="4">
        <v>30000</v>
      </c>
      <c r="AG130" s="2" t="s">
        <v>60</v>
      </c>
      <c r="AH130" s="2" t="s">
        <v>60</v>
      </c>
      <c r="AJ130" s="2" t="s">
        <v>60</v>
      </c>
      <c r="AK130" s="2" t="s">
        <v>60</v>
      </c>
      <c r="AL130" s="2" t="s">
        <v>60</v>
      </c>
      <c r="AM130" s="2" t="s">
        <v>60</v>
      </c>
      <c r="AN130" s="2" t="s">
        <v>60</v>
      </c>
      <c r="AO130" s="2" t="s">
        <v>60</v>
      </c>
      <c r="AP130" s="2" t="s">
        <v>60</v>
      </c>
      <c r="AQ130" s="4">
        <v>0</v>
      </c>
      <c r="AR130" s="4">
        <v>0</v>
      </c>
      <c r="AS130" s="4">
        <v>50</v>
      </c>
      <c r="AT130" s="4">
        <v>50</v>
      </c>
      <c r="AU130" s="4">
        <v>100</v>
      </c>
      <c r="AV130" s="4">
        <v>100</v>
      </c>
      <c r="AW130" s="2" t="s">
        <v>3248</v>
      </c>
      <c r="AX130" s="2" t="s">
        <v>60</v>
      </c>
      <c r="AY130" s="2" t="s">
        <v>60</v>
      </c>
      <c r="BA130" s="2" t="s">
        <v>60</v>
      </c>
      <c r="BB130" s="2" t="s">
        <v>60</v>
      </c>
      <c r="BC130" s="2" t="s">
        <v>60</v>
      </c>
      <c r="BD130" s="2" t="s">
        <v>60</v>
      </c>
      <c r="BM130" s="2" t="s">
        <v>213</v>
      </c>
    </row>
    <row r="131" spans="2:65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2849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Y131" s="4">
        <v>98</v>
      </c>
      <c r="Z131" s="2">
        <v>138</v>
      </c>
      <c r="AA131" s="4">
        <v>0</v>
      </c>
      <c r="AB131" s="2" t="s">
        <v>2857</v>
      </c>
      <c r="AC131" s="2" t="s">
        <v>263</v>
      </c>
      <c r="AD131" s="2" t="s">
        <v>263</v>
      </c>
      <c r="AE131" s="2" t="s">
        <v>3051</v>
      </c>
      <c r="AF131" s="4">
        <v>30000</v>
      </c>
      <c r="AG131" s="2" t="s">
        <v>120</v>
      </c>
      <c r="AH131" s="2" t="s">
        <v>143</v>
      </c>
      <c r="AJ131" s="2" t="s">
        <v>60</v>
      </c>
      <c r="AK131" s="2" t="s">
        <v>60</v>
      </c>
      <c r="AL131" s="2" t="s">
        <v>60</v>
      </c>
      <c r="AM131" s="2" t="s">
        <v>60</v>
      </c>
      <c r="AN131" s="2" t="s">
        <v>60</v>
      </c>
      <c r="AO131" s="2" t="s">
        <v>60</v>
      </c>
      <c r="AP131" s="2" t="s">
        <v>60</v>
      </c>
      <c r="AQ131" s="4">
        <v>0</v>
      </c>
      <c r="AR131" s="4">
        <v>0</v>
      </c>
      <c r="AS131" s="4">
        <v>50</v>
      </c>
      <c r="AT131" s="4">
        <v>50</v>
      </c>
      <c r="AU131" s="4">
        <v>100</v>
      </c>
      <c r="AV131" s="4">
        <v>100</v>
      </c>
      <c r="AW131" s="2" t="s">
        <v>3248</v>
      </c>
      <c r="AX131" s="2" t="s">
        <v>60</v>
      </c>
      <c r="AY131" s="2" t="s">
        <v>60</v>
      </c>
      <c r="BA131" s="2" t="s">
        <v>60</v>
      </c>
      <c r="BB131" s="2" t="s">
        <v>60</v>
      </c>
      <c r="BC131" s="2" t="s">
        <v>60</v>
      </c>
      <c r="BD131" s="2" t="s">
        <v>60</v>
      </c>
      <c r="BM131" s="2" t="s">
        <v>213</v>
      </c>
    </row>
    <row r="132" spans="2:65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2849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Y132" s="4">
        <v>127</v>
      </c>
      <c r="Z132" s="2">
        <v>161</v>
      </c>
      <c r="AA132" s="4">
        <v>1.57079637050629</v>
      </c>
      <c r="AB132" s="2" t="s">
        <v>2857</v>
      </c>
      <c r="AC132" s="2" t="s">
        <v>263</v>
      </c>
      <c r="AD132" s="2" t="s">
        <v>263</v>
      </c>
      <c r="AE132" s="2" t="s">
        <v>3051</v>
      </c>
      <c r="AF132" s="4">
        <v>30000</v>
      </c>
      <c r="AG132" s="2" t="s">
        <v>120</v>
      </c>
      <c r="AH132" s="2" t="s">
        <v>143</v>
      </c>
      <c r="AJ132" s="2" t="s">
        <v>60</v>
      </c>
      <c r="AK132" s="2" t="s">
        <v>60</v>
      </c>
      <c r="AL132" s="2" t="s">
        <v>60</v>
      </c>
      <c r="AM132" s="2" t="s">
        <v>60</v>
      </c>
      <c r="AN132" s="2" t="s">
        <v>60</v>
      </c>
      <c r="AO132" s="2" t="s">
        <v>60</v>
      </c>
      <c r="AP132" s="2" t="s">
        <v>60</v>
      </c>
      <c r="AQ132" s="4">
        <v>0</v>
      </c>
      <c r="AR132" s="4">
        <v>0</v>
      </c>
      <c r="AS132" s="4">
        <v>50</v>
      </c>
      <c r="AT132" s="4">
        <v>50</v>
      </c>
      <c r="AU132" s="4">
        <v>100</v>
      </c>
      <c r="AV132" s="4">
        <v>100</v>
      </c>
      <c r="AW132" s="2" t="s">
        <v>3248</v>
      </c>
      <c r="AX132" s="2" t="s">
        <v>60</v>
      </c>
      <c r="AY132" s="2" t="s">
        <v>60</v>
      </c>
      <c r="BA132" s="2" t="s">
        <v>60</v>
      </c>
      <c r="BB132" s="2" t="s">
        <v>60</v>
      </c>
      <c r="BC132" s="2" t="s">
        <v>60</v>
      </c>
      <c r="BD132" s="2" t="s">
        <v>60</v>
      </c>
      <c r="BM132" s="2" t="s">
        <v>213</v>
      </c>
    </row>
    <row r="133" spans="2:65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2849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Y133" s="4">
        <v>117</v>
      </c>
      <c r="Z133" s="2">
        <v>153</v>
      </c>
      <c r="AA133" s="4">
        <v>0</v>
      </c>
      <c r="AB133" s="2" t="s">
        <v>2857</v>
      </c>
      <c r="AC133" s="2" t="s">
        <v>263</v>
      </c>
      <c r="AD133" s="2" t="s">
        <v>263</v>
      </c>
      <c r="AE133" s="2" t="s">
        <v>3051</v>
      </c>
      <c r="AF133" s="4">
        <v>30000</v>
      </c>
      <c r="AG133" s="2" t="s">
        <v>120</v>
      </c>
      <c r="AH133" s="2" t="s">
        <v>143</v>
      </c>
      <c r="AJ133" s="2" t="s">
        <v>60</v>
      </c>
      <c r="AK133" s="2" t="s">
        <v>60</v>
      </c>
      <c r="AL133" s="2" t="s">
        <v>60</v>
      </c>
      <c r="AM133" s="2" t="s">
        <v>60</v>
      </c>
      <c r="AN133" s="2" t="s">
        <v>60</v>
      </c>
      <c r="AO133" s="2" t="s">
        <v>60</v>
      </c>
      <c r="AP133" s="2" t="s">
        <v>60</v>
      </c>
      <c r="AQ133" s="4">
        <v>0</v>
      </c>
      <c r="AR133" s="4">
        <v>0</v>
      </c>
      <c r="AS133" s="4">
        <v>50</v>
      </c>
      <c r="AT133" s="4">
        <v>50</v>
      </c>
      <c r="AU133" s="4">
        <v>100</v>
      </c>
      <c r="AV133" s="4">
        <v>100</v>
      </c>
      <c r="AW133" s="2" t="s">
        <v>3248</v>
      </c>
      <c r="AX133" s="2" t="s">
        <v>60</v>
      </c>
      <c r="AY133" s="2" t="s">
        <v>60</v>
      </c>
      <c r="BA133" s="2" t="s">
        <v>60</v>
      </c>
      <c r="BB133" s="2" t="s">
        <v>60</v>
      </c>
      <c r="BC133" s="2" t="s">
        <v>60</v>
      </c>
      <c r="BD133" s="2" t="s">
        <v>60</v>
      </c>
      <c r="BM133" s="2" t="s">
        <v>213</v>
      </c>
    </row>
    <row r="134" spans="2:65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2849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Y134" s="4">
        <v>101</v>
      </c>
      <c r="Z134" s="2">
        <v>165</v>
      </c>
      <c r="AA134" s="4">
        <v>4.7123889923095703</v>
      </c>
      <c r="AB134" s="2" t="s">
        <v>2857</v>
      </c>
      <c r="AC134" s="2" t="s">
        <v>263</v>
      </c>
      <c r="AD134" s="2" t="s">
        <v>263</v>
      </c>
      <c r="AE134" s="2" t="s">
        <v>3051</v>
      </c>
      <c r="AF134" s="4">
        <v>30000</v>
      </c>
      <c r="AG134" s="2" t="s">
        <v>120</v>
      </c>
      <c r="AH134" s="2" t="s">
        <v>143</v>
      </c>
      <c r="AJ134" s="2" t="s">
        <v>60</v>
      </c>
      <c r="AK134" s="2" t="s">
        <v>60</v>
      </c>
      <c r="AL134" s="2" t="s">
        <v>60</v>
      </c>
      <c r="AM134" s="2" t="s">
        <v>60</v>
      </c>
      <c r="AN134" s="2" t="s">
        <v>60</v>
      </c>
      <c r="AO134" s="2" t="s">
        <v>60</v>
      </c>
      <c r="AP134" s="2" t="s">
        <v>60</v>
      </c>
      <c r="AQ134" s="4">
        <v>0</v>
      </c>
      <c r="AR134" s="4">
        <v>0</v>
      </c>
      <c r="AS134" s="4">
        <v>50</v>
      </c>
      <c r="AT134" s="4">
        <v>50</v>
      </c>
      <c r="AU134" s="4">
        <v>100</v>
      </c>
      <c r="AV134" s="4">
        <v>100</v>
      </c>
      <c r="AW134" s="2" t="s">
        <v>3248</v>
      </c>
      <c r="AX134" s="2" t="s">
        <v>60</v>
      </c>
      <c r="AY134" s="2" t="s">
        <v>60</v>
      </c>
      <c r="BA134" s="2" t="s">
        <v>60</v>
      </c>
      <c r="BB134" s="2" t="s">
        <v>60</v>
      </c>
      <c r="BC134" s="2" t="s">
        <v>60</v>
      </c>
      <c r="BD134" s="2" t="s">
        <v>60</v>
      </c>
      <c r="BM134" s="2" t="s">
        <v>213</v>
      </c>
    </row>
    <row r="135" spans="2:65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2849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Y135" s="4">
        <v>128</v>
      </c>
      <c r="Z135" s="2">
        <v>176</v>
      </c>
      <c r="AA135" s="4">
        <v>4.7123889923095703</v>
      </c>
      <c r="AB135" s="2" t="s">
        <v>2857</v>
      </c>
      <c r="AC135" s="2" t="s">
        <v>263</v>
      </c>
      <c r="AD135" s="2" t="s">
        <v>263</v>
      </c>
      <c r="AE135" s="2" t="s">
        <v>3051</v>
      </c>
      <c r="AF135" s="4">
        <v>30000</v>
      </c>
      <c r="AG135" s="2" t="s">
        <v>120</v>
      </c>
      <c r="AH135" s="2" t="s">
        <v>143</v>
      </c>
      <c r="AJ135" s="2" t="s">
        <v>60</v>
      </c>
      <c r="AK135" s="2" t="s">
        <v>60</v>
      </c>
      <c r="AL135" s="2" t="s">
        <v>60</v>
      </c>
      <c r="AM135" s="2" t="s">
        <v>60</v>
      </c>
      <c r="AN135" s="2" t="s">
        <v>60</v>
      </c>
      <c r="AO135" s="2" t="s">
        <v>60</v>
      </c>
      <c r="AP135" s="2" t="s">
        <v>60</v>
      </c>
      <c r="AQ135" s="4">
        <v>0</v>
      </c>
      <c r="AR135" s="4">
        <v>0</v>
      </c>
      <c r="AS135" s="4">
        <v>50</v>
      </c>
      <c r="AT135" s="4">
        <v>50</v>
      </c>
      <c r="AU135" s="4">
        <v>100</v>
      </c>
      <c r="AV135" s="4">
        <v>100</v>
      </c>
      <c r="AW135" s="2" t="s">
        <v>3248</v>
      </c>
      <c r="AX135" s="2" t="s">
        <v>60</v>
      </c>
      <c r="AY135" s="2" t="s">
        <v>60</v>
      </c>
      <c r="BA135" s="2" t="s">
        <v>60</v>
      </c>
      <c r="BB135" s="2" t="s">
        <v>60</v>
      </c>
      <c r="BC135" s="2" t="s">
        <v>60</v>
      </c>
      <c r="BD135" s="2" t="s">
        <v>60</v>
      </c>
      <c r="BM135" s="2" t="s">
        <v>213</v>
      </c>
    </row>
    <row r="136" spans="2:65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2849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Y136" s="4">
        <v>107</v>
      </c>
      <c r="Z136" s="2">
        <v>183</v>
      </c>
      <c r="AA136" s="4">
        <v>1.57079637050629</v>
      </c>
      <c r="AB136" s="2" t="s">
        <v>2857</v>
      </c>
      <c r="AC136" s="2" t="s">
        <v>263</v>
      </c>
      <c r="AD136" s="2" t="s">
        <v>263</v>
      </c>
      <c r="AE136" s="2" t="s">
        <v>3051</v>
      </c>
      <c r="AF136" s="4">
        <v>30000</v>
      </c>
      <c r="AG136" s="2" t="s">
        <v>120</v>
      </c>
      <c r="AH136" s="2" t="s">
        <v>143</v>
      </c>
      <c r="AJ136" s="2" t="s">
        <v>60</v>
      </c>
      <c r="AK136" s="2" t="s">
        <v>60</v>
      </c>
      <c r="AL136" s="2" t="s">
        <v>60</v>
      </c>
      <c r="AM136" s="2" t="s">
        <v>60</v>
      </c>
      <c r="AN136" s="2" t="s">
        <v>60</v>
      </c>
      <c r="AO136" s="2" t="s">
        <v>60</v>
      </c>
      <c r="AP136" s="2" t="s">
        <v>60</v>
      </c>
      <c r="AQ136" s="4">
        <v>0</v>
      </c>
      <c r="AR136" s="4">
        <v>0</v>
      </c>
      <c r="AS136" s="4">
        <v>50</v>
      </c>
      <c r="AT136" s="4">
        <v>50</v>
      </c>
      <c r="AU136" s="4">
        <v>100</v>
      </c>
      <c r="AV136" s="4">
        <v>100</v>
      </c>
      <c r="AW136" s="2" t="s">
        <v>3248</v>
      </c>
      <c r="AX136" s="2" t="s">
        <v>60</v>
      </c>
      <c r="AY136" s="2" t="s">
        <v>60</v>
      </c>
      <c r="BA136" s="2" t="s">
        <v>60</v>
      </c>
      <c r="BB136" s="2" t="s">
        <v>60</v>
      </c>
      <c r="BC136" s="2" t="s">
        <v>60</v>
      </c>
      <c r="BD136" s="2" t="s">
        <v>60</v>
      </c>
      <c r="BM136" s="2" t="s">
        <v>213</v>
      </c>
    </row>
    <row r="137" spans="2:65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2849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Y137" s="4">
        <v>102</v>
      </c>
      <c r="Z137" s="2">
        <v>174</v>
      </c>
      <c r="AA137" s="4">
        <v>0</v>
      </c>
      <c r="AB137" s="2" t="s">
        <v>2857</v>
      </c>
      <c r="AC137" s="4">
        <v>2000</v>
      </c>
      <c r="AD137" s="4">
        <v>2000</v>
      </c>
      <c r="AE137" s="2" t="s">
        <v>3051</v>
      </c>
      <c r="AF137" s="4">
        <v>30000</v>
      </c>
      <c r="AG137" s="4">
        <v>400</v>
      </c>
      <c r="AH137" s="4">
        <v>4000</v>
      </c>
      <c r="AI137" s="4"/>
      <c r="AJ137" s="2" t="s">
        <v>60</v>
      </c>
      <c r="AK137" s="2" t="s">
        <v>60</v>
      </c>
      <c r="AL137" s="2" t="s">
        <v>60</v>
      </c>
      <c r="AM137" s="2" t="s">
        <v>60</v>
      </c>
      <c r="AN137" s="2" t="s">
        <v>60</v>
      </c>
      <c r="AO137" s="2" t="s">
        <v>60</v>
      </c>
      <c r="AP137" s="2" t="s">
        <v>60</v>
      </c>
      <c r="AQ137" s="4">
        <v>0</v>
      </c>
      <c r="AR137" s="4">
        <v>0</v>
      </c>
      <c r="AS137" s="4">
        <v>50</v>
      </c>
      <c r="AT137" s="4">
        <v>50</v>
      </c>
      <c r="AU137" s="4">
        <v>100</v>
      </c>
      <c r="AV137" s="4">
        <v>100</v>
      </c>
      <c r="AW137" s="2" t="s">
        <v>3248</v>
      </c>
      <c r="AX137" s="2" t="s">
        <v>60</v>
      </c>
      <c r="AY137" s="2" t="s">
        <v>60</v>
      </c>
      <c r="BA137" s="2" t="s">
        <v>60</v>
      </c>
      <c r="BB137" s="2" t="s">
        <v>60</v>
      </c>
      <c r="BC137" s="2" t="s">
        <v>60</v>
      </c>
      <c r="BD137" s="2" t="s">
        <v>60</v>
      </c>
      <c r="BM137" s="2" t="s">
        <v>213</v>
      </c>
    </row>
    <row r="138" spans="2:65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2849</v>
      </c>
      <c r="H138" s="4">
        <v>0</v>
      </c>
      <c r="J138" s="4">
        <v>0</v>
      </c>
      <c r="L138" s="4">
        <v>1</v>
      </c>
      <c r="Y138" s="4">
        <v>82</v>
      </c>
      <c r="Z138" s="2">
        <v>158</v>
      </c>
      <c r="AA138" s="5">
        <v>3.1415927410125701</v>
      </c>
      <c r="AB138" s="2" t="s">
        <v>2857</v>
      </c>
      <c r="AC138" s="4">
        <v>0</v>
      </c>
      <c r="AD138" s="4">
        <v>0</v>
      </c>
      <c r="AE138" s="2" t="s">
        <v>3051</v>
      </c>
      <c r="AF138" s="4">
        <v>30000</v>
      </c>
      <c r="AG138" s="4">
        <v>0</v>
      </c>
      <c r="AH138" s="4">
        <v>0</v>
      </c>
      <c r="AI138" s="4"/>
      <c r="AJ138" s="2" t="s">
        <v>60</v>
      </c>
      <c r="AK138" s="2" t="s">
        <v>60</v>
      </c>
      <c r="AL138" s="2" t="s">
        <v>60</v>
      </c>
      <c r="AM138" s="2" t="s">
        <v>60</v>
      </c>
      <c r="AN138" s="2" t="s">
        <v>60</v>
      </c>
      <c r="AO138" s="2" t="s">
        <v>60</v>
      </c>
      <c r="AP138" s="2" t="s">
        <v>60</v>
      </c>
      <c r="AQ138" s="4">
        <v>0</v>
      </c>
      <c r="AR138" s="4">
        <v>0</v>
      </c>
      <c r="AS138" s="4">
        <v>50</v>
      </c>
      <c r="AT138" s="4">
        <v>50</v>
      </c>
      <c r="AU138" s="4">
        <v>100</v>
      </c>
      <c r="AV138" s="4">
        <v>100</v>
      </c>
      <c r="AW138" s="2" t="s">
        <v>3248</v>
      </c>
      <c r="AX138" s="2" t="s">
        <v>60</v>
      </c>
      <c r="AY138" s="2" t="s">
        <v>60</v>
      </c>
      <c r="BA138" s="2" t="s">
        <v>60</v>
      </c>
      <c r="BB138" s="2" t="s">
        <v>60</v>
      </c>
      <c r="BC138" s="2" t="s">
        <v>60</v>
      </c>
      <c r="BD138" s="2" t="s">
        <v>60</v>
      </c>
      <c r="BM138" s="2" t="s">
        <v>213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2025-10-13T16:21:29Z</dcterms:modified>
</cp:coreProperties>
</file>